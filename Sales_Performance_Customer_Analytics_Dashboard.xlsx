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Devansh\Desktop\excel practice\Sales performance project\"/>
    </mc:Choice>
  </mc:AlternateContent>
  <xr:revisionPtr revIDLastSave="0" documentId="13_ncr:1_{798CEB34-F395-4691-B5CA-81CD794634BE}" xr6:coauthVersionLast="47" xr6:coauthVersionMax="47" xr10:uidLastSave="{00000000-0000-0000-0000-000000000000}"/>
  <bookViews>
    <workbookView xWindow="-108" yWindow="-108" windowWidth="23256" windowHeight="12456" activeTab="5" xr2:uid="{3031E594-9F32-48BF-B21C-4FC55DA1655A}"/>
  </bookViews>
  <sheets>
    <sheet name="Raw_Data" sheetId="1" r:id="rId1"/>
    <sheet name="Cleaned_Data" sheetId="4" r:id="rId2"/>
    <sheet name="Analysis" sheetId="2" r:id="rId3"/>
    <sheet name="Business_Analysis" sheetId="5" r:id="rId4"/>
    <sheet name="Pivot_analysis" sheetId="8" r:id="rId5"/>
    <sheet name="Dashboard" sheetId="10" r:id="rId6"/>
  </sheets>
  <definedNames>
    <definedName name="Slicer_Product_Category">#N/A</definedName>
    <definedName name="Slicer_Region">#N/A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G2" i="2" l="1"/>
  <c r="O2" i="4"/>
  <c r="D5" i="5"/>
  <c r="D4" i="5"/>
  <c r="D3" i="5"/>
  <c r="D2" i="5"/>
  <c r="C5" i="5"/>
  <c r="C4" i="5"/>
  <c r="C3" i="5"/>
  <c r="C2" i="5"/>
  <c r="C6" i="5" s="1"/>
  <c r="B5" i="5"/>
  <c r="B4" i="5"/>
  <c r="B3" i="5"/>
  <c r="B2" i="5"/>
  <c r="B6" i="5" s="1"/>
  <c r="E2" i="2"/>
  <c r="F2" i="2"/>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N2" i="4"/>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D2" i="2"/>
  <c r="C2" i="2"/>
  <c r="B2" i="2"/>
  <c r="N1" i="1"/>
  <c r="A2" i="2"/>
</calcChain>
</file>

<file path=xl/sharedStrings.xml><?xml version="1.0" encoding="utf-8"?>
<sst xmlns="http://schemas.openxmlformats.org/spreadsheetml/2006/main" count="17195" uniqueCount="1857">
  <si>
    <t>Order ID</t>
  </si>
  <si>
    <t>Order Date</t>
  </si>
  <si>
    <t>Customer ID</t>
  </si>
  <si>
    <t>Customer Name</t>
  </si>
  <si>
    <t>Region</t>
  </si>
  <si>
    <t>State</t>
  </si>
  <si>
    <t>Product Category</t>
  </si>
  <si>
    <t>Product Name</t>
  </si>
  <si>
    <t>Quantity</t>
  </si>
  <si>
    <t>Sales</t>
  </si>
  <si>
    <t>Cost</t>
  </si>
  <si>
    <t>Profit</t>
  </si>
  <si>
    <t>ORD00001</t>
  </si>
  <si>
    <t>CUST0280</t>
  </si>
  <si>
    <t>Customer_045</t>
  </si>
  <si>
    <t>North</t>
  </si>
  <si>
    <t>Delhi</t>
  </si>
  <si>
    <t>Home &amp; Kitchen</t>
  </si>
  <si>
    <t>Water Bottle</t>
  </si>
  <si>
    <t>ORD00002</t>
  </si>
  <si>
    <t>CUST0014</t>
  </si>
  <si>
    <t>Customer_288</t>
  </si>
  <si>
    <t>West</t>
  </si>
  <si>
    <t>Maharashtra</t>
  </si>
  <si>
    <t>Electronics</t>
  </si>
  <si>
    <t>Laptop</t>
  </si>
  <si>
    <t>ORD00003</t>
  </si>
  <si>
    <t>CUST0143</t>
  </si>
  <si>
    <t>Customer_004</t>
  </si>
  <si>
    <t>South</t>
  </si>
  <si>
    <t>Telangana</t>
  </si>
  <si>
    <t>Cookware Set</t>
  </si>
  <si>
    <t>ORD00004</t>
  </si>
  <si>
    <t>CUST0053</t>
  </si>
  <si>
    <t>Customer_048</t>
  </si>
  <si>
    <t>Clothing</t>
  </si>
  <si>
    <t>T-Shirt</t>
  </si>
  <si>
    <t>ORD00005</t>
  </si>
  <si>
    <t>CUST0275</t>
  </si>
  <si>
    <t>Customer_064</t>
  </si>
  <si>
    <t>Furniture</t>
  </si>
  <si>
    <t>Bookshelf</t>
  </si>
  <si>
    <t>ORD00006</t>
  </si>
  <si>
    <t>CUST0036</t>
  </si>
  <si>
    <t>Customer_024</t>
  </si>
  <si>
    <t>Jacket</t>
  </si>
  <si>
    <t>ORD00007</t>
  </si>
  <si>
    <t>CUST0187</t>
  </si>
  <si>
    <t>Customer_084</t>
  </si>
  <si>
    <t>Tamil Nadu</t>
  </si>
  <si>
    <t>Smartphone</t>
  </si>
  <si>
    <t>ORD00008</t>
  </si>
  <si>
    <t>CUST0274</t>
  </si>
  <si>
    <t>Customer_126</t>
  </si>
  <si>
    <t>East</t>
  </si>
  <si>
    <t>Odisha</t>
  </si>
  <si>
    <t>Office Chair</t>
  </si>
  <si>
    <t>ORD00009</t>
  </si>
  <si>
    <t>CUST0029</t>
  </si>
  <si>
    <t>Customer_118</t>
  </si>
  <si>
    <t>ORD00010</t>
  </si>
  <si>
    <t>CUST0162</t>
  </si>
  <si>
    <t>Customer_109</t>
  </si>
  <si>
    <t>Punjab</t>
  </si>
  <si>
    <t>ORD00011</t>
  </si>
  <si>
    <t>CUST0288</t>
  </si>
  <si>
    <t>Customer_276</t>
  </si>
  <si>
    <t>Gujarat</t>
  </si>
  <si>
    <t>ORD00012</t>
  </si>
  <si>
    <t>CUST0261</t>
  </si>
  <si>
    <t>Customer_253</t>
  </si>
  <si>
    <t>Bihar</t>
  </si>
  <si>
    <t>Mixer Grinder</t>
  </si>
  <si>
    <t>ORD00013</t>
  </si>
  <si>
    <t>CUST0033</t>
  </si>
  <si>
    <t>Customer_198</t>
  </si>
  <si>
    <t>ORD00014</t>
  </si>
  <si>
    <t>CUST0059</t>
  </si>
  <si>
    <t>Customer_275</t>
  </si>
  <si>
    <t>Rajasthan</t>
  </si>
  <si>
    <t>Jeans</t>
  </si>
  <si>
    <t>ORD00015</t>
  </si>
  <si>
    <t>CUST0002</t>
  </si>
  <si>
    <t>Customer_135</t>
  </si>
  <si>
    <t>ORD00016</t>
  </si>
  <si>
    <t>CUST0192</t>
  </si>
  <si>
    <t>Customer_083</t>
  </si>
  <si>
    <t>ORD00017</t>
  </si>
  <si>
    <t>CUST0158</t>
  </si>
  <si>
    <t>Customer_123</t>
  </si>
  <si>
    <t>Haryana</t>
  </si>
  <si>
    <t>ORD00018</t>
  </si>
  <si>
    <t>CUST0273</t>
  </si>
  <si>
    <t>Customer_065</t>
  </si>
  <si>
    <t>ORD00019</t>
  </si>
  <si>
    <t>CUST0217</t>
  </si>
  <si>
    <t>ORD00020</t>
  </si>
  <si>
    <t>CUST0232</t>
  </si>
  <si>
    <t>Customer_062</t>
  </si>
  <si>
    <t>Desk</t>
  </si>
  <si>
    <t>ORD00021</t>
  </si>
  <si>
    <t>CUST0113</t>
  </si>
  <si>
    <t>Karnataka</t>
  </si>
  <si>
    <t>ORD00022</t>
  </si>
  <si>
    <t>CUST0170</t>
  </si>
  <si>
    <t>Customer_037</t>
  </si>
  <si>
    <t>ORD00023</t>
  </si>
  <si>
    <t>CUST0296</t>
  </si>
  <si>
    <t>Customer_243</t>
  </si>
  <si>
    <t>ORD00024</t>
  </si>
  <si>
    <t>CUST0182</t>
  </si>
  <si>
    <t>Customer_217</t>
  </si>
  <si>
    <t>ORD00025</t>
  </si>
  <si>
    <t>CUST0056</t>
  </si>
  <si>
    <t>Customer_128</t>
  </si>
  <si>
    <t>ORD00026</t>
  </si>
  <si>
    <t>CUST0237</t>
  </si>
  <si>
    <t>ORD00027</t>
  </si>
  <si>
    <t>CUST0008</t>
  </si>
  <si>
    <t>ORD00028</t>
  </si>
  <si>
    <t>CUST0031</t>
  </si>
  <si>
    <t>Customer_085</t>
  </si>
  <si>
    <t>ORD00029</t>
  </si>
  <si>
    <t>CUST0285</t>
  </si>
  <si>
    <t>Customer_250</t>
  </si>
  <si>
    <t>ORD00030</t>
  </si>
  <si>
    <t>CUST0032</t>
  </si>
  <si>
    <t>Customer_161</t>
  </si>
  <si>
    <t>ORD00031</t>
  </si>
  <si>
    <t>CUST0081</t>
  </si>
  <si>
    <t>Customer_030</t>
  </si>
  <si>
    <t>ORD00032</t>
  </si>
  <si>
    <t>CUST0207</t>
  </si>
  <si>
    <t>ORD00033</t>
  </si>
  <si>
    <t>CUST0290</t>
  </si>
  <si>
    <t>Customer_268</t>
  </si>
  <si>
    <t>ORD00034</t>
  </si>
  <si>
    <t>CUST0154</t>
  </si>
  <si>
    <t>Customer_235</t>
  </si>
  <si>
    <t>ORD00035</t>
  </si>
  <si>
    <t>CUST0276</t>
  </si>
  <si>
    <t>Customer_110</t>
  </si>
  <si>
    <t>West Bengal</t>
  </si>
  <si>
    <t>ORD00036</t>
  </si>
  <si>
    <t>CUST0225</t>
  </si>
  <si>
    <t>Customer_279</t>
  </si>
  <si>
    <t>ORD00037</t>
  </si>
  <si>
    <t>Customer_054</t>
  </si>
  <si>
    <t>ORD00038</t>
  </si>
  <si>
    <t>CUST0108</t>
  </si>
  <si>
    <t>Customer_176</t>
  </si>
  <si>
    <t>ORD00039</t>
  </si>
  <si>
    <t>CUST0048</t>
  </si>
  <si>
    <t>ORD00040</t>
  </si>
  <si>
    <t>CUST0083</t>
  </si>
  <si>
    <t>Customer_227</t>
  </si>
  <si>
    <t>ORD00041</t>
  </si>
  <si>
    <t>CUST0077</t>
  </si>
  <si>
    <t>Customer_280</t>
  </si>
  <si>
    <t>ORD00042</t>
  </si>
  <si>
    <t>Customer_187</t>
  </si>
  <si>
    <t>ORD00043</t>
  </si>
  <si>
    <t>CUST0209</t>
  </si>
  <si>
    <t>Customer_080</t>
  </si>
  <si>
    <t>ORD00044</t>
  </si>
  <si>
    <t>CUST0211</t>
  </si>
  <si>
    <t>Headphones</t>
  </si>
  <si>
    <t>ORD00045</t>
  </si>
  <si>
    <t>CUST0114</t>
  </si>
  <si>
    <t>Customer_103</t>
  </si>
  <si>
    <t>ORD00046</t>
  </si>
  <si>
    <t>CUST0205</t>
  </si>
  <si>
    <t>Customer_169</t>
  </si>
  <si>
    <t>ORD00047</t>
  </si>
  <si>
    <t>Customer_015</t>
  </si>
  <si>
    <t>ORD00048</t>
  </si>
  <si>
    <t>CUST0223</t>
  </si>
  <si>
    <t>Customer_177</t>
  </si>
  <si>
    <t>ORD00049</t>
  </si>
  <si>
    <t>CUST0098</t>
  </si>
  <si>
    <t>Customer_131</t>
  </si>
  <si>
    <t>ORD00050</t>
  </si>
  <si>
    <t>CUST0101</t>
  </si>
  <si>
    <t>ORD00051</t>
  </si>
  <si>
    <t>Customer_260</t>
  </si>
  <si>
    <t>ORD00052</t>
  </si>
  <si>
    <t>CUST0066</t>
  </si>
  <si>
    <t>Customer_099</t>
  </si>
  <si>
    <t>ORD00053</t>
  </si>
  <si>
    <t>CUST0001</t>
  </si>
  <si>
    <t>Customer_156</t>
  </si>
  <si>
    <t>ORD00054</t>
  </si>
  <si>
    <t>CUST0110</t>
  </si>
  <si>
    <t>Customer_262</t>
  </si>
  <si>
    <t>ORD00055</t>
  </si>
  <si>
    <t>CUST0172</t>
  </si>
  <si>
    <t>ORD00056</t>
  </si>
  <si>
    <t>CUST0126</t>
  </si>
  <si>
    <t>Customer_244</t>
  </si>
  <si>
    <t>ORD00057</t>
  </si>
  <si>
    <t>CUST0254</t>
  </si>
  <si>
    <t>Customer_205</t>
  </si>
  <si>
    <t>ORD00058</t>
  </si>
  <si>
    <t>CUST0091</t>
  </si>
  <si>
    <t>Customer_266</t>
  </si>
  <si>
    <t>ORD00059</t>
  </si>
  <si>
    <t>CUST0272</t>
  </si>
  <si>
    <t>Customer_287</t>
  </si>
  <si>
    <t>ORD00060</t>
  </si>
  <si>
    <t>CUST0229</t>
  </si>
  <si>
    <t>Customer_082</t>
  </si>
  <si>
    <t>ORD00061</t>
  </si>
  <si>
    <t>CUST0249</t>
  </si>
  <si>
    <t>ORD00062</t>
  </si>
  <si>
    <t>CUST0277</t>
  </si>
  <si>
    <t>Customer_042</t>
  </si>
  <si>
    <t>ORD00063</t>
  </si>
  <si>
    <t>CUST0213</t>
  </si>
  <si>
    <t>Customer_209</t>
  </si>
  <si>
    <t>ORD00064</t>
  </si>
  <si>
    <t>CUST0200</t>
  </si>
  <si>
    <t>Customer_300</t>
  </si>
  <si>
    <t>ORD00065</t>
  </si>
  <si>
    <t>Customer_215</t>
  </si>
  <si>
    <t>ORD00066</t>
  </si>
  <si>
    <t>CUST0173</t>
  </si>
  <si>
    <t>Customer_208</t>
  </si>
  <si>
    <t>ORD00067</t>
  </si>
  <si>
    <t>CUST0289</t>
  </si>
  <si>
    <t>Customer_014</t>
  </si>
  <si>
    <t>ORD00068</t>
  </si>
  <si>
    <t>CUST0195</t>
  </si>
  <si>
    <t>Customer_168</t>
  </si>
  <si>
    <t>ORD00069</t>
  </si>
  <si>
    <t>CUST0130</t>
  </si>
  <si>
    <t>ORD00070</t>
  </si>
  <si>
    <t>CUST0115</t>
  </si>
  <si>
    <t>Customer_036</t>
  </si>
  <si>
    <t>ORD00071</t>
  </si>
  <si>
    <t>CUST0065</t>
  </si>
  <si>
    <t>ORD00072</t>
  </si>
  <si>
    <t>ORD00073</t>
  </si>
  <si>
    <t>CUST0204</t>
  </si>
  <si>
    <t>Customer_102</t>
  </si>
  <si>
    <t>ORD00074</t>
  </si>
  <si>
    <t>CUST0062</t>
  </si>
  <si>
    <t>Customer_290</t>
  </si>
  <si>
    <t>ORD00075</t>
  </si>
  <si>
    <t>CUST0175</t>
  </si>
  <si>
    <t>Customer_007</t>
  </si>
  <si>
    <t>ORD00076</t>
  </si>
  <si>
    <t>CUST0079</t>
  </si>
  <si>
    <t>Customer_223</t>
  </si>
  <si>
    <t>ORD00077</t>
  </si>
  <si>
    <t>CUST0224</t>
  </si>
  <si>
    <t>Customer_138</t>
  </si>
  <si>
    <t>ORD00078</t>
  </si>
  <si>
    <t>CUST0292</t>
  </si>
  <si>
    <t>Customer_195</t>
  </si>
  <si>
    <t>ORD00079</t>
  </si>
  <si>
    <t>CUST0133</t>
  </si>
  <si>
    <t>Customer_175</t>
  </si>
  <si>
    <t>ORD00080</t>
  </si>
  <si>
    <t>CUST0044</t>
  </si>
  <si>
    <t>Customer_124</t>
  </si>
  <si>
    <t>ORD00081</t>
  </si>
  <si>
    <t>CUST0230</t>
  </si>
  <si>
    <t>Customer_009</t>
  </si>
  <si>
    <t>ORD00082</t>
  </si>
  <si>
    <t>CUST0189</t>
  </si>
  <si>
    <t>ORD00083</t>
  </si>
  <si>
    <t>CUST0139</t>
  </si>
  <si>
    <t>Customer_157</t>
  </si>
  <si>
    <t>ORD00084</t>
  </si>
  <si>
    <t>CUST0095</t>
  </si>
  <si>
    <t>ORD00085</t>
  </si>
  <si>
    <t>CUST0100</t>
  </si>
  <si>
    <t>Customer_152</t>
  </si>
  <si>
    <t>ORD00086</t>
  </si>
  <si>
    <t>CUST0141</t>
  </si>
  <si>
    <t>ORD00087</t>
  </si>
  <si>
    <t>CUST0294</t>
  </si>
  <si>
    <t>Customer_146</t>
  </si>
  <si>
    <t>ORD00088</t>
  </si>
  <si>
    <t>CUST0245</t>
  </si>
  <si>
    <t>Customer_059</t>
  </si>
  <si>
    <t>ORD00089</t>
  </si>
  <si>
    <t>CUST0156</t>
  </si>
  <si>
    <t>Customer_044</t>
  </si>
  <si>
    <t>ORD00090</t>
  </si>
  <si>
    <t>CUST0231</t>
  </si>
  <si>
    <t>ORD00091</t>
  </si>
  <si>
    <t>CUST0051</t>
  </si>
  <si>
    <t>Customer_107</t>
  </si>
  <si>
    <t>ORD00092</t>
  </si>
  <si>
    <t>CUST0039</t>
  </si>
  <si>
    <t>Customer_081</t>
  </si>
  <si>
    <t>ORD00093</t>
  </si>
  <si>
    <t>CUST0148</t>
  </si>
  <si>
    <t>Customer_145</t>
  </si>
  <si>
    <t>ORD00094</t>
  </si>
  <si>
    <t>CUST0102</t>
  </si>
  <si>
    <t>Customer_218</t>
  </si>
  <si>
    <t>ORD00095</t>
  </si>
  <si>
    <t>ORD00096</t>
  </si>
  <si>
    <t>Customer_207</t>
  </si>
  <si>
    <t>ORD00097</t>
  </si>
  <si>
    <t>CUST0222</t>
  </si>
  <si>
    <t>Customer_166</t>
  </si>
  <si>
    <t>ORD00098</t>
  </si>
  <si>
    <t>CUST0138</t>
  </si>
  <si>
    <t>Customer_296</t>
  </si>
  <si>
    <t>ORD00099</t>
  </si>
  <si>
    <t>CUST0300</t>
  </si>
  <si>
    <t>Customer_224</t>
  </si>
  <si>
    <t>ORD00100</t>
  </si>
  <si>
    <t>CUST0054</t>
  </si>
  <si>
    <t>ORD00101</t>
  </si>
  <si>
    <t>CUST0282</t>
  </si>
  <si>
    <t>Customer_019</t>
  </si>
  <si>
    <t>ORD00102</t>
  </si>
  <si>
    <t>CUST0264</t>
  </si>
  <si>
    <t>Customer_001</t>
  </si>
  <si>
    <t>ORD00103</t>
  </si>
  <si>
    <t>CUST0227</t>
  </si>
  <si>
    <t>Customer_027</t>
  </si>
  <si>
    <t>ORD00104</t>
  </si>
  <si>
    <t>Customer_063</t>
  </si>
  <si>
    <t>ORD00105</t>
  </si>
  <si>
    <t>CUST0283</t>
  </si>
  <si>
    <t>ORD00106</t>
  </si>
  <si>
    <t>CUST0256</t>
  </si>
  <si>
    <t>Customer_150</t>
  </si>
  <si>
    <t>ORD00107</t>
  </si>
  <si>
    <t>CUST0197</t>
  </si>
  <si>
    <t>Customer_098</t>
  </si>
  <si>
    <t>ORD00108</t>
  </si>
  <si>
    <t>CUST0137</t>
  </si>
  <si>
    <t>Customer_002</t>
  </si>
  <si>
    <t>ORD00109</t>
  </si>
  <si>
    <t>Customer_248</t>
  </si>
  <si>
    <t>ORD00110</t>
  </si>
  <si>
    <t>CUST0097</t>
  </si>
  <si>
    <t>ORD00111</t>
  </si>
  <si>
    <t>CUST0196</t>
  </si>
  <si>
    <t>ORD00112</t>
  </si>
  <si>
    <t>CUST0052</t>
  </si>
  <si>
    <t>Customer_226</t>
  </si>
  <si>
    <t>ORD00113</t>
  </si>
  <si>
    <t>CUST0080</t>
  </si>
  <si>
    <t>Customer_039</t>
  </si>
  <si>
    <t>ORD00114</t>
  </si>
  <si>
    <t>ORD00115</t>
  </si>
  <si>
    <t>CUST0121</t>
  </si>
  <si>
    <t>Customer_148</t>
  </si>
  <si>
    <t>ORD00116</t>
  </si>
  <si>
    <t>Customer_228</t>
  </si>
  <si>
    <t>ORD00117</t>
  </si>
  <si>
    <t>CUST0151</t>
  </si>
  <si>
    <t>Customer_184</t>
  </si>
  <si>
    <t>ORD00118</t>
  </si>
  <si>
    <t>CUST0093</t>
  </si>
  <si>
    <t>Customer_088</t>
  </si>
  <si>
    <t>ORD00119</t>
  </si>
  <si>
    <t>CUST0074</t>
  </si>
  <si>
    <t>Customer_119</t>
  </si>
  <si>
    <t>ORD00120</t>
  </si>
  <si>
    <t>ORD00121</t>
  </si>
  <si>
    <t>CUST0129</t>
  </si>
  <si>
    <t>Customer_234</t>
  </si>
  <si>
    <t>ORD00122</t>
  </si>
  <si>
    <t>CUST0184</t>
  </si>
  <si>
    <t>Customer_295</t>
  </si>
  <si>
    <t>ORD00123</t>
  </si>
  <si>
    <t>CUST0026</t>
  </si>
  <si>
    <t>Customer_255</t>
  </si>
  <si>
    <t>ORD00124</t>
  </si>
  <si>
    <t>Customer_071</t>
  </si>
  <si>
    <t>ORD00125</t>
  </si>
  <si>
    <t>CUST0297</t>
  </si>
  <si>
    <t>ORD00126</t>
  </si>
  <si>
    <t>Customer_188</t>
  </si>
  <si>
    <t>ORD00127</t>
  </si>
  <si>
    <t>Customer_240</t>
  </si>
  <si>
    <t>ORD00128</t>
  </si>
  <si>
    <t>Customer_136</t>
  </si>
  <si>
    <t>ORD00129</t>
  </si>
  <si>
    <t>Customer_120</t>
  </si>
  <si>
    <t>ORD00130</t>
  </si>
  <si>
    <t>Customer_238</t>
  </si>
  <si>
    <t>ORD00131</t>
  </si>
  <si>
    <t>ORD00132</t>
  </si>
  <si>
    <t>ORD00133</t>
  </si>
  <si>
    <t>CUST0017</t>
  </si>
  <si>
    <t>Customer_190</t>
  </si>
  <si>
    <t>ORD00134</t>
  </si>
  <si>
    <t>ORD00135</t>
  </si>
  <si>
    <t>CUST0047</t>
  </si>
  <si>
    <t>ORD00136</t>
  </si>
  <si>
    <t>Customer_284</t>
  </si>
  <si>
    <t>ORD00137</t>
  </si>
  <si>
    <t>Customer_142</t>
  </si>
  <si>
    <t>ORD00138</t>
  </si>
  <si>
    <t>CUST0068</t>
  </si>
  <si>
    <t>Customer_008</t>
  </si>
  <si>
    <t>ORD00139</t>
  </si>
  <si>
    <t>Customer_216</t>
  </si>
  <si>
    <t>ORD00140</t>
  </si>
  <si>
    <t>Customer_232</t>
  </si>
  <si>
    <t>ORD00141</t>
  </si>
  <si>
    <t>Customer_246</t>
  </si>
  <si>
    <t>ORD00142</t>
  </si>
  <si>
    <t>CUST0038</t>
  </si>
  <si>
    <t>ORD00143</t>
  </si>
  <si>
    <t>Customer_281</t>
  </si>
  <si>
    <t>ORD00144</t>
  </si>
  <si>
    <t>CUST0221</t>
  </si>
  <si>
    <t>Customer_051</t>
  </si>
  <si>
    <t>ORD00145</t>
  </si>
  <si>
    <t>CUST0212</t>
  </si>
  <si>
    <t>Customer_174</t>
  </si>
  <si>
    <t>ORD00146</t>
  </si>
  <si>
    <t>CUST0131</t>
  </si>
  <si>
    <t>Customer_192</t>
  </si>
  <si>
    <t>ORD00147</t>
  </si>
  <si>
    <t>Customer_050</t>
  </si>
  <si>
    <t>ORD00148</t>
  </si>
  <si>
    <t>CUST0063</t>
  </si>
  <si>
    <t>Customer_211</t>
  </si>
  <si>
    <t>ORD00149</t>
  </si>
  <si>
    <t>ORD00150</t>
  </si>
  <si>
    <t>Customer_189</t>
  </si>
  <si>
    <t>ORD00151</t>
  </si>
  <si>
    <t>CUST0286</t>
  </si>
  <si>
    <t>ORD00152</t>
  </si>
  <si>
    <t>CUST0004</t>
  </si>
  <si>
    <t>Customer_093</t>
  </si>
  <si>
    <t>ORD00153</t>
  </si>
  <si>
    <t>CUST0016</t>
  </si>
  <si>
    <t>Customer_047</t>
  </si>
  <si>
    <t>ORD00154</t>
  </si>
  <si>
    <t>CUST0167</t>
  </si>
  <si>
    <t>Customer_291</t>
  </si>
  <si>
    <t>ORD00155</t>
  </si>
  <si>
    <t>ORD00156</t>
  </si>
  <si>
    <t>ORD00157</t>
  </si>
  <si>
    <t>CUST0024</t>
  </si>
  <si>
    <t>Customer_113</t>
  </si>
  <si>
    <t>ORD00158</t>
  </si>
  <si>
    <t>CUST0071</t>
  </si>
  <si>
    <t>ORD00159</t>
  </si>
  <si>
    <t>CUST0067</t>
  </si>
  <si>
    <t>ORD00160</t>
  </si>
  <si>
    <t>Customer_010</t>
  </si>
  <si>
    <t>ORD00161</t>
  </si>
  <si>
    <t>CUST0214</t>
  </si>
  <si>
    <t>Customer_149</t>
  </si>
  <si>
    <t>ORD00162</t>
  </si>
  <si>
    <t>CUST0236</t>
  </si>
  <si>
    <t>Customer_186</t>
  </si>
  <si>
    <t>ORD00163</t>
  </si>
  <si>
    <t>CUST0041</t>
  </si>
  <si>
    <t>Customer_203</t>
  </si>
  <si>
    <t>ORD00164</t>
  </si>
  <si>
    <t>CUST0262</t>
  </si>
  <si>
    <t>ORD00165</t>
  </si>
  <si>
    <t>Customer_089</t>
  </si>
  <si>
    <t>ORD00166</t>
  </si>
  <si>
    <t>Customer_230</t>
  </si>
  <si>
    <t>ORD00167</t>
  </si>
  <si>
    <t>Customer_141</t>
  </si>
  <si>
    <t>ORD00168</t>
  </si>
  <si>
    <t>CUST0030</t>
  </si>
  <si>
    <t>ORD00169</t>
  </si>
  <si>
    <t>CUST0284</t>
  </si>
  <si>
    <t>Customer_022</t>
  </si>
  <si>
    <t>ORD00170</t>
  </si>
  <si>
    <t>CUST0078</t>
  </si>
  <si>
    <t>Customer_032</t>
  </si>
  <si>
    <t>ORD00171</t>
  </si>
  <si>
    <t>CUST0127</t>
  </si>
  <si>
    <t>Customer_225</t>
  </si>
  <si>
    <t>ORD00172</t>
  </si>
  <si>
    <t>CUST0199</t>
  </si>
  <si>
    <t>Customer_210</t>
  </si>
  <si>
    <t>ORD00173</t>
  </si>
  <si>
    <t>ORD00174</t>
  </si>
  <si>
    <t>CUST0073</t>
  </si>
  <si>
    <t>Customer_180</t>
  </si>
  <si>
    <t>ORD00175</t>
  </si>
  <si>
    <t>CUST0159</t>
  </si>
  <si>
    <t>ORD00176</t>
  </si>
  <si>
    <t>Customer_261</t>
  </si>
  <si>
    <t>ORD00177</t>
  </si>
  <si>
    <t>ORD00178</t>
  </si>
  <si>
    <t>CUST0260</t>
  </si>
  <si>
    <t>Customer_277</t>
  </si>
  <si>
    <t>ORD00179</t>
  </si>
  <si>
    <t>CUST0084</t>
  </si>
  <si>
    <t>ORD00180</t>
  </si>
  <si>
    <t>CUST0228</t>
  </si>
  <si>
    <t>ORD00181</t>
  </si>
  <si>
    <t>ORD00182</t>
  </si>
  <si>
    <t>CUST0103</t>
  </si>
  <si>
    <t>ORD00183</t>
  </si>
  <si>
    <t>CUST0265</t>
  </si>
  <si>
    <t>ORD00184</t>
  </si>
  <si>
    <t>ORD00185</t>
  </si>
  <si>
    <t>Customer_121</t>
  </si>
  <si>
    <t>ORD00186</t>
  </si>
  <si>
    <t>Customer_075</t>
  </si>
  <si>
    <t>ORD00187</t>
  </si>
  <si>
    <t>Customer_003</t>
  </si>
  <si>
    <t>ORD00188</t>
  </si>
  <si>
    <t>CUST0271</t>
  </si>
  <si>
    <t>ORD00189</t>
  </si>
  <si>
    <t>CUST0235</t>
  </si>
  <si>
    <t>Customer_033</t>
  </si>
  <si>
    <t>ORD00190</t>
  </si>
  <si>
    <t>CUST0124</t>
  </si>
  <si>
    <t>Customer_074</t>
  </si>
  <si>
    <t>ORD00191</t>
  </si>
  <si>
    <t>CUST0096</t>
  </si>
  <si>
    <t>ORD00192</t>
  </si>
  <si>
    <t>Customer_011</t>
  </si>
  <si>
    <t>ORD00193</t>
  </si>
  <si>
    <t>CUST0183</t>
  </si>
  <si>
    <t>Customer_035</t>
  </si>
  <si>
    <t>ORD00194</t>
  </si>
  <si>
    <t>ORD00195</t>
  </si>
  <si>
    <t>ORD00196</t>
  </si>
  <si>
    <t>Customer_204</t>
  </si>
  <si>
    <t>ORD00197</t>
  </si>
  <si>
    <t>Customer_140</t>
  </si>
  <si>
    <t>ORD00198</t>
  </si>
  <si>
    <t>CUST0174</t>
  </si>
  <si>
    <t>Customer_096</t>
  </si>
  <si>
    <t>ORD00199</t>
  </si>
  <si>
    <t>CUST0218</t>
  </si>
  <si>
    <t>Customer_041</t>
  </si>
  <si>
    <t>ORD00200</t>
  </si>
  <si>
    <t>CUST0168</t>
  </si>
  <si>
    <t>ORD00201</t>
  </si>
  <si>
    <t>ORD00202</t>
  </si>
  <si>
    <t>CUST0208</t>
  </si>
  <si>
    <t>ORD00203</t>
  </si>
  <si>
    <t>ORD00204</t>
  </si>
  <si>
    <t>CUST0191</t>
  </si>
  <si>
    <t>ORD00205</t>
  </si>
  <si>
    <t>ORD00206</t>
  </si>
  <si>
    <t>CUST0061</t>
  </si>
  <si>
    <t>ORD00207</t>
  </si>
  <si>
    <t>ORD00208</t>
  </si>
  <si>
    <t>CUST0164</t>
  </si>
  <si>
    <t>Customer_178</t>
  </si>
  <si>
    <t>ORD00209</t>
  </si>
  <si>
    <t>CUST0090</t>
  </si>
  <si>
    <t>ORD00210</t>
  </si>
  <si>
    <t>CUST0185</t>
  </si>
  <si>
    <t>ORD00211</t>
  </si>
  <si>
    <t>CUST0246</t>
  </si>
  <si>
    <t>Customer_270</t>
  </si>
  <si>
    <t>ORD00212</t>
  </si>
  <si>
    <t>Customer_231</t>
  </si>
  <si>
    <t>ORD00213</t>
  </si>
  <si>
    <t>CUST0094</t>
  </si>
  <si>
    <t>Customer_067</t>
  </si>
  <si>
    <t>ORD00214</t>
  </si>
  <si>
    <t>ORD00215</t>
  </si>
  <si>
    <t>ORD00216</t>
  </si>
  <si>
    <t>CUST0087</t>
  </si>
  <si>
    <t>Customer_298</t>
  </si>
  <si>
    <t>ORD00217</t>
  </si>
  <si>
    <t>CUST0022</t>
  </si>
  <si>
    <t>ORD00218</t>
  </si>
  <si>
    <t>Customer_016</t>
  </si>
  <si>
    <t>ORD00219</t>
  </si>
  <si>
    <t>Customer_153</t>
  </si>
  <si>
    <t>ORD00220</t>
  </si>
  <si>
    <t>CUST0238</t>
  </si>
  <si>
    <t>Customer_105</t>
  </si>
  <si>
    <t>ORD00221</t>
  </si>
  <si>
    <t>ORD00222</t>
  </si>
  <si>
    <t>ORD00223</t>
  </si>
  <si>
    <t>CUST0215</t>
  </si>
  <si>
    <t>ORD00224</t>
  </si>
  <si>
    <t>ORD00225</t>
  </si>
  <si>
    <t>ORD00226</t>
  </si>
  <si>
    <t>CUST0241</t>
  </si>
  <si>
    <t>Customer_147</t>
  </si>
  <si>
    <t>ORD00227</t>
  </si>
  <si>
    <t>CUST0188</t>
  </si>
  <si>
    <t>ORD00228</t>
  </si>
  <si>
    <t>ORD00229</t>
  </si>
  <si>
    <t>CUST0202</t>
  </si>
  <si>
    <t>ORD00230</t>
  </si>
  <si>
    <t>CUST0257</t>
  </si>
  <si>
    <t>Customer_021</t>
  </si>
  <si>
    <t>ORD00231</t>
  </si>
  <si>
    <t>Customer_072</t>
  </si>
  <si>
    <t>ORD00232</t>
  </si>
  <si>
    <t>ORD00233</t>
  </si>
  <si>
    <t>Customer_057</t>
  </si>
  <si>
    <t>ORD00234</t>
  </si>
  <si>
    <t>ORD00235</t>
  </si>
  <si>
    <t>Customer_076</t>
  </si>
  <si>
    <t>ORD00236</t>
  </si>
  <si>
    <t>Customer_078</t>
  </si>
  <si>
    <t>ORD00237</t>
  </si>
  <si>
    <t>ORD00238</t>
  </si>
  <si>
    <t>Customer_273</t>
  </si>
  <si>
    <t>ORD00239</t>
  </si>
  <si>
    <t>Customer_286</t>
  </si>
  <si>
    <t>ORD00240</t>
  </si>
  <si>
    <t>CUST0163</t>
  </si>
  <si>
    <t>ORD00241</t>
  </si>
  <si>
    <t>CUST0279</t>
  </si>
  <si>
    <t>ORD00242</t>
  </si>
  <si>
    <t>CUST0178</t>
  </si>
  <si>
    <t>ORD00243</t>
  </si>
  <si>
    <t>ORD00244</t>
  </si>
  <si>
    <t>Customer_116</t>
  </si>
  <si>
    <t>ORD00245</t>
  </si>
  <si>
    <t>ORD00246</t>
  </si>
  <si>
    <t>CUST0165</t>
  </si>
  <si>
    <t>ORD00247</t>
  </si>
  <si>
    <t>Customer_214</t>
  </si>
  <si>
    <t>ORD00248</t>
  </si>
  <si>
    <t>CUST0020</t>
  </si>
  <si>
    <t>Customer_005</t>
  </si>
  <si>
    <t>ORD00249</t>
  </si>
  <si>
    <t>Customer_269</t>
  </si>
  <si>
    <t>ORD00250</t>
  </si>
  <si>
    <t>ORD00251</t>
  </si>
  <si>
    <t>CUST0291</t>
  </si>
  <si>
    <t>ORD00252</t>
  </si>
  <si>
    <t>CUST0206</t>
  </si>
  <si>
    <t>Customer_049</t>
  </si>
  <si>
    <t>ORD00253</t>
  </si>
  <si>
    <t>Customer_229</t>
  </si>
  <si>
    <t>ORD00254</t>
  </si>
  <si>
    <t>ORD00255</t>
  </si>
  <si>
    <t>CUST0258</t>
  </si>
  <si>
    <t>Customer_160</t>
  </si>
  <si>
    <t>ORD00256</t>
  </si>
  <si>
    <t>Customer_079</t>
  </si>
  <si>
    <t>ORD00257</t>
  </si>
  <si>
    <t>Customer_112</t>
  </si>
  <si>
    <t>ORD00258</t>
  </si>
  <si>
    <t>CUST0186</t>
  </si>
  <si>
    <t>Customer_040</t>
  </si>
  <si>
    <t>ORD00259</t>
  </si>
  <si>
    <t>CUST0085</t>
  </si>
  <si>
    <t>ORD00260</t>
  </si>
  <si>
    <t>Customer_029</t>
  </si>
  <si>
    <t>ORD00261</t>
  </si>
  <si>
    <t>Customer_158</t>
  </si>
  <si>
    <t>ORD00262</t>
  </si>
  <si>
    <t>ORD00263</t>
  </si>
  <si>
    <t>Customer_070</t>
  </si>
  <si>
    <t>ORD00264</t>
  </si>
  <si>
    <t>Customer_069</t>
  </si>
  <si>
    <t>ORD00265</t>
  </si>
  <si>
    <t>Customer_012</t>
  </si>
  <si>
    <t>ORD00266</t>
  </si>
  <si>
    <t>Customer_236</t>
  </si>
  <si>
    <t>ORD00267</t>
  </si>
  <si>
    <t>ORD00268</t>
  </si>
  <si>
    <t>CUST0025</t>
  </si>
  <si>
    <t>ORD00269</t>
  </si>
  <si>
    <t>CUST0072</t>
  </si>
  <si>
    <t>Customer_258</t>
  </si>
  <si>
    <t>ORD00270</t>
  </si>
  <si>
    <t>Customer_122</t>
  </si>
  <si>
    <t>ORD00271</t>
  </si>
  <si>
    <t>ORD00272</t>
  </si>
  <si>
    <t>ORD00273</t>
  </si>
  <si>
    <t>ORD00274</t>
  </si>
  <si>
    <t>ORD00275</t>
  </si>
  <si>
    <t>ORD00276</t>
  </si>
  <si>
    <t>CUST0021</t>
  </si>
  <si>
    <t>Customer_038</t>
  </si>
  <si>
    <t>ORD00277</t>
  </si>
  <si>
    <t>ORD00278</t>
  </si>
  <si>
    <t>CUST0105</t>
  </si>
  <si>
    <t>ORD00279</t>
  </si>
  <si>
    <t>ORD00280</t>
  </si>
  <si>
    <t>ORD00281</t>
  </si>
  <si>
    <t>CUST0009</t>
  </si>
  <si>
    <t>Customer_134</t>
  </si>
  <si>
    <t>ORD00282</t>
  </si>
  <si>
    <t>Customer_256</t>
  </si>
  <si>
    <t>ORD00283</t>
  </si>
  <si>
    <t>ORD00284</t>
  </si>
  <si>
    <t>ORD00285</t>
  </si>
  <si>
    <t>CUST0112</t>
  </si>
  <si>
    <t>Customer_259</t>
  </si>
  <si>
    <t>ORD00286</t>
  </si>
  <si>
    <t>ORD00287</t>
  </si>
  <si>
    <t>ORD00288</t>
  </si>
  <si>
    <t>CUST0270</t>
  </si>
  <si>
    <t>Customer_130</t>
  </si>
  <si>
    <t>ORD00289</t>
  </si>
  <si>
    <t>Customer_125</t>
  </si>
  <si>
    <t>ORD00290</t>
  </si>
  <si>
    <t>CUST0194</t>
  </si>
  <si>
    <t>Customer_283</t>
  </si>
  <si>
    <t>ORD00291</t>
  </si>
  <si>
    <t>ORD00292</t>
  </si>
  <si>
    <t>ORD00293</t>
  </si>
  <si>
    <t>CUST0092</t>
  </si>
  <si>
    <t>Customer_162</t>
  </si>
  <si>
    <t>ORD00294</t>
  </si>
  <si>
    <t>Customer_289</t>
  </si>
  <si>
    <t>ORD00295</t>
  </si>
  <si>
    <t>Customer_257</t>
  </si>
  <si>
    <t>ORD00296</t>
  </si>
  <si>
    <t>ORD00297</t>
  </si>
  <si>
    <t>CUST0193</t>
  </si>
  <si>
    <t>Customer_222</t>
  </si>
  <si>
    <t>ORD00298</t>
  </si>
  <si>
    <t>ORD00299</t>
  </si>
  <si>
    <t>Customer_055</t>
  </si>
  <si>
    <t>ORD00300</t>
  </si>
  <si>
    <t>ORD00301</t>
  </si>
  <si>
    <t>Customer_046</t>
  </si>
  <si>
    <t>ORD00302</t>
  </si>
  <si>
    <t>CUST0150</t>
  </si>
  <si>
    <t>Customer_212</t>
  </si>
  <si>
    <t>ORD00303</t>
  </si>
  <si>
    <t>Customer_087</t>
  </si>
  <si>
    <t>ORD00304</t>
  </si>
  <si>
    <t>ORD00305</t>
  </si>
  <si>
    <t>Customer_101</t>
  </si>
  <si>
    <t>ORD00306</t>
  </si>
  <si>
    <t>ORD00307</t>
  </si>
  <si>
    <t>ORD00308</t>
  </si>
  <si>
    <t>CUST0252</t>
  </si>
  <si>
    <t>ORD00309</t>
  </si>
  <si>
    <t>ORD00310</t>
  </si>
  <si>
    <t>ORD00311</t>
  </si>
  <si>
    <t>ORD00312</t>
  </si>
  <si>
    <t>ORD00313</t>
  </si>
  <si>
    <t>Customer_086</t>
  </si>
  <si>
    <t>ORD00314</t>
  </si>
  <si>
    <t>CUST0055</t>
  </si>
  <si>
    <t>Customer_006</t>
  </si>
  <si>
    <t>ORD00315</t>
  </si>
  <si>
    <t>CUST0295</t>
  </si>
  <si>
    <t>Customer_114</t>
  </si>
  <si>
    <t>ORD00316</t>
  </si>
  <si>
    <t>CUST0248</t>
  </si>
  <si>
    <t>ORD00317</t>
  </si>
  <si>
    <t>CUST0234</t>
  </si>
  <si>
    <t>Customer_106</t>
  </si>
  <si>
    <t>ORD00318</t>
  </si>
  <si>
    <t>ORD00319</t>
  </si>
  <si>
    <t>ORD00320</t>
  </si>
  <si>
    <t>ORD00321</t>
  </si>
  <si>
    <t>ORD00322</t>
  </si>
  <si>
    <t>ORD00323</t>
  </si>
  <si>
    <t>CUST0135</t>
  </si>
  <si>
    <t>Customer_251</t>
  </si>
  <si>
    <t>ORD00324</t>
  </si>
  <si>
    <t>CUST0181</t>
  </si>
  <si>
    <t>ORD00325</t>
  </si>
  <si>
    <t>ORD00326</t>
  </si>
  <si>
    <t>ORD00327</t>
  </si>
  <si>
    <t>CUST0089</t>
  </si>
  <si>
    <t>Customer_285</t>
  </si>
  <si>
    <t>ORD00328</t>
  </si>
  <si>
    <t>CUST0028</t>
  </si>
  <si>
    <t>ORD00329</t>
  </si>
  <si>
    <t>ORD00330</t>
  </si>
  <si>
    <t>ORD00331</t>
  </si>
  <si>
    <t>Customer_254</t>
  </si>
  <si>
    <t>ORD00332</t>
  </si>
  <si>
    <t>CUST0278</t>
  </si>
  <si>
    <t>ORD00333</t>
  </si>
  <si>
    <t>ORD00334</t>
  </si>
  <si>
    <t>CUST0122</t>
  </si>
  <si>
    <t>Customer_108</t>
  </si>
  <si>
    <t>ORD00335</t>
  </si>
  <si>
    <t>CUST0106</t>
  </si>
  <si>
    <t>Customer_031</t>
  </si>
  <si>
    <t>ORD00336</t>
  </si>
  <si>
    <t>ORD00337</t>
  </si>
  <si>
    <t>ORD00338</t>
  </si>
  <si>
    <t>ORD00339</t>
  </si>
  <si>
    <t>ORD00340</t>
  </si>
  <si>
    <t>ORD00341</t>
  </si>
  <si>
    <t>ORD00342</t>
  </si>
  <si>
    <t>CUST0176</t>
  </si>
  <si>
    <t>Customer_025</t>
  </si>
  <si>
    <t>ORD00343</t>
  </si>
  <si>
    <t>CUST0226</t>
  </si>
  <si>
    <t>ORD00344</t>
  </si>
  <si>
    <t>Customer_185</t>
  </si>
  <si>
    <t>ORD00345</t>
  </si>
  <si>
    <t>CUST0120</t>
  </si>
  <si>
    <t>Customer_220</t>
  </si>
  <si>
    <t>ORD00346</t>
  </si>
  <si>
    <t>CUST0116</t>
  </si>
  <si>
    <t>ORD00347</t>
  </si>
  <si>
    <t>Customer_245</t>
  </si>
  <si>
    <t>ORD00348</t>
  </si>
  <si>
    <t>ORD00349</t>
  </si>
  <si>
    <t>ORD00350</t>
  </si>
  <si>
    <t>ORD00351</t>
  </si>
  <si>
    <t>ORD00352</t>
  </si>
  <si>
    <t>CUST0146</t>
  </si>
  <si>
    <t>ORD00353</t>
  </si>
  <si>
    <t>CUST0152</t>
  </si>
  <si>
    <t>Customer_028</t>
  </si>
  <si>
    <t>ORD00354</t>
  </si>
  <si>
    <t>CUST0037</t>
  </si>
  <si>
    <t>Customer_271</t>
  </si>
  <si>
    <t>ORD00355</t>
  </si>
  <si>
    <t>CUST0216</t>
  </si>
  <si>
    <t>ORD00356</t>
  </si>
  <si>
    <t>ORD00357</t>
  </si>
  <si>
    <t>CUST0043</t>
  </si>
  <si>
    <t>ORD00358</t>
  </si>
  <si>
    <t>ORD00359</t>
  </si>
  <si>
    <t>ORD00360</t>
  </si>
  <si>
    <t>ORD00361</t>
  </si>
  <si>
    <t>CUST0268</t>
  </si>
  <si>
    <t>Customer_265</t>
  </si>
  <si>
    <t>ORD00362</t>
  </si>
  <si>
    <t>Customer_172</t>
  </si>
  <si>
    <t>ORD00363</t>
  </si>
  <si>
    <t>CUST0040</t>
  </si>
  <si>
    <t>ORD00364</t>
  </si>
  <si>
    <t>ORD00365</t>
  </si>
  <si>
    <t>CUST0023</t>
  </si>
  <si>
    <t>ORD00366</t>
  </si>
  <si>
    <t>CUST0019</t>
  </si>
  <si>
    <t>ORD00367</t>
  </si>
  <si>
    <t>ORD00368</t>
  </si>
  <si>
    <t>Customer_206</t>
  </si>
  <si>
    <t>ORD00369</t>
  </si>
  <si>
    <t>CUST0005</t>
  </si>
  <si>
    <t>ORD00370</t>
  </si>
  <si>
    <t>CUST0253</t>
  </si>
  <si>
    <t>ORD00371</t>
  </si>
  <si>
    <t>ORD00372</t>
  </si>
  <si>
    <t>Customer_252</t>
  </si>
  <si>
    <t>ORD00373</t>
  </si>
  <si>
    <t>CUST0267</t>
  </si>
  <si>
    <t>ORD00374</t>
  </si>
  <si>
    <t>ORD00375</t>
  </si>
  <si>
    <t>ORD00376</t>
  </si>
  <si>
    <t>Customer_056</t>
  </si>
  <si>
    <t>ORD00377</t>
  </si>
  <si>
    <t>ORD00378</t>
  </si>
  <si>
    <t>ORD00379</t>
  </si>
  <si>
    <t>CUST0203</t>
  </si>
  <si>
    <t>Customer_263</t>
  </si>
  <si>
    <t>ORD00380</t>
  </si>
  <si>
    <t>ORD00381</t>
  </si>
  <si>
    <t>ORD00382</t>
  </si>
  <si>
    <t>CUST0012</t>
  </si>
  <si>
    <t>Customer_034</t>
  </si>
  <si>
    <t>ORD00383</t>
  </si>
  <si>
    <t>ORD00384</t>
  </si>
  <si>
    <t>CUST0255</t>
  </si>
  <si>
    <t>ORD00385</t>
  </si>
  <si>
    <t>Customer_144</t>
  </si>
  <si>
    <t>ORD00386</t>
  </si>
  <si>
    <t>Customer_282</t>
  </si>
  <si>
    <t>ORD00387</t>
  </si>
  <si>
    <t>ORD00388</t>
  </si>
  <si>
    <t>CUST0177</t>
  </si>
  <si>
    <t>ORD00389</t>
  </si>
  <si>
    <t>ORD00390</t>
  </si>
  <si>
    <t>ORD00391</t>
  </si>
  <si>
    <t>ORD00392</t>
  </si>
  <si>
    <t>ORD00393</t>
  </si>
  <si>
    <t>ORD00394</t>
  </si>
  <si>
    <t>Customer_104</t>
  </si>
  <si>
    <t>ORD00395</t>
  </si>
  <si>
    <t>ORD00396</t>
  </si>
  <si>
    <t>CUST0070</t>
  </si>
  <si>
    <t>ORD00397</t>
  </si>
  <si>
    <t>Customer_115</t>
  </si>
  <si>
    <t>ORD00398</t>
  </si>
  <si>
    <t>Customer_201</t>
  </si>
  <si>
    <t>ORD00399</t>
  </si>
  <si>
    <t>Customer_073</t>
  </si>
  <si>
    <t>ORD00400</t>
  </si>
  <si>
    <t>CUST0046</t>
  </si>
  <si>
    <t>ORD00401</t>
  </si>
  <si>
    <t>CUST0132</t>
  </si>
  <si>
    <t>ORD00402</t>
  </si>
  <si>
    <t>Customer_194</t>
  </si>
  <si>
    <t>ORD00403</t>
  </si>
  <si>
    <t>ORD00404</t>
  </si>
  <si>
    <t>ORD00405</t>
  </si>
  <si>
    <t>ORD00406</t>
  </si>
  <si>
    <t>ORD00407</t>
  </si>
  <si>
    <t>CUST0153</t>
  </si>
  <si>
    <t>ORD00408</t>
  </si>
  <si>
    <t>ORD00409</t>
  </si>
  <si>
    <t>ORD00410</t>
  </si>
  <si>
    <t>CUST0251</t>
  </si>
  <si>
    <t>ORD00411</t>
  </si>
  <si>
    <t>CUST0190</t>
  </si>
  <si>
    <t>ORD00412</t>
  </si>
  <si>
    <t>ORD00413</t>
  </si>
  <si>
    <t>Customer_117</t>
  </si>
  <si>
    <t>ORD00414</t>
  </si>
  <si>
    <t>ORD00415</t>
  </si>
  <si>
    <t>CUST0293</t>
  </si>
  <si>
    <t>ORD00416</t>
  </si>
  <si>
    <t>ORD00417</t>
  </si>
  <si>
    <t>ORD00418</t>
  </si>
  <si>
    <t>ORD00419</t>
  </si>
  <si>
    <t>Customer_077</t>
  </si>
  <si>
    <t>ORD00420</t>
  </si>
  <si>
    <t>ORD00421</t>
  </si>
  <si>
    <t>ORD00422</t>
  </si>
  <si>
    <t>Customer_026</t>
  </si>
  <si>
    <t>ORD00423</t>
  </si>
  <si>
    <t>CUST0160</t>
  </si>
  <si>
    <t>ORD00424</t>
  </si>
  <si>
    <t>ORD00425</t>
  </si>
  <si>
    <t>ORD00426</t>
  </si>
  <si>
    <t>ORD00427</t>
  </si>
  <si>
    <t>ORD00428</t>
  </si>
  <si>
    <t>ORD00429</t>
  </si>
  <si>
    <t>ORD00430</t>
  </si>
  <si>
    <t>Customer_293</t>
  </si>
  <si>
    <t>ORD00431</t>
  </si>
  <si>
    <t>CUST0263</t>
  </si>
  <si>
    <t>ORD00432</t>
  </si>
  <si>
    <t>CUST0157</t>
  </si>
  <si>
    <t>ORD00433</t>
  </si>
  <si>
    <t>ORD00434</t>
  </si>
  <si>
    <t>CUST0145</t>
  </si>
  <si>
    <t>ORD00435</t>
  </si>
  <si>
    <t>CUST0134</t>
  </si>
  <si>
    <t>ORD00436</t>
  </si>
  <si>
    <t>Customer_164</t>
  </si>
  <si>
    <t>ORD00437</t>
  </si>
  <si>
    <t>Customer_199</t>
  </si>
  <si>
    <t>ORD00438</t>
  </si>
  <si>
    <t>Customer_274</t>
  </si>
  <si>
    <t>ORD00439</t>
  </si>
  <si>
    <t>ORD00440</t>
  </si>
  <si>
    <t>ORD00441</t>
  </si>
  <si>
    <t>ORD00442</t>
  </si>
  <si>
    <t>CUST0298</t>
  </si>
  <si>
    <t>ORD00443</t>
  </si>
  <si>
    <t>ORD00444</t>
  </si>
  <si>
    <t>ORD00445</t>
  </si>
  <si>
    <t>CUST0003</t>
  </si>
  <si>
    <t>ORD00446</t>
  </si>
  <si>
    <t>ORD00447</t>
  </si>
  <si>
    <t>ORD00448</t>
  </si>
  <si>
    <t>CUST0128</t>
  </si>
  <si>
    <t>ORD00449</t>
  </si>
  <si>
    <t>CUST0086</t>
  </si>
  <si>
    <t>ORD00450</t>
  </si>
  <si>
    <t>ORD00451</t>
  </si>
  <si>
    <t>CUST0010</t>
  </si>
  <si>
    <t>ORD00452</t>
  </si>
  <si>
    <t>CUST0064</t>
  </si>
  <si>
    <t>ORD00453</t>
  </si>
  <si>
    <t>ORD00454</t>
  </si>
  <si>
    <t>CUST0281</t>
  </si>
  <si>
    <t>ORD00455</t>
  </si>
  <si>
    <t>Customer_267</t>
  </si>
  <si>
    <t>ORD00456</t>
  </si>
  <si>
    <t>Customer_061</t>
  </si>
  <si>
    <t>ORD00457</t>
  </si>
  <si>
    <t>ORD00458</t>
  </si>
  <si>
    <t>CUST0107</t>
  </si>
  <si>
    <t>Customer_247</t>
  </si>
  <si>
    <t>ORD00459</t>
  </si>
  <si>
    <t>ORD00460</t>
  </si>
  <si>
    <t>ORD00461</t>
  </si>
  <si>
    <t>CUST0161</t>
  </si>
  <si>
    <t>Customer_219</t>
  </si>
  <si>
    <t>ORD00462</t>
  </si>
  <si>
    <t>CUST0169</t>
  </si>
  <si>
    <t>ORD00463</t>
  </si>
  <si>
    <t>ORD00464</t>
  </si>
  <si>
    <t>Customer_058</t>
  </si>
  <si>
    <t>ORD00465</t>
  </si>
  <si>
    <t>Customer_292</t>
  </si>
  <si>
    <t>ORD00466</t>
  </si>
  <si>
    <t>ORD00467</t>
  </si>
  <si>
    <t>ORD00468</t>
  </si>
  <si>
    <t>CUST0049</t>
  </si>
  <si>
    <t>ORD00469</t>
  </si>
  <si>
    <t>ORD00470</t>
  </si>
  <si>
    <t>ORD00471</t>
  </si>
  <si>
    <t>ORD00472</t>
  </si>
  <si>
    <t>ORD00473</t>
  </si>
  <si>
    <t>ORD00474</t>
  </si>
  <si>
    <t>ORD00475</t>
  </si>
  <si>
    <t>CUST0243</t>
  </si>
  <si>
    <t>ORD00476</t>
  </si>
  <si>
    <t>ORD00477</t>
  </si>
  <si>
    <t>ORD00478</t>
  </si>
  <si>
    <t>ORD00479</t>
  </si>
  <si>
    <t>ORD00480</t>
  </si>
  <si>
    <t>ORD00481</t>
  </si>
  <si>
    <t>ORD00482</t>
  </si>
  <si>
    <t>ORD00483</t>
  </si>
  <si>
    <t>ORD00484</t>
  </si>
  <si>
    <t>Customer_092</t>
  </si>
  <si>
    <t>ORD00485</t>
  </si>
  <si>
    <t>ORD00486</t>
  </si>
  <si>
    <t>ORD00487</t>
  </si>
  <si>
    <t>ORD00488</t>
  </si>
  <si>
    <t>Customer_200</t>
  </si>
  <si>
    <t>ORD00489</t>
  </si>
  <si>
    <t>ORD00490</t>
  </si>
  <si>
    <t>ORD00491</t>
  </si>
  <si>
    <t>ORD00492</t>
  </si>
  <si>
    <t>ORD00493</t>
  </si>
  <si>
    <t>ORD00494</t>
  </si>
  <si>
    <t>ORD00495</t>
  </si>
  <si>
    <t>CUST0035</t>
  </si>
  <si>
    <t>ORD00496</t>
  </si>
  <si>
    <t>Customer_170</t>
  </si>
  <si>
    <t>ORD00497</t>
  </si>
  <si>
    <t>ORD00498</t>
  </si>
  <si>
    <t>Customer_196</t>
  </si>
  <si>
    <t>ORD00499</t>
  </si>
  <si>
    <t>Customer_264</t>
  </si>
  <si>
    <t>ORD00500</t>
  </si>
  <si>
    <t>CUST0050</t>
  </si>
  <si>
    <t>ORD00501</t>
  </si>
  <si>
    <t>ORD00502</t>
  </si>
  <si>
    <t>ORD00503</t>
  </si>
  <si>
    <t>ORD00504</t>
  </si>
  <si>
    <t>ORD00505</t>
  </si>
  <si>
    <t>ORD00506</t>
  </si>
  <si>
    <t>ORD00507</t>
  </si>
  <si>
    <t>CUST0201</t>
  </si>
  <si>
    <t>ORD00508</t>
  </si>
  <si>
    <t>ORD00509</t>
  </si>
  <si>
    <t>ORD00510</t>
  </si>
  <si>
    <t>ORD00511</t>
  </si>
  <si>
    <t>ORD00512</t>
  </si>
  <si>
    <t>ORD00513</t>
  </si>
  <si>
    <t>Customer_100</t>
  </si>
  <si>
    <t>ORD00514</t>
  </si>
  <si>
    <t>ORD00515</t>
  </si>
  <si>
    <t>ORD00516</t>
  </si>
  <si>
    <t>ORD00517</t>
  </si>
  <si>
    <t>ORD00518</t>
  </si>
  <si>
    <t>ORD00519</t>
  </si>
  <si>
    <t>CUST0242</t>
  </si>
  <si>
    <t>ORD00520</t>
  </si>
  <si>
    <t>ORD00521</t>
  </si>
  <si>
    <t>ORD00522</t>
  </si>
  <si>
    <t>CUST0075</t>
  </si>
  <si>
    <t>ORD00523</t>
  </si>
  <si>
    <t>ORD00524</t>
  </si>
  <si>
    <t>ORD00525</t>
  </si>
  <si>
    <t>Customer_193</t>
  </si>
  <si>
    <t>ORD00526</t>
  </si>
  <si>
    <t>ORD00527</t>
  </si>
  <si>
    <t>ORD00528</t>
  </si>
  <si>
    <t>ORD00529</t>
  </si>
  <si>
    <t>ORD00530</t>
  </si>
  <si>
    <t>CUST0069</t>
  </si>
  <si>
    <t>ORD00531</t>
  </si>
  <si>
    <t>ORD00532</t>
  </si>
  <si>
    <t>ORD00533</t>
  </si>
  <si>
    <t>ORD00534</t>
  </si>
  <si>
    <t>CUST0118</t>
  </si>
  <si>
    <t>ORD00535</t>
  </si>
  <si>
    <t>ORD00536</t>
  </si>
  <si>
    <t>ORD00537</t>
  </si>
  <si>
    <t>ORD00538</t>
  </si>
  <si>
    <t>ORD00539</t>
  </si>
  <si>
    <t>ORD00540</t>
  </si>
  <si>
    <t>ORD00541</t>
  </si>
  <si>
    <t>CUST0219</t>
  </si>
  <si>
    <t>ORD00542</t>
  </si>
  <si>
    <t>ORD00543</t>
  </si>
  <si>
    <t>ORD00544</t>
  </si>
  <si>
    <t>ORD00545</t>
  </si>
  <si>
    <t>ORD00546</t>
  </si>
  <si>
    <t>ORD00547</t>
  </si>
  <si>
    <t>ORD00548</t>
  </si>
  <si>
    <t>CUST0006</t>
  </si>
  <si>
    <t>ORD00549</t>
  </si>
  <si>
    <t>ORD00550</t>
  </si>
  <si>
    <t>Customer_181</t>
  </si>
  <si>
    <t>ORD00551</t>
  </si>
  <si>
    <t>ORD00552</t>
  </si>
  <si>
    <t>ORD00553</t>
  </si>
  <si>
    <t>ORD00554</t>
  </si>
  <si>
    <t>ORD00555</t>
  </si>
  <si>
    <t>ORD00556</t>
  </si>
  <si>
    <t>ORD00557</t>
  </si>
  <si>
    <t>ORD00558</t>
  </si>
  <si>
    <t>CUST0244</t>
  </si>
  <si>
    <t>ORD00559</t>
  </si>
  <si>
    <t>ORD00560</t>
  </si>
  <si>
    <t>Customer_183</t>
  </si>
  <si>
    <t>ORD00561</t>
  </si>
  <si>
    <t>ORD00562</t>
  </si>
  <si>
    <t>CUST0144</t>
  </si>
  <si>
    <t>ORD00563</t>
  </si>
  <si>
    <t>Customer_017</t>
  </si>
  <si>
    <t>ORD00564</t>
  </si>
  <si>
    <t>CUST0266</t>
  </si>
  <si>
    <t>ORD00565</t>
  </si>
  <si>
    <t>ORD00566</t>
  </si>
  <si>
    <t>ORD00567</t>
  </si>
  <si>
    <t>ORD00568</t>
  </si>
  <si>
    <t>Customer_052</t>
  </si>
  <si>
    <t>ORD00569</t>
  </si>
  <si>
    <t>ORD00570</t>
  </si>
  <si>
    <t>CUST0250</t>
  </si>
  <si>
    <t>Customer_154</t>
  </si>
  <si>
    <t>ORD00571</t>
  </si>
  <si>
    <t>Customer_111</t>
  </si>
  <si>
    <t>ORD00572</t>
  </si>
  <si>
    <t>ORD00573</t>
  </si>
  <si>
    <t>ORD00574</t>
  </si>
  <si>
    <t>ORD00575</t>
  </si>
  <si>
    <t>ORD00576</t>
  </si>
  <si>
    <t>Customer_137</t>
  </si>
  <si>
    <t>ORD00577</t>
  </si>
  <si>
    <t>Customer_095</t>
  </si>
  <si>
    <t>ORD00578</t>
  </si>
  <si>
    <t>ORD00579</t>
  </si>
  <si>
    <t>ORD00580</t>
  </si>
  <si>
    <t>ORD00581</t>
  </si>
  <si>
    <t>ORD00582</t>
  </si>
  <si>
    <t>ORD00583</t>
  </si>
  <si>
    <t>ORD00584</t>
  </si>
  <si>
    <t>ORD00585</t>
  </si>
  <si>
    <t>ORD00586</t>
  </si>
  <si>
    <t>ORD00587</t>
  </si>
  <si>
    <t>ORD00588</t>
  </si>
  <si>
    <t>ORD00589</t>
  </si>
  <si>
    <t>ORD00590</t>
  </si>
  <si>
    <t>Customer_097</t>
  </si>
  <si>
    <t>ORD00591</t>
  </si>
  <si>
    <t>ORD00592</t>
  </si>
  <si>
    <t>ORD00593</t>
  </si>
  <si>
    <t>ORD00594</t>
  </si>
  <si>
    <t>CUST0099</t>
  </si>
  <si>
    <t>Customer_129</t>
  </si>
  <si>
    <t>ORD00595</t>
  </si>
  <si>
    <t>Customer_018</t>
  </si>
  <si>
    <t>ORD00596</t>
  </si>
  <si>
    <t>ORD00597</t>
  </si>
  <si>
    <t>CUST0247</t>
  </si>
  <si>
    <t>ORD00598</t>
  </si>
  <si>
    <t>ORD00599</t>
  </si>
  <si>
    <t>ORD00600</t>
  </si>
  <si>
    <t>ORD00601</t>
  </si>
  <si>
    <t>ORD00602</t>
  </si>
  <si>
    <t>ORD00603</t>
  </si>
  <si>
    <t>Customer_249</t>
  </si>
  <si>
    <t>ORD00604</t>
  </si>
  <si>
    <t>Customer_179</t>
  </si>
  <si>
    <t>ORD00605</t>
  </si>
  <si>
    <t>ORD00606</t>
  </si>
  <si>
    <t>ORD00607</t>
  </si>
  <si>
    <t>ORD00608</t>
  </si>
  <si>
    <t>CUST0166</t>
  </si>
  <si>
    <t>ORD00609</t>
  </si>
  <si>
    <t>ORD00610</t>
  </si>
  <si>
    <t>ORD00611</t>
  </si>
  <si>
    <t>ORD00612</t>
  </si>
  <si>
    <t>ORD00613</t>
  </si>
  <si>
    <t>ORD00614</t>
  </si>
  <si>
    <t>ORD00615</t>
  </si>
  <si>
    <t>ORD00616</t>
  </si>
  <si>
    <t>ORD00617</t>
  </si>
  <si>
    <t>Customer_167</t>
  </si>
  <si>
    <t>ORD00618</t>
  </si>
  <si>
    <t>ORD00619</t>
  </si>
  <si>
    <t>ORD00620</t>
  </si>
  <si>
    <t>ORD00621</t>
  </si>
  <si>
    <t>ORD00622</t>
  </si>
  <si>
    <t>Customer_299</t>
  </si>
  <si>
    <t>ORD00623</t>
  </si>
  <si>
    <t>ORD00624</t>
  </si>
  <si>
    <t>ORD00625</t>
  </si>
  <si>
    <t>ORD00626</t>
  </si>
  <si>
    <t>ORD00627</t>
  </si>
  <si>
    <t>ORD00628</t>
  </si>
  <si>
    <t>CUST0259</t>
  </si>
  <si>
    <t>ORD00629</t>
  </si>
  <si>
    <t>ORD00630</t>
  </si>
  <si>
    <t>ORD00631</t>
  </si>
  <si>
    <t>ORD00632</t>
  </si>
  <si>
    <t>ORD00633</t>
  </si>
  <si>
    <t>CUST0013</t>
  </si>
  <si>
    <t>ORD00634</t>
  </si>
  <si>
    <t>ORD00635</t>
  </si>
  <si>
    <t>CUST0076</t>
  </si>
  <si>
    <t>ORD00636</t>
  </si>
  <si>
    <t>ORD00637</t>
  </si>
  <si>
    <t>ORD00638</t>
  </si>
  <si>
    <t>ORD00639</t>
  </si>
  <si>
    <t>ORD00640</t>
  </si>
  <si>
    <t>ORD00641</t>
  </si>
  <si>
    <t>ORD00642</t>
  </si>
  <si>
    <t>ORD00643</t>
  </si>
  <si>
    <t>CUST0142</t>
  </si>
  <si>
    <t>ORD00644</t>
  </si>
  <si>
    <t>ORD00645</t>
  </si>
  <si>
    <t>ORD00646</t>
  </si>
  <si>
    <t>ORD00647</t>
  </si>
  <si>
    <t>ORD00648</t>
  </si>
  <si>
    <t>ORD00649</t>
  </si>
  <si>
    <t>Customer_068</t>
  </si>
  <si>
    <t>ORD00650</t>
  </si>
  <si>
    <t>CUST0119</t>
  </si>
  <si>
    <t>ORD00651</t>
  </si>
  <si>
    <t>ORD00652</t>
  </si>
  <si>
    <t>ORD00653</t>
  </si>
  <si>
    <t>ORD00654</t>
  </si>
  <si>
    <t>ORD00655</t>
  </si>
  <si>
    <t>Customer_202</t>
  </si>
  <si>
    <t>ORD00656</t>
  </si>
  <si>
    <t>ORD00657</t>
  </si>
  <si>
    <t>ORD00658</t>
  </si>
  <si>
    <t>ORD00659</t>
  </si>
  <si>
    <t>ORD00660</t>
  </si>
  <si>
    <t>CUST0104</t>
  </si>
  <si>
    <t>Customer_233</t>
  </si>
  <si>
    <t>ORD00661</t>
  </si>
  <si>
    <t>ORD00662</t>
  </si>
  <si>
    <t>ORD00663</t>
  </si>
  <si>
    <t>ORD00664</t>
  </si>
  <si>
    <t>ORD00665</t>
  </si>
  <si>
    <t>ORD00666</t>
  </si>
  <si>
    <t>CUST0233</t>
  </si>
  <si>
    <t>ORD00667</t>
  </si>
  <si>
    <t>ORD00668</t>
  </si>
  <si>
    <t>ORD00669</t>
  </si>
  <si>
    <t>ORD00670</t>
  </si>
  <si>
    <t>ORD00671</t>
  </si>
  <si>
    <t>ORD00672</t>
  </si>
  <si>
    <t>ORD00673</t>
  </si>
  <si>
    <t>ORD00674</t>
  </si>
  <si>
    <t>ORD00675</t>
  </si>
  <si>
    <t>CUST0239</t>
  </si>
  <si>
    <t>ORD00676</t>
  </si>
  <si>
    <t>CUST0109</t>
  </si>
  <si>
    <t>ORD00677</t>
  </si>
  <si>
    <t>ORD00678</t>
  </si>
  <si>
    <t>CUST0015</t>
  </si>
  <si>
    <t>Customer_090</t>
  </si>
  <si>
    <t>ORD00679</t>
  </si>
  <si>
    <t>ORD00680</t>
  </si>
  <si>
    <t>ORD00681</t>
  </si>
  <si>
    <t>ORD00682</t>
  </si>
  <si>
    <t>ORD00683</t>
  </si>
  <si>
    <t>ORD00684</t>
  </si>
  <si>
    <t>CUST0111</t>
  </si>
  <si>
    <t>ORD00685</t>
  </si>
  <si>
    <t>ORD00686</t>
  </si>
  <si>
    <t>CUST0269</t>
  </si>
  <si>
    <t>Customer_159</t>
  </si>
  <si>
    <t>ORD00687</t>
  </si>
  <si>
    <t>ORD00688</t>
  </si>
  <si>
    <t>ORD00689</t>
  </si>
  <si>
    <t>CUST0147</t>
  </si>
  <si>
    <t>ORD00690</t>
  </si>
  <si>
    <t>ORD00691</t>
  </si>
  <si>
    <t>Customer_294</t>
  </si>
  <si>
    <t>ORD00692</t>
  </si>
  <si>
    <t>ORD00693</t>
  </si>
  <si>
    <t>ORD00694</t>
  </si>
  <si>
    <t>ORD00695</t>
  </si>
  <si>
    <t>Customer_241</t>
  </si>
  <si>
    <t>ORD00696</t>
  </si>
  <si>
    <t>ORD00697</t>
  </si>
  <si>
    <t>Customer_237</t>
  </si>
  <si>
    <t>ORD00698</t>
  </si>
  <si>
    <t>ORD00699</t>
  </si>
  <si>
    <t>CUST0125</t>
  </si>
  <si>
    <t>ORD00700</t>
  </si>
  <si>
    <t>ORD00701</t>
  </si>
  <si>
    <t>ORD00702</t>
  </si>
  <si>
    <t>ORD00703</t>
  </si>
  <si>
    <t>ORD00704</t>
  </si>
  <si>
    <t>ORD00705</t>
  </si>
  <si>
    <t>ORD00706</t>
  </si>
  <si>
    <t>ORD00707</t>
  </si>
  <si>
    <t>CUST0287</t>
  </si>
  <si>
    <t>ORD00708</t>
  </si>
  <si>
    <t>ORD00709</t>
  </si>
  <si>
    <t>ORD00710</t>
  </si>
  <si>
    <t>ORD00711</t>
  </si>
  <si>
    <t>ORD00712</t>
  </si>
  <si>
    <t>ORD00713</t>
  </si>
  <si>
    <t>ORD00714</t>
  </si>
  <si>
    <t>ORD00715</t>
  </si>
  <si>
    <t>ORD00716</t>
  </si>
  <si>
    <t>Customer_242</t>
  </si>
  <si>
    <t>ORD00717</t>
  </si>
  <si>
    <t>ORD00718</t>
  </si>
  <si>
    <t>CUST0149</t>
  </si>
  <si>
    <t>ORD00719</t>
  </si>
  <si>
    <t>Customer_297</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</si>
  <si>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</si>
  <si>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</si>
  <si>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</si>
  <si>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</si>
  <si>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</si>
  <si>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</si>
  <si>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</si>
  <si>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</si>
  <si>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</si>
  <si>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</si>
  <si>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</si>
  <si>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</si>
  <si>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</si>
  <si>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</si>
  <si>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</si>
  <si>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</si>
  <si>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</si>
  <si>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</si>
  <si>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CUST0018</t>
  </si>
  <si>
    <t>ORD00738</t>
  </si>
  <si>
    <t>ORD00739</t>
  </si>
  <si>
    <t>ORD00740</t>
  </si>
  <si>
    <t>ORD00741</t>
  </si>
  <si>
    <t>ORD00742</t>
  </si>
  <si>
    <t>Customer_091</t>
  </si>
  <si>
    <t>ORD00743</t>
  </si>
  <si>
    <t>ORD00744</t>
  </si>
  <si>
    <t>CUST0123</t>
  </si>
  <si>
    <t>ORD00745</t>
  </si>
  <si>
    <t>ORD00746</t>
  </si>
  <si>
    <t>ORD00747</t>
  </si>
  <si>
    <t>ORD00748</t>
  </si>
  <si>
    <t>ORD00749</t>
  </si>
  <si>
    <t>ORD00750</t>
  </si>
  <si>
    <t>ORD00751</t>
  </si>
  <si>
    <t>ORD00752</t>
  </si>
  <si>
    <t>ORD00753</t>
  </si>
  <si>
    <t>ORD00754</t>
  </si>
  <si>
    <t>ORD00755</t>
  </si>
  <si>
    <t>ORD00756</t>
  </si>
  <si>
    <t>Customer_155</t>
  </si>
  <si>
    <t>ORD00757</t>
  </si>
  <si>
    <t>ORD00758</t>
  </si>
  <si>
    <t>ORD00759</t>
  </si>
  <si>
    <t>ORD00760</t>
  </si>
  <si>
    <t>ORD00761</t>
  </si>
  <si>
    <t>ORD00762</t>
  </si>
  <si>
    <t>CUST0117</t>
  </si>
  <si>
    <t>ORD00763</t>
  </si>
  <si>
    <t>ORD00764</t>
  </si>
  <si>
    <t>ORD00765</t>
  </si>
  <si>
    <t>Customer_066</t>
  </si>
  <si>
    <t>ORD00766</t>
  </si>
  <si>
    <t>ORD00767</t>
  </si>
  <si>
    <t>CUST0088</t>
  </si>
  <si>
    <t>ORD00768</t>
  </si>
  <si>
    <t>ORD00769</t>
  </si>
  <si>
    <t>ORD00770</t>
  </si>
  <si>
    <t>ORD00771</t>
  </si>
  <si>
    <t>ORD00772</t>
  </si>
  <si>
    <t>ORD00773</t>
  </si>
  <si>
    <t>CUST0299</t>
  </si>
  <si>
    <t>Customer_013</t>
  </si>
  <si>
    <t>ORD00774</t>
  </si>
  <si>
    <t>ORD00775</t>
  </si>
  <si>
    <t>Customer_278</t>
  </si>
  <si>
    <t>ORD00776</t>
  </si>
  <si>
    <t>ORD00777</t>
  </si>
  <si>
    <t>ORD00778</t>
  </si>
  <si>
    <t>ORD00779</t>
  </si>
  <si>
    <t>ORD00780</t>
  </si>
  <si>
    <t>ORD00781</t>
  </si>
  <si>
    <t>CUST0034</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</si>
  <si>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</si>
  <si>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</si>
  <si>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</si>
  <si>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</si>
  <si>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</si>
  <si>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</si>
  <si>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</si>
  <si>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</si>
  <si>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</si>
  <si>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</si>
  <si>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</si>
  <si>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</si>
  <si>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</si>
  <si>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</si>
  <si>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</si>
  <si>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</si>
  <si>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</si>
  <si>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</si>
  <si>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</si>
  <si>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CUST0045</t>
  </si>
  <si>
    <t>ORD00801</t>
  </si>
  <si>
    <t>ORD00802</t>
  </si>
  <si>
    <t>ORD00803</t>
  </si>
  <si>
    <t>ORD00804</t>
  </si>
  <si>
    <t>ORD00805</t>
  </si>
  <si>
    <t>ORD00806</t>
  </si>
  <si>
    <t>ORD00807</t>
  </si>
  <si>
    <t>ORD00808</t>
  </si>
  <si>
    <t>ORD00809</t>
  </si>
  <si>
    <t>ORD00810</t>
  </si>
  <si>
    <t>ORD00811</t>
  </si>
  <si>
    <t>CUST0155</t>
  </si>
  <si>
    <t>Customer_139</t>
  </si>
  <si>
    <t>ORD00812</t>
  </si>
  <si>
    <t>ORD00813</t>
  </si>
  <si>
    <t>ORD00814</t>
  </si>
  <si>
    <t>ORD00815</t>
  </si>
  <si>
    <t>ORD00816</t>
  </si>
  <si>
    <t>ORD00817</t>
  </si>
  <si>
    <t>ORD00818</t>
  </si>
  <si>
    <t>ORD00819</t>
  </si>
  <si>
    <t>ORD00820</t>
  </si>
  <si>
    <t>ORD00821</t>
  </si>
  <si>
    <t>ORD00822</t>
  </si>
  <si>
    <t>ORD00823</t>
  </si>
  <si>
    <t>ORD00824</t>
  </si>
  <si>
    <t>ORD00825</t>
  </si>
  <si>
    <t>CUST0058</t>
  </si>
  <si>
    <t>ORD00826</t>
  </si>
  <si>
    <t>ORD00827</t>
  </si>
  <si>
    <t>ORD00828</t>
  </si>
  <si>
    <t>ORD00829</t>
  </si>
  <si>
    <t>ORD00830</t>
  </si>
  <si>
    <t>ORD00831</t>
  </si>
  <si>
    <t>Customer_143</t>
  </si>
  <si>
    <t>ORD00832</t>
  </si>
  <si>
    <t>ORD00833</t>
  </si>
  <si>
    <t>ORD00834</t>
  </si>
  <si>
    <t>ORD00835</t>
  </si>
  <si>
    <t>ORD00836</t>
  </si>
  <si>
    <t>ORD00837</t>
  </si>
  <si>
    <t>ORD00838</t>
  </si>
  <si>
    <t>Customer_221</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</si>
  <si>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</si>
  <si>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</si>
  <si>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</si>
  <si>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</si>
  <si>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</si>
  <si>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</si>
  <si>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</si>
  <si>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</si>
  <si>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</si>
  <si>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</si>
  <si>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</si>
  <si>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</si>
  <si>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</si>
  <si>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</si>
  <si>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</si>
  <si>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</si>
  <si>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Customer_132</t>
  </si>
  <si>
    <t>ORD00855</t>
  </si>
  <si>
    <t>ORD00856</t>
  </si>
  <si>
    <t>ORD00857</t>
  </si>
  <si>
    <t>ORD00858</t>
  </si>
  <si>
    <t>ORD00859</t>
  </si>
  <si>
    <t>ORD00860</t>
  </si>
  <si>
    <t>ORD00861</t>
  </si>
  <si>
    <t>ORD00862</t>
  </si>
  <si>
    <t>Customer_163</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</si>
  <si>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</si>
  <si>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</si>
  <si>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</si>
  <si>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</si>
  <si>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</si>
  <si>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</si>
  <si>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</si>
  <si>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</si>
  <si>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</si>
  <si>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</si>
  <si>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</si>
  <si>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</si>
  <si>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</si>
  <si>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</si>
  <si>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</si>
  <si>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</si>
  <si>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</si>
  <si>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</si>
  <si>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</si>
  <si>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</si>
  <si>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</si>
  <si>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</si>
  <si>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</si>
  <si>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</si>
  <si>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</si>
  <si>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Customer_094</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</si>
  <si>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</si>
  <si>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</si>
  <si>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</si>
  <si>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</si>
  <si>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</si>
  <si>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</si>
  <si>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</si>
  <si>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</si>
  <si>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</si>
  <si>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</si>
  <si>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</si>
  <si>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</si>
  <si>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</si>
  <si>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</si>
  <si>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</si>
  <si>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</si>
  <si>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</si>
  <si>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</si>
  <si>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</si>
  <si>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</si>
  <si>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</si>
  <si>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</si>
  <si>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</si>
  <si>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</si>
  <si>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</si>
  <si>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</si>
  <si>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CUST0027</t>
  </si>
  <si>
    <t>Customer_171</t>
  </si>
  <si>
    <t>ORD00914</t>
  </si>
  <si>
    <t>ORD00915</t>
  </si>
  <si>
    <t>ORD00916</t>
  </si>
  <si>
    <t>ORD00917</t>
  </si>
  <si>
    <t>ORD00918</t>
  </si>
  <si>
    <t>ORD00919</t>
  </si>
  <si>
    <t>ORD00920</t>
  </si>
  <si>
    <t>ORD00921</t>
  </si>
  <si>
    <t>ORD00922</t>
  </si>
  <si>
    <t>CUST0082</t>
  </si>
  <si>
    <t>ORD00923</t>
  </si>
  <si>
    <t>ORD00924</t>
  </si>
  <si>
    <t>ORD00925</t>
  </si>
  <si>
    <t>Customer_053</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</si>
  <si>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</si>
  <si>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</si>
  <si>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</si>
  <si>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</si>
  <si>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</si>
  <si>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</si>
  <si>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</si>
  <si>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</si>
  <si>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</si>
  <si>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</si>
  <si>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</si>
  <si>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</si>
  <si>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</si>
  <si>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</si>
  <si>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</si>
  <si>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</si>
  <si>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Customer_127</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</si>
  <si>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</si>
  <si>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</si>
  <si>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</si>
  <si>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</si>
  <si>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</si>
  <si>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</si>
  <si>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</si>
  <si>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</si>
  <si>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</si>
  <si>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</si>
  <si>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</si>
  <si>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</si>
  <si>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</si>
  <si>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</si>
  <si>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</si>
  <si>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</si>
  <si>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</si>
  <si>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</si>
  <si>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</si>
  <si>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</si>
  <si>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</si>
  <si>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</si>
  <si>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</si>
  <si>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</si>
  <si>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</si>
  <si>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</si>
  <si>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</si>
  <si>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</si>
  <si>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</si>
  <si>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</si>
  <si>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</si>
  <si>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</si>
  <si>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</si>
  <si>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</si>
  <si>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</si>
  <si>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</si>
  <si>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</si>
  <si>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</si>
  <si>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</si>
  <si>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</si>
  <si>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</si>
  <si>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</si>
  <si>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</si>
  <si>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</si>
  <si>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CUST0042</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</si>
  <si>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</si>
  <si>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</si>
  <si>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</si>
  <si>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</si>
  <si>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</si>
  <si>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</si>
  <si>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</si>
  <si>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</si>
  <si>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</si>
  <si>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</si>
  <si>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</si>
  <si>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</si>
  <si>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</si>
  <si>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</si>
  <si>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</si>
  <si>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</si>
  <si>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</si>
  <si>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</si>
  <si>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</si>
  <si>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</si>
  <si>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</si>
  <si>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</si>
  <si>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</si>
  <si>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</si>
  <si>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</si>
  <si>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</si>
  <si>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</si>
  <si>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</si>
  <si>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</si>
  <si>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</si>
  <si>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</si>
  <si>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</si>
  <si>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</si>
  <si>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</si>
  <si>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</si>
  <si>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</si>
  <si>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</si>
  <si>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</si>
  <si>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</si>
  <si>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</si>
  <si>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</si>
  <si>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</si>
  <si>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</si>
  <si>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</si>
  <si>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</si>
  <si>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CUST0198</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</si>
  <si>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</si>
  <si>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</si>
  <si>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</si>
  <si>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</si>
  <si>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</si>
  <si>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</si>
  <si>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</si>
  <si>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</si>
  <si>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</si>
  <si>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</si>
  <si>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</si>
  <si>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</si>
  <si>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</si>
  <si>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</si>
  <si>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</si>
  <si>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</si>
  <si>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</si>
  <si>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</si>
  <si>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</si>
  <si>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</si>
  <si>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</si>
  <si>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CUST0220</t>
  </si>
  <si>
    <t>ORD01052</t>
  </si>
  <si>
    <t>ORD01053</t>
  </si>
  <si>
    <t>Customer_023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</si>
  <si>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</si>
  <si>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</si>
  <si>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</si>
  <si>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</si>
  <si>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</si>
  <si>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</si>
  <si>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</si>
  <si>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</si>
  <si>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</si>
  <si>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</si>
  <si>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</si>
  <si>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</si>
  <si>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</si>
  <si>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</si>
  <si>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</si>
  <si>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</si>
  <si>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</si>
  <si>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</si>
  <si>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</si>
  <si>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</si>
  <si>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</si>
  <si>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</si>
  <si>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</si>
  <si>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</si>
  <si>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</si>
  <si>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</si>
  <si>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</si>
  <si>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CUST0057</t>
  </si>
  <si>
    <t>ORD01081</t>
  </si>
  <si>
    <t>ORD01082</t>
  </si>
  <si>
    <t>ORD01083</t>
  </si>
  <si>
    <t>ORD01084</t>
  </si>
  <si>
    <t>ORD01085</t>
  </si>
  <si>
    <t>ORD01086</t>
  </si>
  <si>
    <t>ORD01087</t>
  </si>
  <si>
    <t>ORD01088</t>
  </si>
  <si>
    <t>ORD01089</t>
  </si>
  <si>
    <t>ORD01090</t>
  </si>
  <si>
    <t>ORD01091</t>
  </si>
  <si>
    <t>ORD01092</t>
  </si>
  <si>
    <t>CUST0060</t>
  </si>
  <si>
    <t>ORD01093</t>
  </si>
  <si>
    <t>ORD01094</t>
  </si>
  <si>
    <t>ORD01095</t>
  </si>
  <si>
    <t>ORD01096</t>
  </si>
  <si>
    <t>ORD01097</t>
  </si>
  <si>
    <t>Customer_060</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</si>
  <si>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</si>
  <si>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</si>
  <si>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</si>
  <si>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</si>
  <si>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</si>
  <si>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</si>
  <si>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</si>
  <si>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</si>
  <si>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</si>
  <si>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</si>
  <si>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</si>
  <si>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</si>
  <si>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</si>
  <si>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</si>
  <si>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</si>
  <si>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</si>
  <si>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</si>
  <si>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</si>
  <si>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</si>
  <si>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CUST0011</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</si>
  <si>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</si>
  <si>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</si>
  <si>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</si>
  <si>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</si>
  <si>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</si>
  <si>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</si>
  <si>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</si>
  <si>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</si>
  <si>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</si>
  <si>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</si>
  <si>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</si>
  <si>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</si>
  <si>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</si>
  <si>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</si>
  <si>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</si>
  <si>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</si>
  <si>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</si>
  <si>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</si>
  <si>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</si>
  <si>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</si>
  <si>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</si>
  <si>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</si>
  <si>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</si>
  <si>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</si>
  <si>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</si>
  <si>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</si>
  <si>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</si>
  <si>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</si>
  <si>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</si>
  <si>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</si>
  <si>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</si>
  <si>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</si>
  <si>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</si>
  <si>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</si>
  <si>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</si>
  <si>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</si>
  <si>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</si>
  <si>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</si>
  <si>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</si>
  <si>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</si>
  <si>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</si>
  <si>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</si>
  <si>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</si>
  <si>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</si>
  <si>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</si>
  <si>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</si>
  <si>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CUST0007</t>
  </si>
  <si>
    <t>ORD01163</t>
  </si>
  <si>
    <t>ORD01164</t>
  </si>
  <si>
    <t>ORD01165</t>
  </si>
  <si>
    <t>ORD01166</t>
  </si>
  <si>
    <t>ORD01167</t>
  </si>
  <si>
    <t>ORD01168</t>
  </si>
  <si>
    <t>ORD01169</t>
  </si>
  <si>
    <t>ORD01170</t>
  </si>
  <si>
    <t>ORD01171</t>
  </si>
  <si>
    <t>Customer_133</t>
  </si>
  <si>
    <t>ORD01172</t>
  </si>
  <si>
    <t>ORD01173</t>
  </si>
  <si>
    <t>ORD01174</t>
  </si>
  <si>
    <t>Customer_043</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</si>
  <si>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</si>
  <si>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</si>
  <si>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</si>
  <si>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</si>
  <si>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</si>
  <si>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</si>
  <si>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</si>
  <si>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</si>
  <si>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</si>
  <si>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</si>
  <si>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</si>
  <si>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</si>
  <si>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</si>
  <si>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</si>
  <si>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</si>
  <si>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</si>
  <si>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</si>
  <si>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</si>
  <si>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</si>
  <si>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</si>
  <si>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CUST0171</t>
  </si>
  <si>
    <t>ORD01195</t>
  </si>
  <si>
    <t>ORD01196</t>
  </si>
  <si>
    <t>ORD01197</t>
  </si>
  <si>
    <t>ORD01198</t>
  </si>
  <si>
    <t>ORD01199</t>
  </si>
  <si>
    <t>ORD01200</t>
  </si>
  <si>
    <t>total sales</t>
  </si>
  <si>
    <t>Total Cost</t>
  </si>
  <si>
    <t>Total Profit</t>
  </si>
  <si>
    <t>Total Orders</t>
  </si>
  <si>
    <t>Profit Margin</t>
  </si>
  <si>
    <t>Month</t>
  </si>
  <si>
    <t>Year</t>
  </si>
  <si>
    <t>Average Sales</t>
  </si>
  <si>
    <t>Maximum Sales</t>
  </si>
  <si>
    <t>Minimum Sales</t>
  </si>
  <si>
    <t>Total Sales</t>
  </si>
  <si>
    <t>Orders</t>
  </si>
  <si>
    <t>Row Labels</t>
  </si>
  <si>
    <t>Grand Total</t>
  </si>
  <si>
    <t>Sum of Sales</t>
  </si>
  <si>
    <t>Sum of Profit</t>
  </si>
  <si>
    <t>Jan</t>
  </si>
  <si>
    <t>Feb</t>
  </si>
  <si>
    <t>Mar</t>
  </si>
  <si>
    <t>Apr</t>
  </si>
  <si>
    <t>May</t>
  </si>
  <si>
    <t>Jun</t>
  </si>
  <si>
    <t>Jul</t>
  </si>
  <si>
    <t>Aug</t>
  </si>
  <si>
    <t>Sep</t>
  </si>
  <si>
    <t>Oct</t>
  </si>
  <si>
    <t>Nov</t>
  </si>
  <si>
    <t>Dec</t>
  </si>
  <si>
    <t>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</si>
</sst>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36"/>
      <color theme="0"/>
      <name val="Calibri"/>
      <family val="2"/>
      <scheme val="minor"/>
    </font>
    <font>
      <sz val="11"/>
      <color theme="1"/>
      <name val="Calibri Light"/>
      <family val="2"/>
      <scheme val="maj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499984740745262"/>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9">
    <xf numFmtId="0" fontId="0" fillId="0" borderId="0" xfId="0"/>
    <xf numFmtId="14" fontId="0" fillId="0" borderId="0" xfId="0" applyNumberFormat="1"/>
    <xf numFmtId="49" fontId="0" fillId="0" borderId="0" xfId="0" applyNumberFormat="1"/>
    <xf numFmtId="1" fontId="0" fillId="0" borderId="0" xfId="0" applyNumberFormat="1"/>
    <xf numFmtId="49" fontId="0" fillId="0" borderId="10" xfId="0" applyNumberFormat="1" applyBorder="1"/>
    <xf numFmtId="14" fontId="0" fillId="0" borderId="10" xfId="0" applyNumberFormat="1" applyBorder="1"/>
    <xf numFmtId="1" fontId="0" fillId="0" borderId="10" xfId="0" applyNumberFormat="1" applyBorder="1"/>
    <xf numFmtId="1" fontId="0" fillId="0" borderId="11" xfId="0" applyNumberFormat="1" applyBorder="1"/>
    <xf numFmtId="1" fontId="0" fillId="0" borderId="12" xfId="0" applyNumberFormat="1" applyBorder="1"/>
    <xf numFmtId="9" fontId="0" fillId="0" borderId="0" xfId="0" applyNumberFormat="1"/>
    <xf numFmtId="9" fontId="0" fillId="0" borderId="11" xfId="0" applyNumberFormat="1" applyBorder="1"/>
    <xf numFmtId="9" fontId="0" fillId="0" borderId="10" xfId="0" applyNumberFormat="1" applyBorder="1"/>
    <xf numFmtId="9" fontId="0" fillId="0" borderId="12" xfId="0" applyNumberFormat="1" applyBorder="1"/>
    <xf numFmtId="0" fontId="0" fillId="0" borderId="0" xfId="0" pivotButton="1"/>
    <xf numFmtId="0" fontId="0" fillId="0" borderId="0" xfId="0" applyAlignment="1">
      <alignment horizontal="left"/>
    </xf>
    <xf numFmtId="0" fontId="19" fillId="0" borderId="0" xfId="0" applyFont="1"/>
    <xf numFmtId="164" fontId="19" fillId="0" borderId="0" xfId="0" applyNumberFormat="1" applyFont="1"/>
    <xf numFmtId="0" fontId="18" fillId="33" borderId="0" xfId="0" applyFont="1" applyFill="1" applyAlignment="1">
      <alignment horizontal="center" vertical="center"/>
    </xf>
    <xf numFmtId="0" fontId="19" fillId="0" borderId="0" xfId="0" applyFont="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9">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numFmt numFmtId="1" formatCode="0"/>
    </dxf>
    <dxf>
      <numFmt numFmtId="0" formatCode="General"/>
    </dxf>
    <dxf>
      <numFmt numFmtId="0" formatCode="General"/>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border diagonalUp="0" diagonalDown="0">
        <left style="thin">
          <color indexed="64"/>
        </left>
        <right style="thin">
          <color indexed="64"/>
        </right>
        <top style="thin">
          <color indexed="64"/>
        </top>
        <bottom style="thin">
          <color indexed="64"/>
        </bottom>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30" formatCode="@"/>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20376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[Sales_Performance_Customer_Analytics_Dashboard.xlsx]Pivot_analysis!PivotTable1</c:name>
    <c:fmtId val="4"/>
  </c:pivotSource>
  <c:chart>
    <c:title>
      <c:tx>
        <c:rich>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r>
              <a:rPr lang="en-US"/>
              <a:t>Region-Wise Sales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Pivot_analysis!$A$4:$A$8</c:f>
              <c:strCache>
                <c:ptCount val="4"/>
                <c:pt idx="0">
                  <c:v>East</c:v>
                </c:pt>
                <c:pt idx="1">
                  <c:v>North</c:v>
                </c:pt>
                <c:pt idx="2">
                  <c:v>South</c:v>
                </c:pt>
                <c:pt idx="3">
                  <c:v>West</c:v>
                </c:pt>
              </c:strCache>
            </c:strRef>
          </c:cat>
          <c:val>
            <c:numRef>
              <c:f>Pivot_analysis!$B$4:$B$8</c:f>
              <c:numCache>
                <c:formatCode>0</c:formatCode>
                <c:ptCount val="4"/>
                <c:pt idx="0">
                  <c:v>4774204</c:v>
                </c:pt>
                <c:pt idx="1">
                  <c:v>3827772</c:v>
                </c:pt>
                <c:pt idx="2">
                  <c:v>4648848</c:v>
                </c:pt>
                <c:pt idx="3">
                  <c:v>3796789</c:v>
                </c:pt>
              </c:numCache>
            </c:numRef>
          </c:val>
          <c:extLst>
            <c:ext xmlns:c16="http://schemas.microsoft.com/office/drawing/2014/chart" uri="{C3380CC4-5D6E-409C-BE32-E72D297353CC}">
              <c16:uniqueId val="{00000000-5DAC-4F66-8441-E8C1248E5D73}"/>
            </c:ext>
          </c:extLst>
        </c:ser>
        <c:dLbls>
          <c:dLblPos val="outEnd"/>
          <c:showLegendKey val="0"/>
          <c:showVal val="1"/>
          <c:showCatName val="0"/>
          <c:showSerName val="0"/>
          <c:showPercent val="0"/>
          <c:showBubbleSize val="0"/>
        </c:dLbls>
        <c:gapWidth val="219"/>
        <c:overlap val="-27"/>
        <c:axId val="568749424"/>
        <c:axId val="568752664"/>
      </c:barChart>
      <c:catAx>
        <c:axId val="568749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crossAx val="568752664"/>
        <c:crosses val="autoZero"/>
        <c:auto val="1"/>
        <c:lblAlgn val="ctr"/>
        <c:lblOffset val="100"/>
        <c:noMultiLvlLbl val="0"/>
      </c:catAx>
      <c:valAx>
        <c:axId val="568752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crossAx val="56874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03764"/>
        </a:gs>
        <a:gs pos="61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ln>
            <a:solidFill>
              <a:schemeClr val="tx1">
                <a:alpha val="22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[Sales_Performance_Customer_Analytics_Dashboard.xlsx]Pivot_analysis!PivotTable4</c:name>
    <c:fmtId val="15"/>
  </c:pivotSource>
  <c:chart>
    <c:title>
      <c:tx>
        <c:rich>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Pivot_analysis!$E$11</c:f>
              <c:strCache>
                <c:ptCount val="1"/>
                <c:pt idx="0">
                  <c:v>Total</c:v>
                </c:pt>
              </c:strCache>
            </c:strRef>
          </c:tx>
          <c:spPr>
            <a:ln w="28575" cap="rnd">
              <a:solidFill>
                <a:schemeClr val="accent1"/>
              </a:solidFill>
              <a:round/>
            </a:ln>
            <a:effectLst/>
          </c:spPr>
          <c:marker>
            <c:symbol val="none"/>
          </c:marker>
          <c:cat>
            <c:strRef>
              <c:f>Pivot_analysis!$D$12:$D$24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Pivot_analysis!$E$12:$E$24</c:f>
              <c:numCache>
                <c:formatCode>0</c:formatCode>
                <c:ptCount val="12"/>
                <c:pt idx="0">
                  <c:v>1129945</c:v>
                </c:pt>
                <c:pt idx="1">
                  <c:v>1271797</c:v>
                </c:pt>
                <c:pt idx="2">
                  <c:v>1686437</c:v>
                </c:pt>
                <c:pt idx="3">
                  <c:v>1692648</c:v>
                </c:pt>
                <c:pt idx="4">
                  <c:v>1509559</c:v>
                </c:pt>
                <c:pt idx="5">
                  <c:v>1417732</c:v>
                </c:pt>
                <c:pt idx="6">
                  <c:v>1280951</c:v>
                </c:pt>
                <c:pt idx="7">
                  <c:v>1295965</c:v>
                </c:pt>
                <c:pt idx="8">
                  <c:v>1131465</c:v>
                </c:pt>
                <c:pt idx="9">
                  <c:v>1680567</c:v>
                </c:pt>
                <c:pt idx="10">
                  <c:v>1381416</c:v>
                </c:pt>
                <c:pt idx="11">
                  <c:v>1569131</c:v>
                </c:pt>
              </c:numCache>
            </c:numRef>
          </c:val>
          <c:smooth val="0"/>
          <c:extLst>
            <c:ext xmlns:c16="http://schemas.microsoft.com/office/drawing/2014/chart" uri="{C3380CC4-5D6E-409C-BE32-E72D297353CC}">
              <c16:uniqueId val="{00000000-46DF-4A47-9637-D7F2D5E33CBD}"/>
            </c:ext>
          </c:extLst>
        </c:ser>
        <c:dLbls>
          <c:showLegendKey val="0"/>
          <c:showVal val="0"/>
          <c:showCatName val="0"/>
          <c:showSerName val="0"/>
          <c:showPercent val="0"/>
          <c:showBubbleSize val="0"/>
        </c:dLbls>
        <c:smooth val="0"/>
        <c:axId val="609669872"/>
        <c:axId val="609670232"/>
      </c:lineChart>
      <c:catAx>
        <c:axId val="60966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crossAx val="609670232"/>
        <c:crosses val="autoZero"/>
        <c:auto val="1"/>
        <c:lblAlgn val="ctr"/>
        <c:lblOffset val="100"/>
        <c:noMultiLvlLbl val="0"/>
      </c:catAx>
      <c:valAx>
        <c:axId val="6096702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crossAx val="609669872"/>
        <c:crosses val="autoZero"/>
        <c:crossBetween val="between"/>
      </c:valAx>
      <c:dTable>
        <c:showHorzBorder val="1"/>
        <c:showVertBorder val="1"/>
        <c:showOutline val="1"/>
        <c:showKeys val="1"/>
        <c:spPr>
          <a:noFill/>
          <a:ln w="25400" cap="flat" cmpd="sng" algn="ctr">
            <a:noFill/>
            <a:round/>
          </a:ln>
          <a:effectLst/>
        </c:spPr>
        <c:txPr>
          <a:bodyPr rot="0" spcFirstLastPara="1" vertOverflow="ellipsis" vert="horz" wrap="square" anchor="ctr" anchorCtr="1"/>
          <a:lstStyle/>
          <a:p>
            <a:pPr rtl="0">
              <a:defRPr sz="900" b="0" i="0" u="none" strike="noStrike" kern="1200" baseline="0">
                <a:ln>
                  <a:solidFill>
                    <a:schemeClr val="tx1">
                      <a:alpha val="22000"/>
                    </a:schemeClr>
                  </a:solidFill>
                </a:ln>
                <a:solidFill>
                  <a:schemeClr val="tx1"/>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03764"/>
        </a:gs>
        <a:gs pos="61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ln>
            <a:solidFill>
              <a:schemeClr val="tx1">
                <a:alpha val="22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[Sales_Performance_Customer_Analytics_Dashboard.xlsx]Pivot_analysis!PivotTable3</c:name>
    <c:fmtId val="14"/>
  </c:pivotSource>
  <c:chart>
    <c:title>
      <c:tx>
        <c:rich>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r>
              <a:rPr lang="en-US"/>
              <a:t>Sales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a:innerShdw dist="50800" dir="16200000">
              <a:prstClr val="black">
                <a:alpha val="52000"/>
              </a:prstClr>
            </a:innerShdw>
          </a:effectLst>
          <a:scene3d>
            <a:camera prst="orthographicFront"/>
            <a:lightRig rig="threePt" dir="t"/>
          </a:scene3d>
          <a:sp3d prstMaterial="dkEdge">
            <a:bevelT prst="relaxedInset"/>
            <a:bevelB prst="relaxedInse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a:innerShdw dist="50800" dir="16200000">
              <a:prstClr val="black">
                <a:alpha val="52000"/>
              </a:prstClr>
            </a:innerShdw>
          </a:effectLst>
          <a:scene3d>
            <a:camera prst="orthographicFront"/>
            <a:lightRig rig="threePt" dir="t"/>
          </a:scene3d>
          <a:sp3d prstMaterial="dkEdge">
            <a:bevelT prst="relaxedInset"/>
            <a:bevelB prst="relaxedInse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a:innerShdw dist="50800" dir="16200000">
              <a:prstClr val="black">
                <a:alpha val="52000"/>
              </a:prstClr>
            </a:innerShdw>
          </a:effectLst>
          <a:scene3d>
            <a:camera prst="orthographicFront"/>
            <a:lightRig rig="threePt" dir="t"/>
          </a:scene3d>
          <a:sp3d prstMaterial="dkEdge">
            <a:bevelT prst="relaxedInset"/>
            <a:bevelB prst="relaxedInset"/>
          </a:sp3d>
        </c:spPr>
      </c:pivotFmt>
      <c:pivotFmt>
        <c:idx val="3"/>
        <c:spPr>
          <a:solidFill>
            <a:schemeClr val="accent1"/>
          </a:solidFill>
          <a:ln w="19050">
            <a:solidFill>
              <a:schemeClr val="lt1"/>
            </a:solidFill>
          </a:ln>
          <a:effectLst>
            <a:innerShdw dist="50800" dir="16200000">
              <a:prstClr val="black">
                <a:alpha val="52000"/>
              </a:prstClr>
            </a:innerShdw>
          </a:effectLst>
          <a:scene3d>
            <a:camera prst="orthographicFront"/>
            <a:lightRig rig="threePt" dir="t"/>
          </a:scene3d>
          <a:sp3d prstMaterial="dkEdge">
            <a:bevelT prst="relaxedInset"/>
            <a:bevelB prst="relaxedInset"/>
          </a:sp3d>
        </c:spPr>
      </c:pivotFmt>
      <c:pivotFmt>
        <c:idx val="4"/>
        <c:spPr>
          <a:solidFill>
            <a:schemeClr val="accent1"/>
          </a:solidFill>
          <a:ln w="19050">
            <a:solidFill>
              <a:schemeClr val="lt1"/>
            </a:solidFill>
          </a:ln>
          <a:effectLst>
            <a:innerShdw dist="50800" dir="16200000">
              <a:prstClr val="black">
                <a:alpha val="52000"/>
              </a:prstClr>
            </a:innerShdw>
          </a:effectLst>
          <a:scene3d>
            <a:camera prst="orthographicFront"/>
            <a:lightRig rig="threePt" dir="t"/>
          </a:scene3d>
          <a:sp3d prstMaterial="dkEdge">
            <a:bevelT prst="relaxedInset"/>
            <a:bevelB prst="relaxedInset"/>
          </a:sp3d>
        </c:spPr>
      </c:pivotFmt>
      <c:pivotFmt>
        <c:idx val="5"/>
        <c:spPr>
          <a:solidFill>
            <a:schemeClr val="accent1"/>
          </a:solidFill>
          <a:ln w="19050">
            <a:solidFill>
              <a:schemeClr val="lt1"/>
            </a:solidFill>
          </a:ln>
          <a:effectLst>
            <a:innerShdw dist="50800" dir="16200000">
              <a:prstClr val="black">
                <a:alpha val="52000"/>
              </a:prstClr>
            </a:innerShdw>
          </a:effectLst>
          <a:scene3d>
            <a:camera prst="orthographicFront"/>
            <a:lightRig rig="threePt" dir="t"/>
          </a:scene3d>
          <a:sp3d prstMaterial="dkEdge">
            <a:bevelT prst="relaxedInset"/>
            <a:bevelB prst="relaxedInset"/>
          </a:sp3d>
        </c:spPr>
      </c:pivotFmt>
      <c:pivotFmt>
        <c:idx val="6"/>
        <c:spPr>
          <a:solidFill>
            <a:schemeClr val="accent1"/>
          </a:solidFill>
          <a:ln w="19050">
            <a:solidFill>
              <a:schemeClr val="lt1"/>
            </a:solidFill>
          </a:ln>
          <a:effectLst/>
          <a:scene3d>
            <a:camera prst="orthographicFront"/>
            <a:lightRig rig="threePt" dir="t"/>
          </a:scene3d>
          <a:sp3d prstMaterial="dkEdge"/>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a:scene3d>
            <a:camera prst="orthographicFront"/>
            <a:lightRig rig="threePt" dir="t"/>
          </a:scene3d>
          <a:sp3d prstMaterial="dkEdge"/>
        </c:spPr>
      </c:pivotFmt>
      <c:pivotFmt>
        <c:idx val="8"/>
        <c:spPr>
          <a:solidFill>
            <a:schemeClr val="accent1"/>
          </a:solidFill>
          <a:ln w="19050">
            <a:solidFill>
              <a:schemeClr val="lt1"/>
            </a:solidFill>
          </a:ln>
          <a:effectLst/>
          <a:scene3d>
            <a:camera prst="orthographicFront"/>
            <a:lightRig rig="threePt" dir="t"/>
          </a:scene3d>
          <a:sp3d prstMaterial="dkEdge"/>
        </c:spPr>
      </c:pivotFmt>
      <c:pivotFmt>
        <c:idx val="9"/>
        <c:spPr>
          <a:solidFill>
            <a:schemeClr val="accent1"/>
          </a:solidFill>
          <a:ln w="19050">
            <a:solidFill>
              <a:schemeClr val="lt1"/>
            </a:solidFill>
          </a:ln>
          <a:effectLst/>
          <a:scene3d>
            <a:camera prst="orthographicFront"/>
            <a:lightRig rig="threePt" dir="t"/>
          </a:scene3d>
          <a:sp3d prstMaterial="dkEdge"/>
        </c:spPr>
      </c:pivotFmt>
      <c:pivotFmt>
        <c:idx val="10"/>
        <c:spPr>
          <a:solidFill>
            <a:schemeClr val="accent1"/>
          </a:solidFill>
          <a:ln w="19050">
            <a:solidFill>
              <a:schemeClr val="lt1"/>
            </a:solidFill>
          </a:ln>
          <a:effectLst/>
          <a:scene3d>
            <a:camera prst="orthographicFront"/>
            <a:lightRig rig="threePt" dir="t"/>
          </a:scene3d>
          <a:sp3d prstMaterial="dkEdge"/>
        </c:spPr>
      </c:pivotFmt>
    </c:pivotFmts>
    <c:plotArea>
      <c:layout/>
      <c:pieChart>
        <c:varyColors val="1"/>
        <c:ser>
          <c:idx val="0"/>
          <c:order val="0"/>
          <c:tx>
            <c:strRef>
              <c:f>Pivot_analysis!$E$3</c:f>
              <c:strCache>
                <c:ptCount val="1"/>
                <c:pt idx="0">
                  <c:v>Total</c:v>
                </c:pt>
              </c:strCache>
            </c:strRef>
          </c:tx>
          <c:spPr>
            <a:effectLst/>
            <a:scene3d>
              <a:camera prst="orthographicFront"/>
              <a:lightRig rig="threePt" dir="t"/>
            </a:scene3d>
            <a:sp3d prstMaterial="dkEdge"/>
          </c:spPr>
          <c:dPt>
            <c:idx val="0"/>
            <c:bubble3D val="0"/>
            <c:spPr>
              <a:solidFill>
                <a:schemeClr val="accent1"/>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1-3F73-4710-8C7F-C2674FBA7B91}"/>
              </c:ext>
            </c:extLst>
          </c:dPt>
          <c:dPt>
            <c:idx val="1"/>
            <c:bubble3D val="0"/>
            <c:spPr>
              <a:solidFill>
                <a:schemeClr val="accent2"/>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3-3F73-4710-8C7F-C2674FBA7B91}"/>
              </c:ext>
            </c:extLst>
          </c:dPt>
          <c:dPt>
            <c:idx val="2"/>
            <c:bubble3D val="0"/>
            <c:spPr>
              <a:solidFill>
                <a:schemeClr val="accent3"/>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5-3F73-4710-8C7F-C2674FBA7B91}"/>
              </c:ext>
            </c:extLst>
          </c:dPt>
          <c:dPt>
            <c:idx val="3"/>
            <c:bubble3D val="0"/>
            <c:spPr>
              <a:solidFill>
                <a:schemeClr val="accent4"/>
              </a:solidFill>
              <a:ln w="19050">
                <a:solidFill>
                  <a:schemeClr val="lt1"/>
                </a:solidFill>
              </a:ln>
              <a:effectLst/>
              <a:scene3d>
                <a:camera prst="orthographicFront"/>
                <a:lightRig rig="threePt" dir="t"/>
              </a:scene3d>
              <a:sp3d prstMaterial="dkEdge"/>
            </c:spPr>
            <c:extLst>
              <c:ext xmlns:c16="http://schemas.microsoft.com/office/drawing/2014/chart" uri="{C3380CC4-5D6E-409C-BE32-E72D297353CC}">
                <c16:uniqueId val="{00000007-3F73-4710-8C7F-C2674FBA7B91}"/>
              </c:ext>
            </c:extLst>
          </c:dPt>
          <c:dLbls>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Pivot_analysis!$D$4:$D$8</c:f>
              <c:strCache>
                <c:ptCount val="4"/>
                <c:pt idx="0">
                  <c:v>Clothing</c:v>
                </c:pt>
                <c:pt idx="1">
                  <c:v>Electronics</c:v>
                </c:pt>
                <c:pt idx="2">
                  <c:v>Furniture</c:v>
                </c:pt>
                <c:pt idx="3">
                  <c:v>Home &amp; Kitchen</c:v>
                </c:pt>
              </c:strCache>
            </c:strRef>
          </c:cat>
          <c:val>
            <c:numRef>
              <c:f>Pivot_analysis!$E$4:$E$8</c:f>
              <c:numCache>
                <c:formatCode>0</c:formatCode>
                <c:ptCount val="4"/>
                <c:pt idx="0">
                  <c:v>4563725</c:v>
                </c:pt>
                <c:pt idx="1">
                  <c:v>4116573</c:v>
                </c:pt>
                <c:pt idx="2">
                  <c:v>3932445</c:v>
                </c:pt>
                <c:pt idx="3">
                  <c:v>4434870</c:v>
                </c:pt>
              </c:numCache>
            </c:numRef>
          </c:val>
          <c:extLst>
            <c:ext xmlns:c16="http://schemas.microsoft.com/office/drawing/2014/chart" uri="{C3380CC4-5D6E-409C-BE32-E72D297353CC}">
              <c16:uniqueId val="{00000008-3F73-4710-8C7F-C2674FBA7B91}"/>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03764"/>
        </a:gs>
        <a:gs pos="61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ln>
            <a:solidFill>
              <a:schemeClr val="tx1">
                <a:alpha val="22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[Sales_Performance_Customer_Analytics_Dashboard.xlsx]Pivot_analysis!PivotTable6</c:name>
    <c:fmtId val="12"/>
  </c:pivotSource>
  <c:chart>
    <c:title>
      <c:tx>
        <c:rich>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r>
              <a:rPr lang="en-US"/>
              <a:t>Top 10 Product By Sales</a:t>
            </a:r>
          </a:p>
        </c:rich>
      </c:tx>
      <c:overlay val="0"/>
      <c:spPr>
        <a:noFill/>
        <a:ln>
          <a:noFill/>
        </a:ln>
        <a:effectLst/>
      </c:spPr>
      <c:txPr>
        <a:bodyPr rot="0" spcFirstLastPara="1" vertOverflow="ellipsis" vert="horz" wrap="square" anchor="ctr" anchorCtr="1"/>
        <a:lstStyle/>
        <a:p>
          <a:pPr>
            <a:defRPr sz="1400" b="0" i="0" u="none" strike="noStrike" kern="1200" spc="0" baseline="0">
              <a:ln>
                <a:solidFill>
                  <a:schemeClr val="tx1">
                    <a:alpha val="22000"/>
                  </a:schemeClr>
                </a:solidFill>
              </a:ln>
              <a:solidFill>
                <a:schemeClr val="tx1"/>
              </a:solidFill>
              <a:latin typeface="+mn-lt"/>
              <a:ea typeface="+mn-ea"/>
              <a:cs typeface="+mn-cs"/>
            </a:defRPr>
          </a:pPr>
          <a:endParaRPr lang="en-US"/>
        </a:p>
      </c:txPr>
    </c:title>
    <c:autoTitleDeleted val="0"/>
    <c:pivotFmts>
      <c:pivotFmt>
        <c:idx val="0"/>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Pivot_analysis!$B$19</c:f>
              <c:strCache>
                <c:ptCount val="1"/>
                <c:pt idx="0">
                  <c:v>Total</c:v>
                </c:pt>
              </c:strCache>
            </c:strRef>
          </c:tx>
          <c:spPr>
            <a:solidFill>
              <a:schemeClr val="tx2">
                <a:lumMod val="50000"/>
              </a:schemeClr>
            </a:solidFill>
            <a:ln>
              <a:noFill/>
            </a:ln>
            <a:effectLst/>
            <a:sp3d/>
          </c:spPr>
          <c:invertIfNegative val="0"/>
          <c:cat>
            <c:strRef>
              <c:f>Pivot_analysis!$A$20:$A$32</c:f>
              <c:strCache>
                <c:ptCount val="12"/>
                <c:pt idx="0">
                  <c:v>Office Chair</c:v>
                </c:pt>
                <c:pt idx="1">
                  <c:v>Bookshelf</c:v>
                </c:pt>
                <c:pt idx="2">
                  <c:v>Mixer Grinder</c:v>
                </c:pt>
                <c:pt idx="3">
                  <c:v>Laptop</c:v>
                </c:pt>
                <c:pt idx="4">
                  <c:v>Smartphone</c:v>
                </c:pt>
                <c:pt idx="5">
                  <c:v>Headphones</c:v>
                </c:pt>
                <c:pt idx="6">
                  <c:v>Jeans</c:v>
                </c:pt>
                <c:pt idx="7">
                  <c:v>Water Bottle</c:v>
                </c:pt>
                <c:pt idx="8">
                  <c:v>Desk</c:v>
                </c:pt>
                <c:pt idx="9">
                  <c:v>Jacket</c:v>
                </c:pt>
                <c:pt idx="10">
                  <c:v>T-Shirt</c:v>
                </c:pt>
                <c:pt idx="11">
                  <c:v>Cookware Set</c:v>
                </c:pt>
              </c:strCache>
            </c:strRef>
          </c:cat>
          <c:val>
            <c:numRef>
              <c:f>Pivot_analysis!$B$20:$B$32</c:f>
              <c:numCache>
                <c:formatCode>0</c:formatCode>
                <c:ptCount val="12"/>
                <c:pt idx="0">
                  <c:v>1136784</c:v>
                </c:pt>
                <c:pt idx="1">
                  <c:v>1307692</c:v>
                </c:pt>
                <c:pt idx="2">
                  <c:v>1345426</c:v>
                </c:pt>
                <c:pt idx="3">
                  <c:v>1363018</c:v>
                </c:pt>
                <c:pt idx="4">
                  <c:v>1366116</c:v>
                </c:pt>
                <c:pt idx="5">
                  <c:v>1387439</c:v>
                </c:pt>
                <c:pt idx="6">
                  <c:v>1396073</c:v>
                </c:pt>
                <c:pt idx="7">
                  <c:v>1456615</c:v>
                </c:pt>
                <c:pt idx="8">
                  <c:v>1487969</c:v>
                </c:pt>
                <c:pt idx="9">
                  <c:v>1546712</c:v>
                </c:pt>
                <c:pt idx="10">
                  <c:v>1620940</c:v>
                </c:pt>
                <c:pt idx="11">
                  <c:v>1632829</c:v>
                </c:pt>
              </c:numCache>
            </c:numRef>
          </c:val>
          <c:extLst>
            <c:ext xmlns:c16="http://schemas.microsoft.com/office/drawing/2014/chart" uri="{C3380CC4-5D6E-409C-BE32-E72D297353CC}">
              <c16:uniqueId val="{00000000-61B9-44B2-9D38-D9FF769F47F8}"/>
            </c:ext>
          </c:extLst>
        </c:ser>
        <c:dLbls>
          <c:showLegendKey val="0"/>
          <c:showVal val="0"/>
          <c:showCatName val="0"/>
          <c:showSerName val="0"/>
          <c:showPercent val="0"/>
          <c:showBubbleSize val="0"/>
        </c:dLbls>
        <c:gapWidth val="150"/>
        <c:shape val="box"/>
        <c:axId val="618206776"/>
        <c:axId val="618207856"/>
        <c:axId val="0"/>
      </c:bar3DChart>
      <c:catAx>
        <c:axId val="6182067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crossAx val="618207856"/>
        <c:crosses val="autoZero"/>
        <c:auto val="1"/>
        <c:lblAlgn val="ctr"/>
        <c:lblOffset val="100"/>
        <c:noMultiLvlLbl val="0"/>
      </c:catAx>
      <c:valAx>
        <c:axId val="618207856"/>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crossAx val="6182067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ln>
                <a:solidFill>
                  <a:schemeClr val="tx1">
                    <a:alpha val="22000"/>
                  </a:schemeClr>
                </a:solidFill>
              </a:ln>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203764"/>
        </a:gs>
        <a:gs pos="61000">
          <a:schemeClr val="accent1">
            <a:lumMod val="45000"/>
            <a:lumOff val="55000"/>
          </a:schemeClr>
        </a:gs>
        <a:gs pos="94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a:innerShdw blurRad="63500" dist="50800" dir="16200000">
        <a:prstClr val="black">
          <a:alpha val="50000"/>
        </a:prstClr>
      </a:innerShdw>
    </a:effectLst>
  </c:spPr>
  <c:txPr>
    <a:bodyPr/>
    <a:lstStyle/>
    <a:p>
      <a:pPr>
        <a:defRPr>
          <a:ln>
            <a:solidFill>
              <a:schemeClr val="tx1">
                <a:alpha val="22000"/>
              </a:schemeClr>
            </a:solidFill>
          </a:ln>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38100</xdr:colOff>
      <xdr:row>4</xdr:row>
      <xdr:rowOff>30480</xdr:rowOff>
    </xdr:from>
    <xdr:to>
      <xdr:col>3</xdr:col>
      <xdr:colOff>571500</xdr:colOff>
      <xdr:row>7</xdr:row>
      <xdr:rowOff>160020</xdr:rowOff>
    </xdr:to>
    <xdr:sp macro="" textlink="">
      <xdr:nvSpPr>
        <xdr:cNvPr id="2" name="Rectangle: Rounded Corners 1">
          <a:extLst>
            <a:ext uri="{FF2B5EF4-FFF2-40B4-BE49-F238E27FC236}">
              <a16:creationId xmlns:a16="http://schemas.microsoft.com/office/drawing/2014/main" id="{AD017801-A7E5-AB84-8E73-F5512CF5966E}"/>
            </a:ext>
          </a:extLst>
        </xdr:cNvPr>
        <xdr:cNvSpPr/>
      </xdr:nvSpPr>
      <xdr:spPr>
        <a:xfrm>
          <a:off x="653047" y="779112"/>
          <a:ext cx="1763295" cy="691013"/>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Total Sales</a:t>
          </a:r>
          <a:r>
            <a:rPr lang="en-IN" sz="1600" b="1">
              <a:solidFill>
                <a:schemeClr val="tx1"/>
              </a:solidFill>
              <a:effectLst/>
            </a:rPr>
            <a:t> </a:t>
          </a:r>
        </a:p>
        <a:p>
          <a:pPr algn="ctr"/>
          <a:r>
            <a:rPr lang="en-IN" sz="1600" b="1" i="0" u="none" strike="noStrike">
              <a:solidFill>
                <a:srgbClr val="203764"/>
              </a:solidFill>
              <a:effectLst/>
              <a:latin typeface="+mn-lt"/>
              <a:ea typeface="+mn-ea"/>
              <a:cs typeface="+mn-cs"/>
            </a:rPr>
            <a:t>17047613</a:t>
          </a:r>
          <a:r>
            <a:rPr lang="en-IN" sz="1600" b="1">
              <a:solidFill>
                <a:srgbClr val="203764"/>
              </a:solidFill>
              <a:effectLst/>
            </a:rPr>
            <a:t> </a:t>
          </a:r>
          <a:endParaRPr lang="en-IN" sz="1600" b="1" cap="none" spc="0">
            <a:ln w="0"/>
            <a:solidFill>
              <a:srgbClr val="203764"/>
            </a:solidFill>
            <a:effectLst>
              <a:outerShdw blurRad="38100" dist="19050" dir="2700000" algn="tl" rotWithShape="0">
                <a:schemeClr val="dk1">
                  <a:alpha val="40000"/>
                </a:schemeClr>
              </a:outerShdw>
            </a:effectLst>
          </a:endParaRPr>
        </a:p>
      </xdr:txBody>
    </xdr:sp>
    <xdr:clientData/>
  </xdr:twoCellAnchor>
  <xdr:twoCellAnchor>
    <xdr:from>
      <xdr:col>5</xdr:col>
      <xdr:colOff>45720</xdr:colOff>
      <xdr:row>4</xdr:row>
      <xdr:rowOff>53340</xdr:rowOff>
    </xdr:from>
    <xdr:to>
      <xdr:col>7</xdr:col>
      <xdr:colOff>579120</xdr:colOff>
      <xdr:row>8</xdr:row>
      <xdr:rowOff>0</xdr:rowOff>
    </xdr:to>
    <xdr:sp macro="" textlink="">
      <xdr:nvSpPr>
        <xdr:cNvPr id="3" name="Rectangle: Rounded Corners 2">
          <a:extLst>
            <a:ext uri="{FF2B5EF4-FFF2-40B4-BE49-F238E27FC236}">
              <a16:creationId xmlns:a16="http://schemas.microsoft.com/office/drawing/2014/main" id="{8138A30B-4416-49BC-81A9-CBF9550267CC}"/>
            </a:ext>
          </a:extLst>
        </xdr:cNvPr>
        <xdr:cNvSpPr/>
      </xdr:nvSpPr>
      <xdr:spPr>
        <a:xfrm>
          <a:off x="3093720" y="784860"/>
          <a:ext cx="1752600" cy="6781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Total Profit</a:t>
          </a:r>
        </a:p>
        <a:p>
          <a:pPr algn="ctr"/>
          <a:r>
            <a:rPr lang="en-IN" sz="1600" b="1">
              <a:effectLst/>
            </a:rPr>
            <a:t> </a:t>
          </a:r>
          <a:r>
            <a:rPr lang="en-IN" sz="1600" b="1" i="0" u="none" strike="noStrike">
              <a:solidFill>
                <a:schemeClr val="accent6"/>
              </a:solidFill>
              <a:effectLst/>
              <a:latin typeface="+mn-lt"/>
              <a:ea typeface="+mn-ea"/>
              <a:cs typeface="+mn-cs"/>
            </a:rPr>
            <a:t>5178927</a:t>
          </a:r>
          <a:r>
            <a:rPr lang="en-IN" sz="1600" b="1">
              <a:solidFill>
                <a:schemeClr val="accent6"/>
              </a:solidFill>
              <a:effectLst/>
            </a:rPr>
            <a:t> </a:t>
          </a:r>
        </a:p>
      </xdr:txBody>
    </xdr:sp>
    <xdr:clientData/>
  </xdr:twoCellAnchor>
  <xdr:twoCellAnchor>
    <xdr:from>
      <xdr:col>9</xdr:col>
      <xdr:colOff>45720</xdr:colOff>
      <xdr:row>4</xdr:row>
      <xdr:rowOff>53340</xdr:rowOff>
    </xdr:from>
    <xdr:to>
      <xdr:col>11</xdr:col>
      <xdr:colOff>579120</xdr:colOff>
      <xdr:row>8</xdr:row>
      <xdr:rowOff>0</xdr:rowOff>
    </xdr:to>
    <xdr:sp macro="" textlink="">
      <xdr:nvSpPr>
        <xdr:cNvPr id="4" name="Rectangle: Rounded Corners 3">
          <a:extLst>
            <a:ext uri="{FF2B5EF4-FFF2-40B4-BE49-F238E27FC236}">
              <a16:creationId xmlns:a16="http://schemas.microsoft.com/office/drawing/2014/main" id="{72E92D99-0D97-428D-9863-67BC6A3DFA5F}"/>
            </a:ext>
          </a:extLst>
        </xdr:cNvPr>
        <xdr:cNvSpPr/>
      </xdr:nvSpPr>
      <xdr:spPr>
        <a:xfrm>
          <a:off x="5532120" y="784860"/>
          <a:ext cx="1752600" cy="6781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Total Orders</a:t>
          </a:r>
          <a:r>
            <a:rPr lang="en-IN" sz="1600" b="1">
              <a:solidFill>
                <a:schemeClr val="tx1"/>
              </a:solidFill>
              <a:effectLst/>
            </a:rPr>
            <a:t> </a:t>
          </a:r>
        </a:p>
        <a:p>
          <a:pPr algn="ctr"/>
          <a:r>
            <a:rPr lang="en-IN" sz="1600" b="1" i="0" u="none" strike="noStrike">
              <a:solidFill>
                <a:srgbClr val="7030A0"/>
              </a:solidFill>
              <a:effectLst/>
              <a:latin typeface="+mn-lt"/>
              <a:ea typeface="+mn-ea"/>
              <a:cs typeface="+mn-cs"/>
            </a:rPr>
            <a:t>1200</a:t>
          </a:r>
          <a:r>
            <a:rPr lang="en-IN" sz="1600" b="1">
              <a:effectLst/>
            </a:rPr>
            <a:t> </a:t>
          </a:r>
          <a:endParaRPr lang="en-IN" sz="1600" b="1"/>
        </a:p>
      </xdr:txBody>
    </xdr:sp>
    <xdr:clientData/>
  </xdr:twoCellAnchor>
  <xdr:twoCellAnchor>
    <xdr:from>
      <xdr:col>13</xdr:col>
      <xdr:colOff>38100</xdr:colOff>
      <xdr:row>4</xdr:row>
      <xdr:rowOff>38100</xdr:rowOff>
    </xdr:from>
    <xdr:to>
      <xdr:col>15</xdr:col>
      <xdr:colOff>571500</xdr:colOff>
      <xdr:row>7</xdr:row>
      <xdr:rowOff>167640</xdr:rowOff>
    </xdr:to>
    <xdr:sp macro="" textlink="">
      <xdr:nvSpPr>
        <xdr:cNvPr id="5" name="Rectangle: Rounded Corners 4">
          <a:extLst>
            <a:ext uri="{FF2B5EF4-FFF2-40B4-BE49-F238E27FC236}">
              <a16:creationId xmlns:a16="http://schemas.microsoft.com/office/drawing/2014/main" id="{B49F2684-444C-475D-B796-E758507DFFB1}"/>
            </a:ext>
          </a:extLst>
        </xdr:cNvPr>
        <xdr:cNvSpPr/>
      </xdr:nvSpPr>
      <xdr:spPr>
        <a:xfrm>
          <a:off x="7962900" y="769620"/>
          <a:ext cx="1752600" cy="678180"/>
        </a:xfrm>
        <a:prstGeom prst="roundRect">
          <a:avLst/>
        </a:prstGeom>
        <a:solidFill>
          <a:schemeClr val="bg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0" u="none" strike="noStrike">
              <a:solidFill>
                <a:schemeClr val="tx1"/>
              </a:solidFill>
              <a:effectLst/>
              <a:latin typeface="+mn-lt"/>
              <a:ea typeface="+mn-ea"/>
              <a:cs typeface="+mn-cs"/>
            </a:rPr>
            <a:t>Average Sales</a:t>
          </a:r>
          <a:r>
            <a:rPr lang="en-IN" sz="1600" b="1">
              <a:solidFill>
                <a:schemeClr val="tx1"/>
              </a:solidFill>
              <a:effectLst/>
            </a:rPr>
            <a:t> </a:t>
          </a:r>
        </a:p>
        <a:p>
          <a:pPr algn="ctr"/>
          <a:r>
            <a:rPr lang="en-IN" sz="1600" b="1" i="0" u="none" strike="noStrike">
              <a:solidFill>
                <a:schemeClr val="accent2">
                  <a:lumMod val="75000"/>
                </a:schemeClr>
              </a:solidFill>
              <a:effectLst/>
              <a:latin typeface="+mn-lt"/>
              <a:ea typeface="+mn-ea"/>
              <a:cs typeface="+mn-cs"/>
            </a:rPr>
            <a:t>14206</a:t>
          </a:r>
          <a:r>
            <a:rPr lang="en-IN" sz="1600" b="1">
              <a:solidFill>
                <a:schemeClr val="accent2">
                  <a:lumMod val="75000"/>
                </a:schemeClr>
              </a:solidFill>
              <a:effectLst/>
            </a:rPr>
            <a:t> </a:t>
          </a:r>
          <a:endParaRPr lang="en-IN" sz="1600" b="1">
            <a:solidFill>
              <a:schemeClr val="accent2">
                <a:lumMod val="75000"/>
              </a:schemeClr>
            </a:solidFill>
          </a:endParaRPr>
        </a:p>
      </xdr:txBody>
    </xdr:sp>
    <xdr:clientData/>
  </xdr:twoCellAnchor>
  <xdr:twoCellAnchor>
    <xdr:from>
      <xdr:col>1</xdr:col>
      <xdr:colOff>385</xdr:colOff>
      <xdr:row>9</xdr:row>
      <xdr:rowOff>8783</xdr:rowOff>
    </xdr:from>
    <xdr:to>
      <xdr:col>8</xdr:col>
      <xdr:colOff>229219</xdr:colOff>
      <xdr:row>23</xdr:row>
      <xdr:rowOff>0</xdr:rowOff>
    </xdr:to>
    <xdr:graphicFrame macro="">
      <xdr:nvGraphicFramePr>
        <xdr:cNvPr id="8" name="Chart 7">
          <a:extLst>
            <a:ext uri="{FF2B5EF4-FFF2-40B4-BE49-F238E27FC236}">
              <a16:creationId xmlns:a16="http://schemas.microsoft.com/office/drawing/2014/main" id="{E8EB3454-4E9B-42A6-92F8-A74557F535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609844</xdr:colOff>
      <xdr:row>24</xdr:row>
      <xdr:rowOff>13451</xdr:rowOff>
    </xdr:from>
    <xdr:to>
      <xdr:col>9</xdr:col>
      <xdr:colOff>594527</xdr:colOff>
      <xdr:row>39</xdr:row>
      <xdr:rowOff>132055</xdr:rowOff>
    </xdr:to>
    <xdr:graphicFrame macro="">
      <xdr:nvGraphicFramePr>
        <xdr:cNvPr id="9" name="Chart 8">
          <a:extLst>
            <a:ext uri="{FF2B5EF4-FFF2-40B4-BE49-F238E27FC236}">
              <a16:creationId xmlns:a16="http://schemas.microsoft.com/office/drawing/2014/main" id="{D7315376-2257-4167-BAD0-11FBBF8264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417826</xdr:colOff>
      <xdr:row>8</xdr:row>
      <xdr:rowOff>178029</xdr:rowOff>
    </xdr:from>
    <xdr:to>
      <xdr:col>15</xdr:col>
      <xdr:colOff>604235</xdr:colOff>
      <xdr:row>23</xdr:row>
      <xdr:rowOff>0</xdr:rowOff>
    </xdr:to>
    <xdr:graphicFrame macro="">
      <xdr:nvGraphicFramePr>
        <xdr:cNvPr id="10" name="Chart 9">
          <a:extLst>
            <a:ext uri="{FF2B5EF4-FFF2-40B4-BE49-F238E27FC236}">
              <a16:creationId xmlns:a16="http://schemas.microsoft.com/office/drawing/2014/main" id="{F4C4DCC3-EF25-4138-81B0-AA323B4AFD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604110</xdr:colOff>
      <xdr:row>39</xdr:row>
      <xdr:rowOff>168941</xdr:rowOff>
    </xdr:from>
    <xdr:to>
      <xdr:col>15</xdr:col>
      <xdr:colOff>594526</xdr:colOff>
      <xdr:row>55</xdr:row>
      <xdr:rowOff>112632</xdr:rowOff>
    </xdr:to>
    <xdr:graphicFrame macro="">
      <xdr:nvGraphicFramePr>
        <xdr:cNvPr id="11" name="Chart 10">
          <a:extLst>
            <a:ext uri="{FF2B5EF4-FFF2-40B4-BE49-F238E27FC236}">
              <a16:creationId xmlns:a16="http://schemas.microsoft.com/office/drawing/2014/main" id="{D6278353-87B6-4592-B645-C3D6D1593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154034</xdr:colOff>
      <xdr:row>32</xdr:row>
      <xdr:rowOff>121846</xdr:rowOff>
    </xdr:from>
    <xdr:to>
      <xdr:col>12</xdr:col>
      <xdr:colOff>424544</xdr:colOff>
      <xdr:row>38</xdr:row>
      <xdr:rowOff>66256</xdr:rowOff>
    </xdr:to>
    <mc:AlternateContent xmlns:mc="http://schemas.openxmlformats.org/markup-compatibility/2006">
      <mc:Choice xmlns:a14="http://schemas.microsoft.com/office/drawing/2010/main" Requires="a14">
        <xdr:graphicFrame macro="">
          <xdr:nvGraphicFramePr>
            <xdr:cNvPr id="12" name="Year">
              <a:extLst>
                <a:ext uri="{FF2B5EF4-FFF2-40B4-BE49-F238E27FC236}">
                  <a16:creationId xmlns:a16="http://schemas.microsoft.com/office/drawing/2014/main" id="{5E0E7367-8B5A-469F-9833-1B2A05BA2317}"/>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6201653" y="5927560"/>
              <a:ext cx="1480034" cy="1032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159718</xdr:colOff>
      <xdr:row>24</xdr:row>
      <xdr:rowOff>29016</xdr:rowOff>
    </xdr:from>
    <xdr:to>
      <xdr:col>12</xdr:col>
      <xdr:colOff>404550</xdr:colOff>
      <xdr:row>32</xdr:row>
      <xdr:rowOff>0</xdr:rowOff>
    </xdr:to>
    <mc:AlternateContent xmlns:mc="http://schemas.openxmlformats.org/markup-compatibility/2006">
      <mc:Choice xmlns:a14="http://schemas.microsoft.com/office/drawing/2010/main" Requires="a14">
        <xdr:graphicFrame macro="">
          <xdr:nvGraphicFramePr>
            <xdr:cNvPr id="13" name="Product Category">
              <a:extLst>
                <a:ext uri="{FF2B5EF4-FFF2-40B4-BE49-F238E27FC236}">
                  <a16:creationId xmlns:a16="http://schemas.microsoft.com/office/drawing/2014/main" id="{1E032BE4-BB8E-49C5-8CF0-4EC306AC26E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6207337" y="4383302"/>
              <a:ext cx="1454356" cy="14224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575678</xdr:colOff>
      <xdr:row>24</xdr:row>
      <xdr:rowOff>31323</xdr:rowOff>
    </xdr:from>
    <xdr:to>
      <xdr:col>15</xdr:col>
      <xdr:colOff>301450</xdr:colOff>
      <xdr:row>32</xdr:row>
      <xdr:rowOff>20430</xdr:rowOff>
    </xdr:to>
    <mc:AlternateContent xmlns:mc="http://schemas.openxmlformats.org/markup-compatibility/2006">
      <mc:Choice xmlns:a14="http://schemas.microsoft.com/office/drawing/2010/main" Requires="a14">
        <xdr:graphicFrame macro="">
          <xdr:nvGraphicFramePr>
            <xdr:cNvPr id="14" name="Region">
              <a:extLst>
                <a:ext uri="{FF2B5EF4-FFF2-40B4-BE49-F238E27FC236}">
                  <a16:creationId xmlns:a16="http://schemas.microsoft.com/office/drawing/2014/main" id="{DC9562C6-BF87-4C7A-AB15-2875D47B1E0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7832821" y="4385609"/>
              <a:ext cx="1540058" cy="14405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ansh" refreshedDate="46174.967949999998" createdVersion="8" refreshedVersion="8" minRefreshableVersion="3" recordCount="1200" xr:uid="{B0410F16-E161-41BF-AC25-6CFF454E1EB3}">
  <cacheSource type="worksheet">
    <worksheetSource name="Table13"/>
  </cacheSource>
  <cacheFields count="15">
    <cacheField name="Order ID" numFmtId="49">
      <sharedItems/>
    </cacheField>
    <cacheField name="Order Date" numFmtId="14">
      <sharedItems containsSemiMixedTypes="0" containsNonDate="0" containsDate="1" containsString="0" minDate="2024-01-01T00:00:00" maxDate="2026-01-01T00:00:00"/>
    </cacheField>
    <cacheField name="Customer ID" numFmtId="49">
      <sharedItems/>
    </cacheField>
    <cacheField name="Customer Name" numFmtId="49">
      <sharedItems count="290">
        <s v="Customer_045"/>
        <s v="Customer_288"/>
        <s v="Customer_004"/>
        <s v="Customer_048"/>
        <s v="Customer_064"/>
        <s v="Customer_024"/>
        <s v="Customer_084"/>
        <s v="Customer_126"/>
        <s v="Customer_118"/>
        <s v="Customer_109"/>
        <s v="Customer_276"/>
        <s v="Customer_253"/>
        <s v="Customer_198"/>
        <s v="Customer_275"/>
        <s v="Customer_135"/>
        <s v="Customer_083"/>
        <s v="Customer_123"/>
        <s v="Customer_065"/>
        <s v="Customer_062"/>
        <s v="Customer_037"/>
        <s v="Customer_243"/>
        <s v="Customer_217"/>
        <s v="Customer_128"/>
        <s v="Customer_085"/>
        <s v="Customer_250"/>
        <s v="Customer_161"/>
        <s v="Customer_030"/>
        <s v="Customer_268"/>
        <s v="Customer_235"/>
        <s v="Customer_110"/>
        <s v="Customer_279"/>
        <s v="Customer_054"/>
        <s v="Customer_176"/>
        <s v="Customer_227"/>
        <s v="Customer_280"/>
        <s v="Customer_187"/>
        <s v="Customer_080"/>
        <s v="Customer_103"/>
        <s v="Customer_169"/>
        <s v="Customer_015"/>
        <s v="Customer_177"/>
        <s v="Customer_131"/>
        <s v="Customer_260"/>
        <s v="Customer_099"/>
        <s v="Customer_156"/>
        <s v="Customer_262"/>
        <s v="Customer_244"/>
        <s v="Customer_205"/>
        <s v="Customer_266"/>
        <s v="Customer_287"/>
        <s v="Customer_082"/>
        <s v="Customer_042"/>
        <s v="Customer_209"/>
        <s v="Customer_300"/>
        <s v="Customer_215"/>
        <s v="Customer_208"/>
        <s v="Customer_014"/>
        <s v="Customer_168"/>
        <s v="Customer_036"/>
        <s v="Customer_102"/>
        <s v="Customer_290"/>
        <s v="Customer_007"/>
        <s v="Customer_223"/>
        <s v="Customer_138"/>
        <s v="Customer_195"/>
        <s v="Customer_175"/>
        <s v="Customer_124"/>
        <s v="Customer_009"/>
        <s v="Customer_157"/>
        <s v="Customer_152"/>
        <s v="Customer_146"/>
        <s v="Customer_059"/>
        <s v="Customer_044"/>
        <s v="Customer_107"/>
        <s v="Customer_081"/>
        <s v="Customer_145"/>
        <s v="Customer_218"/>
        <s v="Customer_207"/>
        <s v="Customer_166"/>
        <s v="Customer_296"/>
        <s v="Customer_224"/>
        <s v="Customer_019"/>
        <s v="Customer_001"/>
        <s v="Customer_027"/>
        <s v="Customer_063"/>
        <s v="Customer_150"/>
        <s v="Customer_098"/>
        <s v="Customer_002"/>
        <s v="Customer_248"/>
        <s v="Customer_226"/>
        <s v="Customer_039"/>
        <s v="Customer_148"/>
        <s v="Customer_228"/>
        <s v="Customer_184"/>
        <s v="Customer_088"/>
        <s v="Customer_119"/>
        <s v="Customer_234"/>
        <s v="Customer_295"/>
        <s v="Customer_255"/>
        <s v="Customer_071"/>
        <s v="Customer_188"/>
        <s v="Customer_240"/>
        <s v="Customer_136"/>
        <s v="Customer_120"/>
        <s v="Customer_238"/>
        <s v="Customer_190"/>
        <s v="Customer_284"/>
        <s v="Customer_142"/>
        <s v="Customer_008"/>
        <s v="Customer_216"/>
        <s v="Customer_232"/>
        <s v="Customer_246"/>
        <s v="Customer_281"/>
        <s v="Customer_051"/>
        <s v="Customer_174"/>
        <s v="Customer_192"/>
        <s v="Customer_050"/>
        <s v="Customer_211"/>
        <s v="Customer_189"/>
        <s v="Customer_093"/>
        <s v="Customer_047"/>
        <s v="Customer_291"/>
        <s v="Customer_113"/>
        <s v="Customer_010"/>
        <s v="Customer_149"/>
        <s v="Customer_186"/>
        <s v="Customer_203"/>
        <s v="Customer_089"/>
        <s v="Customer_230"/>
        <s v="Customer_141"/>
        <s v="Customer_022"/>
        <s v="Customer_032"/>
        <s v="Customer_225"/>
        <s v="Customer_210"/>
        <s v="Customer_180"/>
        <s v="Customer_261"/>
        <s v="Customer_277"/>
        <s v="Customer_121"/>
        <s v="Customer_075"/>
        <s v="Customer_003"/>
        <s v="Customer_033"/>
        <s v="Customer_074"/>
        <s v="Customer_011"/>
        <s v="Customer_035"/>
        <s v="Customer_204"/>
        <s v="Customer_140"/>
        <s v="Customer_096"/>
        <s v="Customer_041"/>
        <s v="Customer_178"/>
        <s v="Customer_270"/>
        <s v="Customer_231"/>
        <s v="Customer_067"/>
        <s v="Customer_298"/>
        <s v="Customer_016"/>
        <s v="Customer_153"/>
        <s v="Customer_105"/>
        <s v="Customer_147"/>
        <s v="Customer_021"/>
        <s v="Customer_072"/>
        <s v="Customer_057"/>
        <s v="Customer_076"/>
        <s v="Customer_078"/>
        <s v="Customer_273"/>
        <s v="Customer_286"/>
        <s v="Customer_116"/>
        <s v="Customer_214"/>
        <s v="Customer_005"/>
        <s v="Customer_269"/>
        <s v="Customer_049"/>
        <s v="Customer_229"/>
        <s v="Customer_160"/>
        <s v="Customer_079"/>
        <s v="Customer_112"/>
        <s v="Customer_040"/>
        <s v="Customer_029"/>
        <s v="Customer_158"/>
        <s v="Customer_070"/>
        <s v="Customer_069"/>
        <s v="Customer_012"/>
        <s v="Customer_236"/>
        <s v="Customer_258"/>
        <s v="Customer_122"/>
        <s v="Customer_038"/>
        <s v="Customer_134"/>
        <s v="Customer_256"/>
        <s v="Customer_259"/>
        <s v="Customer_130"/>
        <s v="Customer_125"/>
        <s v="Customer_283"/>
        <s v="Customer_162"/>
        <s v="Customer_289"/>
        <s v="Customer_257"/>
        <s v="Customer_222"/>
        <s v="Customer_055"/>
        <s v="Customer_046"/>
        <s v="Customer_212"/>
        <s v="Customer_087"/>
        <s v="Customer_101"/>
        <s v="Customer_086"/>
        <s v="Customer_006"/>
        <s v="Customer_114"/>
        <s v="Customer_106"/>
        <s v="Customer_251"/>
        <s v="Customer_285"/>
        <s v="Customer_254"/>
        <s v="Customer_108"/>
        <s v="Customer_031"/>
        <s v="Customer_025"/>
        <s v="Customer_185"/>
        <s v="Customer_220"/>
        <s v="Customer_245"/>
        <s v="Customer_028"/>
        <s v="Customer_271"/>
        <s v="Customer_265"/>
        <s v="Customer_172"/>
        <s v="Customer_206"/>
        <s v="Customer_252"/>
        <s v="Customer_056"/>
        <s v="Customer_263"/>
        <s v="Customer_034"/>
        <s v="Customer_144"/>
        <s v="Customer_282"/>
        <s v="Customer_104"/>
        <s v="Customer_115"/>
        <s v="Customer_201"/>
        <s v="Customer_073"/>
        <s v="Customer_194"/>
        <s v="Customer_117"/>
        <s v="Customer_077"/>
        <s v="Customer_026"/>
        <s v="Customer_293"/>
        <s v="Customer_164"/>
        <s v="Customer_199"/>
        <s v="Customer_274"/>
        <s v="Customer_267"/>
        <s v="Customer_061"/>
        <s v="Customer_247"/>
        <s v="Customer_219"/>
        <s v="Customer_058"/>
        <s v="Customer_292"/>
        <s v="Customer_092"/>
        <s v="Customer_200"/>
        <s v="Customer_170"/>
        <s v="Customer_196"/>
        <s v="Customer_264"/>
        <s v="Customer_100"/>
        <s v="Customer_193"/>
        <s v="Customer_181"/>
        <s v="Customer_183"/>
        <s v="Customer_017"/>
        <s v="Customer_052"/>
        <s v="Customer_154"/>
        <s v="Customer_111"/>
        <s v="Customer_137"/>
        <s v="Customer_095"/>
        <s v="Customer_097"/>
        <s v="Customer_129"/>
        <s v="Customer_018"/>
        <s v="Customer_249"/>
        <s v="Customer_179"/>
        <s v="Customer_167"/>
        <s v="Customer_299"/>
        <s v="Customer_068"/>
        <s v="Customer_202"/>
        <s v="Customer_233"/>
        <s v="Customer_090"/>
        <s v="Customer_159"/>
        <s v="Customer_294"/>
        <s v="Customer_241"/>
        <s v="Customer_237"/>
        <s v="Customer_242"/>
        <s v="Customer_297"/>
        <s v="Customer_091"/>
        <s v="Customer_155"/>
        <s v="Customer_066"/>
        <s v="Customer_013"/>
        <s v="Customer_278"/>
        <s v="Customer_139"/>
        <s v="Customer_143"/>
        <s v="Customer_221"/>
        <s v="Customer_132"/>
        <s v="Customer_163"/>
        <s v="Customer_094"/>
        <s v="Customer_171"/>
        <s v="Customer_053"/>
        <s v="Customer_127"/>
        <s v="Customer_023"/>
        <s v="Customer_060"/>
        <s v="Customer_133"/>
        <s v="Customer_043"/>
      </sharedItems>
    </cacheField>
    <cacheField name="Region" numFmtId="49">
      <sharedItems count="4">
        <s v="North"/>
        <s v="West"/>
        <s v="South"/>
        <s v="East"/>
      </sharedItems>
    </cacheField>
    <cacheField name="State" numFmtId="49">
      <sharedItems/>
    </cacheField>
    <cacheField name="Product Category" numFmtId="49">
      <sharedItems count="4">
        <s v="Home &amp; Kitchen"/>
        <s v="Electronics"/>
        <s v="Clothing"/>
        <s v="Furniture"/>
      </sharedItems>
    </cacheField>
    <cacheField name="Product Name" numFmtId="49">
      <sharedItems count="12">
        <s v="Water Bottle"/>
        <s v="Laptop"/>
        <s v="Cookware Set"/>
        <s v="T-Shirt"/>
        <s v="Bookshelf"/>
        <s v="Jacket"/>
        <s v="Smartphone"/>
        <s v="Office Chair"/>
        <s v="Mixer Grinder"/>
        <s v="Jeans"/>
        <s v="Desk"/>
        <s v="Headphones"/>
      </sharedItems>
    </cacheField>
    <cacheField name="Quantity" numFmtId="1">
      <sharedItems containsSemiMixedTypes="0" containsString="0" containsNumber="1" containsInteger="1" minValue="1" maxValue="10"/>
    </cacheField>
    <cacheField name="Sales" numFmtId="1">
      <sharedItems containsSemiMixedTypes="0" containsString="0" containsNumber="1" containsInteger="1" minValue="358" maxValue="49930"/>
    </cacheField>
    <cacheField name="Cost" numFmtId="1">
      <sharedItems containsSemiMixedTypes="0" containsString="0" containsNumber="1" minValue="216.77" maxValue="38509.94"/>
    </cacheField>
    <cacheField name="Profit" numFmtId="1">
      <sharedItems containsSemiMixedTypes="0" containsString="0" containsNumber="1" minValue="99.02" maxValue="22297.200000000001"/>
    </cacheField>
    <cacheField name="Profit Margin" numFmtId="9">
      <sharedItems containsSemiMixedTypes="0" containsString="0" containsNumber="1" minValue="0.1500275482093664" maxValue="0.44997409326424875"/>
    </cacheField>
    <cacheField name="Month" numFmtId="1">
      <sharedItems count="12">
        <s v="Apr"/>
        <s v="Sep"/>
        <s v="Aug"/>
        <s v="Dec"/>
        <s v="Jun"/>
        <s v="Nov"/>
        <s v="May"/>
        <s v="Mar"/>
        <s v="Jan"/>
        <s v="Feb"/>
        <s v="Oct"/>
        <s v="Jul"/>
      </sharedItems>
    </cacheField>
    <cacheField name="Year" numFmtId="1">
      <sharedItems containsSemiMixedTypes="0" containsString="0" containsNumber="1" containsInteger="1" minValue="2024" maxValue="2025" count="2">
        <n v="2024"/>
        <n v="2025"/>
      </sharedItems>
    </cacheField>
  </cacheFields>
  <extLst>
    <ext xmlns:x14="http://schemas.microsoft.com/office/spreadsheetml/2009/9/main" uri="{725AE2AE-9491-48be-B2B4-4EB974FC3084}">
      <x14:pivotCacheDefinition pivotCacheId="7130275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s v="ORD00001"/>
    <d v="2024-04-14T00:00:00"/>
    <s v="CUST0280"/>
    <x v="0"/>
    <x v="0"/>
    <s v="Delhi"/>
    <x v="0"/>
    <x v="0"/>
    <n v="5"/>
    <n v="11530"/>
    <n v="7113.59"/>
    <n v="4416.41"/>
    <n v="0.38303642671292282"/>
    <x v="0"/>
    <x v="0"/>
  </r>
  <r>
    <s v="ORD00002"/>
    <d v="2025-09-08T00:00:00"/>
    <s v="CUST0014"/>
    <x v="1"/>
    <x v="1"/>
    <s v="Maharashtra"/>
    <x v="1"/>
    <x v="1"/>
    <n v="2"/>
    <n v="4182"/>
    <n v="2592"/>
    <n v="1590"/>
    <n v="0.38020086083213772"/>
    <x v="1"/>
    <x v="1"/>
  </r>
  <r>
    <s v="ORD00003"/>
    <d v="2025-08-26T00:00:00"/>
    <s v="CUST0143"/>
    <x v="2"/>
    <x v="2"/>
    <s v="Telangana"/>
    <x v="0"/>
    <x v="2"/>
    <n v="9"/>
    <n v="33624"/>
    <n v="20716.830000000002"/>
    <n v="12907.17"/>
    <n v="0.38386777301927194"/>
    <x v="2"/>
    <x v="1"/>
  </r>
  <r>
    <s v="ORD00004"/>
    <d v="2024-12-10T00:00:00"/>
    <s v="CUST0053"/>
    <x v="3"/>
    <x v="2"/>
    <s v="Telangana"/>
    <x v="2"/>
    <x v="3"/>
    <n v="6"/>
    <n v="15456"/>
    <n v="9221.73"/>
    <n v="6234.27"/>
    <n v="0.40335597826086961"/>
    <x v="3"/>
    <x v="0"/>
  </r>
  <r>
    <s v="ORD00005"/>
    <d v="2025-04-15T00:00:00"/>
    <s v="CUST0275"/>
    <x v="4"/>
    <x v="1"/>
    <s v="Maharashtra"/>
    <x v="3"/>
    <x v="4"/>
    <n v="6"/>
    <n v="14796"/>
    <n v="11720.48"/>
    <n v="3075.52"/>
    <n v="0.20786158421194917"/>
    <x v="0"/>
    <x v="1"/>
  </r>
  <r>
    <s v="ORD00006"/>
    <d v="2025-12-22T00:00:00"/>
    <s v="CUST0036"/>
    <x v="5"/>
    <x v="1"/>
    <s v="Maharashtra"/>
    <x v="2"/>
    <x v="5"/>
    <n v="5"/>
    <n v="16310"/>
    <n v="11795.48"/>
    <n v="4514.5200000000004"/>
    <n v="0.27679460453709381"/>
    <x v="3"/>
    <x v="1"/>
  </r>
  <r>
    <s v="ORD00007"/>
    <d v="2025-04-09T00:00:00"/>
    <s v="CUST0187"/>
    <x v="6"/>
    <x v="2"/>
    <s v="Tamil Nadu"/>
    <x v="1"/>
    <x v="6"/>
    <n v="4"/>
    <n v="4508"/>
    <n v="2993.48"/>
    <n v="1514.52"/>
    <n v="0.33596273291925466"/>
    <x v="0"/>
    <x v="1"/>
  </r>
  <r>
    <s v="ORD00008"/>
    <d v="2024-06-24T00:00:00"/>
    <s v="CUST0274"/>
    <x v="7"/>
    <x v="3"/>
    <s v="Odisha"/>
    <x v="3"/>
    <x v="7"/>
    <n v="5"/>
    <n v="4420"/>
    <n v="3238.71"/>
    <n v="1181.29"/>
    <n v="0.26726018099547511"/>
    <x v="4"/>
    <x v="0"/>
  </r>
  <r>
    <s v="ORD00009"/>
    <d v="2024-11-28T00:00:00"/>
    <s v="CUST0029"/>
    <x v="8"/>
    <x v="2"/>
    <s v="Tamil Nadu"/>
    <x v="2"/>
    <x v="3"/>
    <n v="5"/>
    <n v="24310"/>
    <n v="14972.15"/>
    <n v="9337.85"/>
    <n v="0.38411559029206088"/>
    <x v="5"/>
    <x v="0"/>
  </r>
  <r>
    <s v="ORD00010"/>
    <d v="2025-08-03T00:00:00"/>
    <s v="CUST0162"/>
    <x v="9"/>
    <x v="0"/>
    <s v="Punjab"/>
    <x v="2"/>
    <x v="3"/>
    <n v="5"/>
    <n v="4210"/>
    <n v="2581.9699999999998"/>
    <n v="1628.03"/>
    <n v="0.38670546318289784"/>
    <x v="2"/>
    <x v="1"/>
  </r>
  <r>
    <s v="ORD00011"/>
    <d v="2024-09-09T00:00:00"/>
    <s v="CUST0288"/>
    <x v="10"/>
    <x v="1"/>
    <s v="Gujarat"/>
    <x v="0"/>
    <x v="2"/>
    <n v="8"/>
    <n v="11760"/>
    <n v="7402.5"/>
    <n v="4357.5"/>
    <n v="0.3705357142857143"/>
    <x v="1"/>
    <x v="0"/>
  </r>
  <r>
    <s v="ORD00012"/>
    <d v="2024-05-21T00:00:00"/>
    <s v="CUST0261"/>
    <x v="11"/>
    <x v="3"/>
    <s v="Bihar"/>
    <x v="0"/>
    <x v="8"/>
    <n v="7"/>
    <n v="24997"/>
    <n v="16463"/>
    <n v="8534"/>
    <n v="0.34140096811617393"/>
    <x v="6"/>
    <x v="0"/>
  </r>
  <r>
    <s v="ORD00013"/>
    <d v="2025-03-08T00:00:00"/>
    <s v="CUST0033"/>
    <x v="12"/>
    <x v="0"/>
    <s v="Delhi"/>
    <x v="1"/>
    <x v="6"/>
    <n v="3"/>
    <n v="4830"/>
    <n v="3804.22"/>
    <n v="1025.78"/>
    <n v="0.21237681159420288"/>
    <x v="7"/>
    <x v="1"/>
  </r>
  <r>
    <s v="ORD00014"/>
    <d v="2024-01-12T00:00:00"/>
    <s v="CUST0059"/>
    <x v="13"/>
    <x v="1"/>
    <s v="Rajasthan"/>
    <x v="2"/>
    <x v="9"/>
    <n v="9"/>
    <n v="21231"/>
    <n v="17862.14"/>
    <n v="3368.86"/>
    <n v="0.15867646366162688"/>
    <x v="8"/>
    <x v="0"/>
  </r>
  <r>
    <s v="ORD00015"/>
    <d v="2025-04-09T00:00:00"/>
    <s v="CUST0002"/>
    <x v="14"/>
    <x v="3"/>
    <s v="Bihar"/>
    <x v="3"/>
    <x v="4"/>
    <n v="2"/>
    <n v="5408"/>
    <n v="3679.76"/>
    <n v="1728.24"/>
    <n v="0.31957100591715976"/>
    <x v="0"/>
    <x v="1"/>
  </r>
  <r>
    <s v="ORD00016"/>
    <d v="2024-06-05T00:00:00"/>
    <s v="CUST0192"/>
    <x v="15"/>
    <x v="2"/>
    <s v="Telangana"/>
    <x v="1"/>
    <x v="6"/>
    <n v="5"/>
    <n v="22290"/>
    <n v="16331.68"/>
    <n v="5958.32"/>
    <n v="0.26730910722296991"/>
    <x v="4"/>
    <x v="0"/>
  </r>
  <r>
    <s v="ORD00017"/>
    <d v="2025-01-06T00:00:00"/>
    <s v="CUST0158"/>
    <x v="16"/>
    <x v="0"/>
    <s v="Haryana"/>
    <x v="3"/>
    <x v="4"/>
    <n v="8"/>
    <n v="3672"/>
    <n v="2142.83"/>
    <n v="1529.17"/>
    <n v="0.41644063180827889"/>
    <x v="8"/>
    <x v="1"/>
  </r>
  <r>
    <s v="ORD00018"/>
    <d v="2024-03-11T00:00:00"/>
    <s v="CUST0273"/>
    <x v="17"/>
    <x v="0"/>
    <s v="Delhi"/>
    <x v="0"/>
    <x v="8"/>
    <n v="2"/>
    <n v="2002"/>
    <n v="1540.68"/>
    <n v="461.32"/>
    <n v="0.23042957042957044"/>
    <x v="7"/>
    <x v="0"/>
  </r>
  <r>
    <s v="ORD00019"/>
    <d v="2025-09-13T00:00:00"/>
    <s v="CUST0217"/>
    <x v="9"/>
    <x v="2"/>
    <s v="Telangana"/>
    <x v="2"/>
    <x v="9"/>
    <n v="9"/>
    <n v="14868"/>
    <n v="9359.66"/>
    <n v="5508.34"/>
    <n v="0.37048291633037395"/>
    <x v="1"/>
    <x v="1"/>
  </r>
  <r>
    <s v="ORD00020"/>
    <d v="2025-06-13T00:00:00"/>
    <s v="CUST0232"/>
    <x v="18"/>
    <x v="2"/>
    <s v="Telangana"/>
    <x v="3"/>
    <x v="10"/>
    <n v="7"/>
    <n v="23513"/>
    <n v="16022.46"/>
    <n v="7490.54"/>
    <n v="0.31857015268149536"/>
    <x v="4"/>
    <x v="1"/>
  </r>
  <r>
    <s v="ORD00021"/>
    <d v="2024-08-23T00:00:00"/>
    <s v="CUST0113"/>
    <x v="2"/>
    <x v="2"/>
    <s v="Karnataka"/>
    <x v="1"/>
    <x v="6"/>
    <n v="6"/>
    <n v="2832"/>
    <n v="2057.4299999999998"/>
    <n v="774.57"/>
    <n v="0.2735063559322034"/>
    <x v="2"/>
    <x v="0"/>
  </r>
  <r>
    <s v="ORD00022"/>
    <d v="2024-02-02T00:00:00"/>
    <s v="CUST0170"/>
    <x v="19"/>
    <x v="0"/>
    <s v="Haryana"/>
    <x v="0"/>
    <x v="2"/>
    <n v="1"/>
    <n v="2175"/>
    <n v="1240.23"/>
    <n v="934.77"/>
    <n v="0.42977931034482758"/>
    <x v="9"/>
    <x v="0"/>
  </r>
  <r>
    <s v="ORD00023"/>
    <d v="2025-08-07T00:00:00"/>
    <s v="CUST0296"/>
    <x v="20"/>
    <x v="2"/>
    <s v="Tamil Nadu"/>
    <x v="0"/>
    <x v="2"/>
    <n v="8"/>
    <n v="16440"/>
    <n v="11701.5"/>
    <n v="4738.5"/>
    <n v="0.28822992700729927"/>
    <x v="2"/>
    <x v="1"/>
  </r>
  <r>
    <s v="ORD00024"/>
    <d v="2025-03-17T00:00:00"/>
    <s v="CUST0182"/>
    <x v="21"/>
    <x v="2"/>
    <s v="Tamil Nadu"/>
    <x v="2"/>
    <x v="3"/>
    <n v="4"/>
    <n v="4288"/>
    <n v="2483.09"/>
    <n v="1804.91"/>
    <n v="0.42092117537313434"/>
    <x v="7"/>
    <x v="1"/>
  </r>
  <r>
    <s v="ORD00025"/>
    <d v="2024-12-13T00:00:00"/>
    <s v="CUST0056"/>
    <x v="22"/>
    <x v="1"/>
    <s v="Gujarat"/>
    <x v="0"/>
    <x v="0"/>
    <n v="1"/>
    <n v="1106"/>
    <n v="628.41"/>
    <n v="477.59"/>
    <n v="0.43181735985533454"/>
    <x v="3"/>
    <x v="0"/>
  </r>
  <r>
    <s v="ORD00026"/>
    <d v="2024-10-12T00:00:00"/>
    <s v="CUST0237"/>
    <x v="22"/>
    <x v="2"/>
    <s v="Karnataka"/>
    <x v="2"/>
    <x v="5"/>
    <n v="8"/>
    <n v="11584"/>
    <n v="7837.32"/>
    <n v="3746.68"/>
    <n v="0.32343577348066299"/>
    <x v="10"/>
    <x v="0"/>
  </r>
  <r>
    <s v="ORD00027"/>
    <d v="2025-07-07T00:00:00"/>
    <s v="CUST0008"/>
    <x v="3"/>
    <x v="0"/>
    <s v="Punjab"/>
    <x v="2"/>
    <x v="5"/>
    <n v="2"/>
    <n v="1428"/>
    <n v="1064.78"/>
    <n v="363.22"/>
    <n v="0.25435574229691876"/>
    <x v="11"/>
    <x v="1"/>
  </r>
  <r>
    <s v="ORD00028"/>
    <d v="2025-02-14T00:00:00"/>
    <s v="CUST0031"/>
    <x v="23"/>
    <x v="2"/>
    <s v="Karnataka"/>
    <x v="2"/>
    <x v="3"/>
    <n v="8"/>
    <n v="33944"/>
    <n v="20845.830000000002"/>
    <n v="13098.17"/>
    <n v="0.38587585434833843"/>
    <x v="9"/>
    <x v="1"/>
  </r>
  <r>
    <s v="ORD00029"/>
    <d v="2025-12-14T00:00:00"/>
    <s v="CUST0285"/>
    <x v="24"/>
    <x v="1"/>
    <s v="Maharashtra"/>
    <x v="2"/>
    <x v="3"/>
    <n v="5"/>
    <n v="20135"/>
    <n v="12797.3"/>
    <n v="7337.7"/>
    <n v="0.36442513037000246"/>
    <x v="3"/>
    <x v="1"/>
  </r>
  <r>
    <s v="ORD00030"/>
    <d v="2025-07-09T00:00:00"/>
    <s v="CUST0032"/>
    <x v="25"/>
    <x v="2"/>
    <s v="Karnataka"/>
    <x v="3"/>
    <x v="10"/>
    <n v="4"/>
    <n v="3116"/>
    <n v="2255.2199999999998"/>
    <n v="860.78"/>
    <n v="0.27624518613607185"/>
    <x v="11"/>
    <x v="1"/>
  </r>
  <r>
    <s v="ORD00031"/>
    <d v="2025-06-27T00:00:00"/>
    <s v="CUST0081"/>
    <x v="26"/>
    <x v="0"/>
    <s v="Delhi"/>
    <x v="0"/>
    <x v="8"/>
    <n v="8"/>
    <n v="35352"/>
    <n v="29194.25"/>
    <n v="6157.75"/>
    <n v="0.17418392170174249"/>
    <x v="4"/>
    <x v="1"/>
  </r>
  <r>
    <s v="ORD00032"/>
    <d v="2024-08-28T00:00:00"/>
    <s v="CUST0207"/>
    <x v="18"/>
    <x v="0"/>
    <s v="Delhi"/>
    <x v="1"/>
    <x v="6"/>
    <n v="10"/>
    <n v="8560"/>
    <n v="6441.95"/>
    <n v="2118.0500000000002"/>
    <n v="0.24743574766355142"/>
    <x v="2"/>
    <x v="0"/>
  </r>
  <r>
    <s v="ORD00033"/>
    <d v="2025-08-20T00:00:00"/>
    <s v="CUST0290"/>
    <x v="27"/>
    <x v="2"/>
    <s v="Telangana"/>
    <x v="0"/>
    <x v="8"/>
    <n v="1"/>
    <n v="971"/>
    <n v="656.17"/>
    <n v="314.83"/>
    <n v="0.32423274974253347"/>
    <x v="2"/>
    <x v="1"/>
  </r>
  <r>
    <s v="ORD00034"/>
    <d v="2024-05-14T00:00:00"/>
    <s v="CUST0154"/>
    <x v="28"/>
    <x v="3"/>
    <s v="Odisha"/>
    <x v="3"/>
    <x v="7"/>
    <n v="6"/>
    <n v="13530"/>
    <n v="8519.6299999999992"/>
    <n v="5010.37"/>
    <n v="0.37031559497413158"/>
    <x v="6"/>
    <x v="0"/>
  </r>
  <r>
    <s v="ORD00035"/>
    <d v="2024-03-16T00:00:00"/>
    <s v="CUST0276"/>
    <x v="29"/>
    <x v="3"/>
    <s v="West Bengal"/>
    <x v="1"/>
    <x v="1"/>
    <n v="8"/>
    <n v="39296"/>
    <n v="33355.58"/>
    <n v="5940.42"/>
    <n v="0.15117111156351792"/>
    <x v="7"/>
    <x v="0"/>
  </r>
  <r>
    <s v="ORD00036"/>
    <d v="2024-06-10T00:00:00"/>
    <s v="CUST0225"/>
    <x v="30"/>
    <x v="3"/>
    <s v="West Bengal"/>
    <x v="3"/>
    <x v="4"/>
    <n v="2"/>
    <n v="4602"/>
    <n v="3041.27"/>
    <n v="1560.73"/>
    <n v="0.33914167753150803"/>
    <x v="4"/>
    <x v="0"/>
  </r>
  <r>
    <s v="ORD00037"/>
    <d v="2025-07-21T00:00:00"/>
    <s v="CUST0154"/>
    <x v="31"/>
    <x v="3"/>
    <s v="Bihar"/>
    <x v="0"/>
    <x v="2"/>
    <n v="9"/>
    <n v="3276"/>
    <n v="2458.1799999999998"/>
    <n v="817.82"/>
    <n v="0.24963980463980465"/>
    <x v="11"/>
    <x v="1"/>
  </r>
  <r>
    <s v="ORD00038"/>
    <d v="2024-10-15T00:00:00"/>
    <s v="CUST0108"/>
    <x v="32"/>
    <x v="2"/>
    <s v="Tamil Nadu"/>
    <x v="1"/>
    <x v="6"/>
    <n v="2"/>
    <n v="9664"/>
    <n v="5765.87"/>
    <n v="3898.13"/>
    <n v="0.4033661009933775"/>
    <x v="10"/>
    <x v="0"/>
  </r>
  <r>
    <s v="ORD00039"/>
    <d v="2024-02-22T00:00:00"/>
    <s v="CUST0048"/>
    <x v="21"/>
    <x v="2"/>
    <s v="Telangana"/>
    <x v="0"/>
    <x v="2"/>
    <n v="5"/>
    <n v="22200"/>
    <n v="15463.62"/>
    <n v="6736.38"/>
    <n v="0.30344054054054054"/>
    <x v="9"/>
    <x v="0"/>
  </r>
  <r>
    <s v="ORD00040"/>
    <d v="2024-09-25T00:00:00"/>
    <s v="CUST0083"/>
    <x v="33"/>
    <x v="3"/>
    <s v="West Bengal"/>
    <x v="1"/>
    <x v="1"/>
    <n v="6"/>
    <n v="8226"/>
    <n v="6096.57"/>
    <n v="2129.4299999999998"/>
    <n v="0.2588657913931437"/>
    <x v="1"/>
    <x v="0"/>
  </r>
  <r>
    <s v="ORD00041"/>
    <d v="2025-12-08T00:00:00"/>
    <s v="CUST0077"/>
    <x v="34"/>
    <x v="1"/>
    <s v="Rajasthan"/>
    <x v="1"/>
    <x v="1"/>
    <n v="2"/>
    <n v="1832"/>
    <n v="1527"/>
    <n v="305"/>
    <n v="0.16648471615720525"/>
    <x v="3"/>
    <x v="1"/>
  </r>
  <r>
    <s v="ORD00042"/>
    <d v="2024-02-12T00:00:00"/>
    <s v="CUST0158"/>
    <x v="35"/>
    <x v="0"/>
    <s v="Punjab"/>
    <x v="0"/>
    <x v="8"/>
    <n v="9"/>
    <n v="13617"/>
    <n v="9245.07"/>
    <n v="4371.93"/>
    <n v="0.32106411103767352"/>
    <x v="9"/>
    <x v="0"/>
  </r>
  <r>
    <s v="ORD00043"/>
    <d v="2025-07-27T00:00:00"/>
    <s v="CUST0209"/>
    <x v="36"/>
    <x v="0"/>
    <s v="Punjab"/>
    <x v="3"/>
    <x v="7"/>
    <n v="4"/>
    <n v="4568"/>
    <n v="2997.08"/>
    <n v="1570.92"/>
    <n v="0.34389667250437828"/>
    <x v="11"/>
    <x v="1"/>
  </r>
  <r>
    <s v="ORD00044"/>
    <d v="2024-12-06T00:00:00"/>
    <s v="CUST0211"/>
    <x v="22"/>
    <x v="2"/>
    <s v="Karnataka"/>
    <x v="1"/>
    <x v="11"/>
    <n v="7"/>
    <n v="3521"/>
    <n v="2126.0100000000002"/>
    <n v="1394.99"/>
    <n v="0.39619142289122411"/>
    <x v="3"/>
    <x v="0"/>
  </r>
  <r>
    <s v="ORD00045"/>
    <d v="2025-04-26T00:00:00"/>
    <s v="CUST0114"/>
    <x v="37"/>
    <x v="3"/>
    <s v="West Bengal"/>
    <x v="0"/>
    <x v="0"/>
    <n v="2"/>
    <n v="6866"/>
    <n v="5572.79"/>
    <n v="1293.21"/>
    <n v="0.1883498397902709"/>
    <x v="0"/>
    <x v="1"/>
  </r>
  <r>
    <s v="ORD00046"/>
    <d v="2024-07-16T00:00:00"/>
    <s v="CUST0205"/>
    <x v="38"/>
    <x v="1"/>
    <s v="Gujarat"/>
    <x v="3"/>
    <x v="10"/>
    <n v="4"/>
    <n v="8504"/>
    <n v="4737.57"/>
    <n v="3766.43"/>
    <n v="0.44290098777046094"/>
    <x v="11"/>
    <x v="0"/>
  </r>
  <r>
    <s v="ORD00047"/>
    <d v="2025-07-03T00:00:00"/>
    <s v="CUST0170"/>
    <x v="39"/>
    <x v="3"/>
    <s v="West Bengal"/>
    <x v="3"/>
    <x v="10"/>
    <n v="6"/>
    <n v="26838"/>
    <n v="17978.87"/>
    <n v="8859.1299999999992"/>
    <n v="0.33009650495565984"/>
    <x v="11"/>
    <x v="1"/>
  </r>
  <r>
    <s v="ORD00048"/>
    <d v="2025-09-02T00:00:00"/>
    <s v="CUST0223"/>
    <x v="40"/>
    <x v="0"/>
    <s v="Punjab"/>
    <x v="1"/>
    <x v="11"/>
    <n v="10"/>
    <n v="24740"/>
    <n v="13890.94"/>
    <n v="10849.06"/>
    <n v="0.43852303961196443"/>
    <x v="1"/>
    <x v="1"/>
  </r>
  <r>
    <s v="ORD00049"/>
    <d v="2025-08-13T00:00:00"/>
    <s v="CUST0098"/>
    <x v="41"/>
    <x v="3"/>
    <s v="Odisha"/>
    <x v="0"/>
    <x v="8"/>
    <n v="9"/>
    <n v="11223"/>
    <n v="7469.56"/>
    <n v="3753.44"/>
    <n v="0.33444177136238085"/>
    <x v="2"/>
    <x v="1"/>
  </r>
  <r>
    <s v="ORD00050"/>
    <d v="2025-07-05T00:00:00"/>
    <s v="CUST0101"/>
    <x v="35"/>
    <x v="0"/>
    <s v="Haryana"/>
    <x v="2"/>
    <x v="3"/>
    <n v="1"/>
    <n v="4559"/>
    <n v="3773.36"/>
    <n v="785.64"/>
    <n v="0.1723272647510419"/>
    <x v="11"/>
    <x v="1"/>
  </r>
  <r>
    <s v="ORD00051"/>
    <d v="2024-05-07T00:00:00"/>
    <s v="CUST0154"/>
    <x v="42"/>
    <x v="1"/>
    <s v="Maharashtra"/>
    <x v="0"/>
    <x v="2"/>
    <n v="6"/>
    <n v="17226"/>
    <n v="12902.55"/>
    <n v="4323.45"/>
    <n v="0.25098397770811565"/>
    <x v="6"/>
    <x v="0"/>
  </r>
  <r>
    <s v="ORD00052"/>
    <d v="2025-07-21T00:00:00"/>
    <s v="CUST0066"/>
    <x v="43"/>
    <x v="3"/>
    <s v="Bihar"/>
    <x v="2"/>
    <x v="3"/>
    <n v="6"/>
    <n v="21576"/>
    <n v="16379.69"/>
    <n v="5196.3100000000004"/>
    <n v="0.2408375046347794"/>
    <x v="11"/>
    <x v="1"/>
  </r>
  <r>
    <s v="ORD00053"/>
    <d v="2025-07-15T00:00:00"/>
    <s v="CUST0001"/>
    <x v="44"/>
    <x v="1"/>
    <s v="Rajasthan"/>
    <x v="2"/>
    <x v="3"/>
    <n v="3"/>
    <n v="14886"/>
    <n v="9531.2800000000007"/>
    <n v="5354.72"/>
    <n v="0.3597151686148059"/>
    <x v="11"/>
    <x v="1"/>
  </r>
  <r>
    <s v="ORD00054"/>
    <d v="2025-03-28T00:00:00"/>
    <s v="CUST0110"/>
    <x v="45"/>
    <x v="3"/>
    <s v="West Bengal"/>
    <x v="2"/>
    <x v="3"/>
    <n v="10"/>
    <n v="29390"/>
    <n v="20264.3"/>
    <n v="9125.7000000000007"/>
    <n v="0.31050357264375639"/>
    <x v="7"/>
    <x v="1"/>
  </r>
  <r>
    <s v="ORD00055"/>
    <d v="2025-10-10T00:00:00"/>
    <s v="CUST0172"/>
    <x v="3"/>
    <x v="1"/>
    <s v="Rajasthan"/>
    <x v="1"/>
    <x v="11"/>
    <n v="2"/>
    <n v="5248"/>
    <n v="3697.93"/>
    <n v="1550.07"/>
    <n v="0.29536394817073169"/>
    <x v="10"/>
    <x v="1"/>
  </r>
  <r>
    <s v="ORD00056"/>
    <d v="2024-02-17T00:00:00"/>
    <s v="CUST0126"/>
    <x v="46"/>
    <x v="2"/>
    <s v="Telangana"/>
    <x v="3"/>
    <x v="10"/>
    <n v="4"/>
    <n v="7724"/>
    <n v="4589.6499999999996"/>
    <n v="3134.35"/>
    <n v="0.40579363024339721"/>
    <x v="9"/>
    <x v="0"/>
  </r>
  <r>
    <s v="ORD00057"/>
    <d v="2025-01-28T00:00:00"/>
    <s v="CUST0254"/>
    <x v="47"/>
    <x v="0"/>
    <s v="Punjab"/>
    <x v="2"/>
    <x v="3"/>
    <n v="10"/>
    <n v="18920"/>
    <n v="14483.33"/>
    <n v="4436.67"/>
    <n v="0.23449630021141649"/>
    <x v="8"/>
    <x v="1"/>
  </r>
  <r>
    <s v="ORD00058"/>
    <d v="2024-08-12T00:00:00"/>
    <s v="CUST0091"/>
    <x v="48"/>
    <x v="2"/>
    <s v="Karnataka"/>
    <x v="0"/>
    <x v="2"/>
    <n v="1"/>
    <n v="1173"/>
    <n v="919.08"/>
    <n v="253.92"/>
    <n v="0.21647058823529411"/>
    <x v="2"/>
    <x v="0"/>
  </r>
  <r>
    <s v="ORD00059"/>
    <d v="2025-04-20T00:00:00"/>
    <s v="CUST0272"/>
    <x v="49"/>
    <x v="1"/>
    <s v="Maharashtra"/>
    <x v="2"/>
    <x v="5"/>
    <n v="4"/>
    <n v="5176"/>
    <n v="3555.59"/>
    <n v="1620.41"/>
    <n v="0.31306221020092739"/>
    <x v="0"/>
    <x v="1"/>
  </r>
  <r>
    <s v="ORD00060"/>
    <d v="2025-07-15T00:00:00"/>
    <s v="CUST0229"/>
    <x v="50"/>
    <x v="3"/>
    <s v="Odisha"/>
    <x v="0"/>
    <x v="8"/>
    <n v="9"/>
    <n v="34155"/>
    <n v="27295.68"/>
    <n v="6859.32"/>
    <n v="0.20082916117698726"/>
    <x v="11"/>
    <x v="1"/>
  </r>
  <r>
    <s v="ORD00061"/>
    <d v="2025-06-17T00:00:00"/>
    <s v="CUST0249"/>
    <x v="16"/>
    <x v="1"/>
    <s v="Gujarat"/>
    <x v="3"/>
    <x v="10"/>
    <n v="4"/>
    <n v="10284"/>
    <n v="8018.89"/>
    <n v="2265.11"/>
    <n v="0.22025573706728901"/>
    <x v="4"/>
    <x v="1"/>
  </r>
  <r>
    <s v="ORD00062"/>
    <d v="2024-11-23T00:00:00"/>
    <s v="CUST0277"/>
    <x v="51"/>
    <x v="3"/>
    <s v="Odisha"/>
    <x v="1"/>
    <x v="6"/>
    <n v="5"/>
    <n v="11100"/>
    <n v="7009.81"/>
    <n v="4090.19"/>
    <n v="0.36848558558558558"/>
    <x v="5"/>
    <x v="0"/>
  </r>
  <r>
    <s v="ORD00063"/>
    <d v="2024-03-06T00:00:00"/>
    <s v="CUST0213"/>
    <x v="52"/>
    <x v="2"/>
    <s v="Karnataka"/>
    <x v="3"/>
    <x v="7"/>
    <n v="7"/>
    <n v="10857"/>
    <n v="8272.23"/>
    <n v="2584.77"/>
    <n v="0.23807405360596851"/>
    <x v="7"/>
    <x v="0"/>
  </r>
  <r>
    <s v="ORD00064"/>
    <d v="2025-03-06T00:00:00"/>
    <s v="CUST0200"/>
    <x v="53"/>
    <x v="3"/>
    <s v="Bihar"/>
    <x v="2"/>
    <x v="9"/>
    <n v="7"/>
    <n v="5670"/>
    <n v="3470.33"/>
    <n v="2199.67"/>
    <n v="0.38794885361552028"/>
    <x v="7"/>
    <x v="1"/>
  </r>
  <r>
    <s v="ORD00065"/>
    <d v="2024-11-01T00:00:00"/>
    <s v="CUST0200"/>
    <x v="54"/>
    <x v="0"/>
    <s v="Haryana"/>
    <x v="2"/>
    <x v="3"/>
    <n v="8"/>
    <n v="2784"/>
    <n v="2318.58"/>
    <n v="465.42"/>
    <n v="0.16717672413793103"/>
    <x v="5"/>
    <x v="0"/>
  </r>
  <r>
    <s v="ORD00066"/>
    <d v="2025-02-02T00:00:00"/>
    <s v="CUST0173"/>
    <x v="55"/>
    <x v="2"/>
    <s v="Tamil Nadu"/>
    <x v="3"/>
    <x v="7"/>
    <n v="5"/>
    <n v="19350"/>
    <n v="13461.65"/>
    <n v="5888.35"/>
    <n v="0.30430749354005171"/>
    <x v="9"/>
    <x v="1"/>
  </r>
  <r>
    <s v="ORD00067"/>
    <d v="2025-02-07T00:00:00"/>
    <s v="CUST0289"/>
    <x v="56"/>
    <x v="2"/>
    <s v="Tamil Nadu"/>
    <x v="1"/>
    <x v="11"/>
    <n v="10"/>
    <n v="46750"/>
    <n v="26090.7"/>
    <n v="20659.3"/>
    <n v="0.44191016042780745"/>
    <x v="9"/>
    <x v="1"/>
  </r>
  <r>
    <s v="ORD00068"/>
    <d v="2024-09-23T00:00:00"/>
    <s v="CUST0195"/>
    <x v="57"/>
    <x v="0"/>
    <s v="Haryana"/>
    <x v="2"/>
    <x v="3"/>
    <n v="3"/>
    <n v="12246"/>
    <n v="7402.94"/>
    <n v="4843.0600000000004"/>
    <n v="0.39548097337906257"/>
    <x v="1"/>
    <x v="0"/>
  </r>
  <r>
    <s v="ORD00069"/>
    <d v="2025-03-07T00:00:00"/>
    <s v="CUST0130"/>
    <x v="51"/>
    <x v="2"/>
    <s v="Tamil Nadu"/>
    <x v="3"/>
    <x v="4"/>
    <n v="6"/>
    <n v="20430"/>
    <n v="12941.93"/>
    <n v="7488.07"/>
    <n v="0.36652325012236903"/>
    <x v="7"/>
    <x v="1"/>
  </r>
  <r>
    <s v="ORD00070"/>
    <d v="2024-12-24T00:00:00"/>
    <s v="CUST0115"/>
    <x v="58"/>
    <x v="1"/>
    <s v="Maharashtra"/>
    <x v="0"/>
    <x v="0"/>
    <n v="9"/>
    <n v="6534"/>
    <n v="5553.72"/>
    <n v="980.28"/>
    <n v="0.1500275482093664"/>
    <x v="3"/>
    <x v="0"/>
  </r>
  <r>
    <s v="ORD00071"/>
    <d v="2024-09-01T00:00:00"/>
    <s v="CUST0065"/>
    <x v="20"/>
    <x v="0"/>
    <s v="Delhi"/>
    <x v="3"/>
    <x v="7"/>
    <n v="4"/>
    <n v="1864"/>
    <n v="1372.65"/>
    <n v="491.35"/>
    <n v="0.26359978540772533"/>
    <x v="1"/>
    <x v="0"/>
  </r>
  <r>
    <s v="ORD00072"/>
    <d v="2024-06-20T00:00:00"/>
    <s v="CUST0059"/>
    <x v="6"/>
    <x v="0"/>
    <s v="Haryana"/>
    <x v="3"/>
    <x v="7"/>
    <n v="8"/>
    <n v="19192"/>
    <n v="14971.09"/>
    <n v="4220.91"/>
    <n v="0.21993070029178824"/>
    <x v="4"/>
    <x v="0"/>
  </r>
  <r>
    <s v="ORD00073"/>
    <d v="2025-01-19T00:00:00"/>
    <s v="CUST0204"/>
    <x v="59"/>
    <x v="3"/>
    <s v="West Bengal"/>
    <x v="0"/>
    <x v="8"/>
    <n v="1"/>
    <n v="2855"/>
    <n v="2063.42"/>
    <n v="791.58"/>
    <n v="0.277260945709282"/>
    <x v="8"/>
    <x v="1"/>
  </r>
  <r>
    <s v="ORD00074"/>
    <d v="2024-11-04T00:00:00"/>
    <s v="CUST0062"/>
    <x v="60"/>
    <x v="0"/>
    <s v="Haryana"/>
    <x v="0"/>
    <x v="0"/>
    <n v="4"/>
    <n v="4536"/>
    <n v="3443.54"/>
    <n v="1092.46"/>
    <n v="0.24084215167548501"/>
    <x v="5"/>
    <x v="0"/>
  </r>
  <r>
    <s v="ORD00075"/>
    <d v="2025-10-25T00:00:00"/>
    <s v="CUST0175"/>
    <x v="61"/>
    <x v="0"/>
    <s v="Punjab"/>
    <x v="2"/>
    <x v="5"/>
    <n v="7"/>
    <n v="23345"/>
    <n v="13322.69"/>
    <n v="10022.31"/>
    <n v="0.42931291497108587"/>
    <x v="10"/>
    <x v="1"/>
  </r>
  <r>
    <s v="ORD00076"/>
    <d v="2025-04-15T00:00:00"/>
    <s v="CUST0079"/>
    <x v="62"/>
    <x v="1"/>
    <s v="Gujarat"/>
    <x v="1"/>
    <x v="6"/>
    <n v="7"/>
    <n v="22869"/>
    <n v="16938.509999999998"/>
    <n v="5930.49"/>
    <n v="0.25932441296077657"/>
    <x v="0"/>
    <x v="1"/>
  </r>
  <r>
    <s v="ORD00077"/>
    <d v="2025-04-21T00:00:00"/>
    <s v="CUST0224"/>
    <x v="63"/>
    <x v="2"/>
    <s v="Telangana"/>
    <x v="2"/>
    <x v="5"/>
    <n v="5"/>
    <n v="23540"/>
    <n v="18417.52"/>
    <n v="5122.4799999999996"/>
    <n v="0.217607476635514"/>
    <x v="0"/>
    <x v="1"/>
  </r>
  <r>
    <s v="ORD00078"/>
    <d v="2025-04-20T00:00:00"/>
    <s v="CUST0292"/>
    <x v="64"/>
    <x v="3"/>
    <s v="West Bengal"/>
    <x v="1"/>
    <x v="6"/>
    <n v="5"/>
    <n v="19960"/>
    <n v="12438.25"/>
    <n v="7521.75"/>
    <n v="0.37684118236472947"/>
    <x v="0"/>
    <x v="1"/>
  </r>
  <r>
    <s v="ORD00079"/>
    <d v="2024-12-29T00:00:00"/>
    <s v="CUST0133"/>
    <x v="65"/>
    <x v="3"/>
    <s v="West Bengal"/>
    <x v="2"/>
    <x v="9"/>
    <n v="6"/>
    <n v="10734"/>
    <n v="7473.71"/>
    <n v="3260.29"/>
    <n v="0.30373486118874604"/>
    <x v="3"/>
    <x v="0"/>
  </r>
  <r>
    <s v="ORD00080"/>
    <d v="2024-07-14T00:00:00"/>
    <s v="CUST0044"/>
    <x v="66"/>
    <x v="3"/>
    <s v="Bihar"/>
    <x v="0"/>
    <x v="0"/>
    <n v="5"/>
    <n v="24265"/>
    <n v="13419.65"/>
    <n v="10845.35"/>
    <n v="0.4469544611580466"/>
    <x v="11"/>
    <x v="0"/>
  </r>
  <r>
    <s v="ORD00081"/>
    <d v="2025-05-17T00:00:00"/>
    <s v="CUST0230"/>
    <x v="67"/>
    <x v="1"/>
    <s v="Gujarat"/>
    <x v="2"/>
    <x v="5"/>
    <n v="4"/>
    <n v="16800"/>
    <n v="12495.35"/>
    <n v="4304.6499999999996"/>
    <n v="0.25622916666666662"/>
    <x v="6"/>
    <x v="1"/>
  </r>
  <r>
    <s v="ORD00082"/>
    <d v="2025-08-18T00:00:00"/>
    <s v="CUST0189"/>
    <x v="20"/>
    <x v="0"/>
    <s v="Punjab"/>
    <x v="3"/>
    <x v="7"/>
    <n v="7"/>
    <n v="16051"/>
    <n v="10302.52"/>
    <n v="5748.48"/>
    <n v="0.35813843374244592"/>
    <x v="2"/>
    <x v="1"/>
  </r>
  <r>
    <s v="ORD00083"/>
    <d v="2025-04-09T00:00:00"/>
    <s v="CUST0139"/>
    <x v="68"/>
    <x v="3"/>
    <s v="Odisha"/>
    <x v="0"/>
    <x v="0"/>
    <n v="9"/>
    <n v="27081"/>
    <n v="17752.759999999998"/>
    <n v="9328.24"/>
    <n v="0.3444569993722536"/>
    <x v="0"/>
    <x v="1"/>
  </r>
  <r>
    <s v="ORD00084"/>
    <d v="2025-07-02T00:00:00"/>
    <s v="CUST0095"/>
    <x v="43"/>
    <x v="3"/>
    <s v="West Bengal"/>
    <x v="1"/>
    <x v="6"/>
    <n v="4"/>
    <n v="11536"/>
    <n v="6758.56"/>
    <n v="4777.4399999999996"/>
    <n v="0.41413314840499305"/>
    <x v="11"/>
    <x v="1"/>
  </r>
  <r>
    <s v="ORD00085"/>
    <d v="2024-04-12T00:00:00"/>
    <s v="CUST0100"/>
    <x v="69"/>
    <x v="2"/>
    <s v="Telangana"/>
    <x v="2"/>
    <x v="9"/>
    <n v="5"/>
    <n v="22985"/>
    <n v="16756.919999999998"/>
    <n v="6228.08"/>
    <n v="0.27096280182727867"/>
    <x v="0"/>
    <x v="0"/>
  </r>
  <r>
    <s v="ORD00086"/>
    <d v="2024-05-09T00:00:00"/>
    <s v="CUST0141"/>
    <x v="5"/>
    <x v="2"/>
    <s v="Tamil Nadu"/>
    <x v="1"/>
    <x v="11"/>
    <n v="5"/>
    <n v="2075"/>
    <n v="1581.99"/>
    <n v="493.01"/>
    <n v="0.23759518072289157"/>
    <x v="6"/>
    <x v="0"/>
  </r>
  <r>
    <s v="ORD00087"/>
    <d v="2024-01-13T00:00:00"/>
    <s v="CUST0294"/>
    <x v="70"/>
    <x v="0"/>
    <s v="Haryana"/>
    <x v="3"/>
    <x v="10"/>
    <n v="3"/>
    <n v="12963"/>
    <n v="7528.6"/>
    <n v="5434.4"/>
    <n v="0.41922394507444261"/>
    <x v="8"/>
    <x v="0"/>
  </r>
  <r>
    <s v="ORD00088"/>
    <d v="2024-09-15T00:00:00"/>
    <s v="CUST0245"/>
    <x v="71"/>
    <x v="1"/>
    <s v="Gujarat"/>
    <x v="2"/>
    <x v="9"/>
    <n v="6"/>
    <n v="10860"/>
    <n v="9118.59"/>
    <n v="1741.41"/>
    <n v="0.16035082872928177"/>
    <x v="1"/>
    <x v="0"/>
  </r>
  <r>
    <s v="ORD00089"/>
    <d v="2025-07-30T00:00:00"/>
    <s v="CUST0156"/>
    <x v="72"/>
    <x v="0"/>
    <s v="Punjab"/>
    <x v="2"/>
    <x v="9"/>
    <n v="2"/>
    <n v="1478"/>
    <n v="880.18"/>
    <n v="597.82000000000005"/>
    <n v="0.40447902571041949"/>
    <x v="11"/>
    <x v="1"/>
  </r>
  <r>
    <s v="ORD00090"/>
    <d v="2025-01-24T00:00:00"/>
    <s v="CUST0231"/>
    <x v="33"/>
    <x v="2"/>
    <s v="Karnataka"/>
    <x v="2"/>
    <x v="5"/>
    <n v="7"/>
    <n v="15036"/>
    <n v="11768.8"/>
    <n v="3267.2"/>
    <n v="0.21729183293429102"/>
    <x v="8"/>
    <x v="1"/>
  </r>
  <r>
    <s v="ORD00091"/>
    <d v="2025-09-16T00:00:00"/>
    <s v="CUST0051"/>
    <x v="73"/>
    <x v="3"/>
    <s v="Bihar"/>
    <x v="2"/>
    <x v="3"/>
    <n v="5"/>
    <n v="24790"/>
    <n v="18253.080000000002"/>
    <n v="6536.92"/>
    <n v="0.26369181121419927"/>
    <x v="1"/>
    <x v="1"/>
  </r>
  <r>
    <s v="ORD00092"/>
    <d v="2025-07-19T00:00:00"/>
    <s v="CUST0039"/>
    <x v="74"/>
    <x v="2"/>
    <s v="Tamil Nadu"/>
    <x v="0"/>
    <x v="2"/>
    <n v="2"/>
    <n v="3172"/>
    <n v="1972.86"/>
    <n v="1199.1400000000001"/>
    <n v="0.37803909205548553"/>
    <x v="11"/>
    <x v="1"/>
  </r>
  <r>
    <s v="ORD00093"/>
    <d v="2024-08-25T00:00:00"/>
    <s v="CUST0148"/>
    <x v="75"/>
    <x v="0"/>
    <s v="Punjab"/>
    <x v="2"/>
    <x v="9"/>
    <n v="10"/>
    <n v="41490"/>
    <n v="26444.799999999999"/>
    <n v="15045.2"/>
    <n v="0.36262231863099542"/>
    <x v="2"/>
    <x v="0"/>
  </r>
  <r>
    <s v="ORD00094"/>
    <d v="2025-10-02T00:00:00"/>
    <s v="CUST0102"/>
    <x v="76"/>
    <x v="1"/>
    <s v="Maharashtra"/>
    <x v="0"/>
    <x v="2"/>
    <n v="4"/>
    <n v="9868"/>
    <n v="7759.69"/>
    <n v="2108.31"/>
    <n v="0.21365119578435346"/>
    <x v="10"/>
    <x v="1"/>
  </r>
  <r>
    <s v="ORD00095"/>
    <d v="2024-03-14T00:00:00"/>
    <s v="CUST0031"/>
    <x v="23"/>
    <x v="0"/>
    <s v="Haryana"/>
    <x v="3"/>
    <x v="7"/>
    <n v="3"/>
    <n v="7428"/>
    <n v="5927.46"/>
    <n v="1500.54"/>
    <n v="0.20201130856219709"/>
    <x v="7"/>
    <x v="0"/>
  </r>
  <r>
    <s v="ORD00096"/>
    <d v="2025-04-24T00:00:00"/>
    <s v="CUST0156"/>
    <x v="77"/>
    <x v="3"/>
    <s v="Bihar"/>
    <x v="0"/>
    <x v="0"/>
    <n v="10"/>
    <n v="26640"/>
    <n v="18161.71"/>
    <n v="8478.2900000000009"/>
    <n v="0.31825412912912915"/>
    <x v="0"/>
    <x v="1"/>
  </r>
  <r>
    <s v="ORD00097"/>
    <d v="2024-02-10T00:00:00"/>
    <s v="CUST0222"/>
    <x v="78"/>
    <x v="3"/>
    <s v="Bihar"/>
    <x v="2"/>
    <x v="5"/>
    <n v="8"/>
    <n v="31088"/>
    <n v="17848.63"/>
    <n v="13239.37"/>
    <n v="0.42586753731343285"/>
    <x v="9"/>
    <x v="0"/>
  </r>
  <r>
    <s v="ORD00098"/>
    <d v="2025-11-19T00:00:00"/>
    <s v="CUST0138"/>
    <x v="79"/>
    <x v="3"/>
    <s v="West Bengal"/>
    <x v="1"/>
    <x v="6"/>
    <n v="4"/>
    <n v="1876"/>
    <n v="1594.36"/>
    <n v="281.64"/>
    <n v="0.15012793176972281"/>
    <x v="5"/>
    <x v="1"/>
  </r>
  <r>
    <s v="ORD00099"/>
    <d v="2024-07-04T00:00:00"/>
    <s v="CUST0300"/>
    <x v="80"/>
    <x v="0"/>
    <s v="Delhi"/>
    <x v="2"/>
    <x v="9"/>
    <n v="9"/>
    <n v="35298"/>
    <n v="29114.560000000001"/>
    <n v="6183.44"/>
    <n v="0.17517819706498949"/>
    <x v="11"/>
    <x v="0"/>
  </r>
  <r>
    <s v="ORD00100"/>
    <d v="2025-11-17T00:00:00"/>
    <s v="CUST0054"/>
    <x v="15"/>
    <x v="1"/>
    <s v="Maharashtra"/>
    <x v="2"/>
    <x v="9"/>
    <n v="6"/>
    <n v="21870"/>
    <n v="14215.34"/>
    <n v="7654.66"/>
    <n v="0.35000731595793322"/>
    <x v="5"/>
    <x v="1"/>
  </r>
  <r>
    <s v="ORD00101"/>
    <d v="2025-02-14T00:00:00"/>
    <s v="CUST0282"/>
    <x v="81"/>
    <x v="3"/>
    <s v="Odisha"/>
    <x v="0"/>
    <x v="0"/>
    <n v="8"/>
    <n v="21288"/>
    <n v="15939.92"/>
    <n v="5348.08"/>
    <n v="0.25122510334460729"/>
    <x v="9"/>
    <x v="1"/>
  </r>
  <r>
    <s v="ORD00102"/>
    <d v="2025-02-17T00:00:00"/>
    <s v="CUST0264"/>
    <x v="82"/>
    <x v="1"/>
    <s v="Maharashtra"/>
    <x v="3"/>
    <x v="4"/>
    <n v="5"/>
    <n v="14740"/>
    <n v="8619.61"/>
    <n v="6120.39"/>
    <n v="0.41522320217096337"/>
    <x v="9"/>
    <x v="1"/>
  </r>
  <r>
    <s v="ORD00103"/>
    <d v="2025-05-25T00:00:00"/>
    <s v="CUST0227"/>
    <x v="83"/>
    <x v="1"/>
    <s v="Gujarat"/>
    <x v="1"/>
    <x v="1"/>
    <n v="4"/>
    <n v="18188"/>
    <n v="11977.41"/>
    <n v="6210.59"/>
    <n v="0.34146635144051024"/>
    <x v="6"/>
    <x v="1"/>
  </r>
  <r>
    <s v="ORD00104"/>
    <d v="2025-12-16T00:00:00"/>
    <s v="CUST0249"/>
    <x v="84"/>
    <x v="2"/>
    <s v="Tamil Nadu"/>
    <x v="2"/>
    <x v="5"/>
    <n v="3"/>
    <n v="7977"/>
    <n v="5435.81"/>
    <n v="2541.19"/>
    <n v="0.31856462329196439"/>
    <x v="3"/>
    <x v="1"/>
  </r>
  <r>
    <s v="ORD00105"/>
    <d v="2024-01-15T00:00:00"/>
    <s v="CUST0283"/>
    <x v="52"/>
    <x v="0"/>
    <s v="Haryana"/>
    <x v="0"/>
    <x v="8"/>
    <n v="4"/>
    <n v="6388"/>
    <n v="4108.92"/>
    <n v="2279.08"/>
    <n v="0.35677520350657482"/>
    <x v="8"/>
    <x v="0"/>
  </r>
  <r>
    <s v="ORD00106"/>
    <d v="2024-06-06T00:00:00"/>
    <s v="CUST0256"/>
    <x v="85"/>
    <x v="0"/>
    <s v="Delhi"/>
    <x v="1"/>
    <x v="6"/>
    <n v="8"/>
    <n v="10096"/>
    <n v="7514.58"/>
    <n v="2581.42"/>
    <n v="0.25568740095087161"/>
    <x v="4"/>
    <x v="0"/>
  </r>
  <r>
    <s v="ORD00107"/>
    <d v="2024-05-28T00:00:00"/>
    <s v="CUST0197"/>
    <x v="86"/>
    <x v="3"/>
    <s v="Odisha"/>
    <x v="2"/>
    <x v="9"/>
    <n v="8"/>
    <n v="18368"/>
    <n v="12619.48"/>
    <n v="5748.52"/>
    <n v="0.31296385017421607"/>
    <x v="6"/>
    <x v="0"/>
  </r>
  <r>
    <s v="ORD00108"/>
    <d v="2025-06-03T00:00:00"/>
    <s v="CUST0137"/>
    <x v="87"/>
    <x v="2"/>
    <s v="Karnataka"/>
    <x v="3"/>
    <x v="10"/>
    <n v="7"/>
    <n v="21588"/>
    <n v="17923.97"/>
    <n v="3664.03"/>
    <n v="0.16972531035760607"/>
    <x v="4"/>
    <x v="1"/>
  </r>
  <r>
    <s v="ORD00109"/>
    <d v="2025-04-02T00:00:00"/>
    <s v="CUST0276"/>
    <x v="88"/>
    <x v="3"/>
    <s v="Bihar"/>
    <x v="3"/>
    <x v="10"/>
    <n v="10"/>
    <n v="43110"/>
    <n v="34900.92"/>
    <n v="8209.08"/>
    <n v="0.19042171189979124"/>
    <x v="0"/>
    <x v="1"/>
  </r>
  <r>
    <s v="ORD00110"/>
    <d v="2024-11-25T00:00:00"/>
    <s v="CUST0097"/>
    <x v="16"/>
    <x v="3"/>
    <s v="Odisha"/>
    <x v="2"/>
    <x v="5"/>
    <n v="9"/>
    <n v="30510"/>
    <n v="20948.27"/>
    <n v="9561.73"/>
    <n v="0.31339659128154701"/>
    <x v="5"/>
    <x v="0"/>
  </r>
  <r>
    <s v="ORD00111"/>
    <d v="2025-12-23T00:00:00"/>
    <s v="CUST0196"/>
    <x v="12"/>
    <x v="1"/>
    <s v="Maharashtra"/>
    <x v="2"/>
    <x v="3"/>
    <n v="1"/>
    <n v="2906"/>
    <n v="2247.5300000000002"/>
    <n v="658.47"/>
    <n v="0.22658981417756366"/>
    <x v="3"/>
    <x v="1"/>
  </r>
  <r>
    <s v="ORD00112"/>
    <d v="2024-12-05T00:00:00"/>
    <s v="CUST0052"/>
    <x v="89"/>
    <x v="2"/>
    <s v="Tamil Nadu"/>
    <x v="1"/>
    <x v="1"/>
    <n v="3"/>
    <n v="13242"/>
    <n v="11118.06"/>
    <n v="2123.94"/>
    <n v="0.16039420027186227"/>
    <x v="3"/>
    <x v="0"/>
  </r>
  <r>
    <s v="ORD00113"/>
    <d v="2025-11-01T00:00:00"/>
    <s v="CUST0080"/>
    <x v="90"/>
    <x v="0"/>
    <s v="Haryana"/>
    <x v="2"/>
    <x v="9"/>
    <n v="1"/>
    <n v="1480"/>
    <n v="996.03"/>
    <n v="483.97"/>
    <n v="0.32700675675675678"/>
    <x v="5"/>
    <x v="1"/>
  </r>
  <r>
    <s v="ORD00114"/>
    <d v="2024-12-02T00:00:00"/>
    <s v="CUST0274"/>
    <x v="64"/>
    <x v="1"/>
    <s v="Gujarat"/>
    <x v="3"/>
    <x v="4"/>
    <n v="10"/>
    <n v="35560"/>
    <n v="26490.46"/>
    <n v="9069.5400000000009"/>
    <n v="0.25504893138357709"/>
    <x v="3"/>
    <x v="0"/>
  </r>
  <r>
    <s v="ORD00115"/>
    <d v="2024-03-11T00:00:00"/>
    <s v="CUST0121"/>
    <x v="91"/>
    <x v="3"/>
    <s v="Bihar"/>
    <x v="0"/>
    <x v="0"/>
    <n v="8"/>
    <n v="37856"/>
    <n v="21228.5"/>
    <n v="16627.5"/>
    <n v="0.43923024091293322"/>
    <x v="7"/>
    <x v="0"/>
  </r>
  <r>
    <s v="ORD00116"/>
    <d v="2025-12-21T00:00:00"/>
    <s v="CUST0052"/>
    <x v="92"/>
    <x v="2"/>
    <s v="Telangana"/>
    <x v="1"/>
    <x v="6"/>
    <n v="7"/>
    <n v="7742"/>
    <n v="6024.13"/>
    <n v="1717.87"/>
    <n v="0.22188969258589511"/>
    <x v="3"/>
    <x v="1"/>
  </r>
  <r>
    <s v="ORD00117"/>
    <d v="2024-02-27T00:00:00"/>
    <s v="CUST0151"/>
    <x v="93"/>
    <x v="2"/>
    <s v="Telangana"/>
    <x v="3"/>
    <x v="10"/>
    <n v="1"/>
    <n v="676"/>
    <n v="437.58"/>
    <n v="238.42"/>
    <n v="0.35269230769230769"/>
    <x v="9"/>
    <x v="0"/>
  </r>
  <r>
    <s v="ORD00118"/>
    <d v="2025-11-29T00:00:00"/>
    <s v="CUST0093"/>
    <x v="94"/>
    <x v="3"/>
    <s v="Odisha"/>
    <x v="1"/>
    <x v="11"/>
    <n v="4"/>
    <n v="18604"/>
    <n v="12531.94"/>
    <n v="6072.06"/>
    <n v="0.32638464846269621"/>
    <x v="5"/>
    <x v="1"/>
  </r>
  <r>
    <s v="ORD00119"/>
    <d v="2025-08-20T00:00:00"/>
    <s v="CUST0074"/>
    <x v="95"/>
    <x v="2"/>
    <s v="Karnataka"/>
    <x v="0"/>
    <x v="8"/>
    <n v="7"/>
    <n v="15904"/>
    <n v="11121.67"/>
    <n v="4782.33"/>
    <n v="0.30069982394366196"/>
    <x v="2"/>
    <x v="1"/>
  </r>
  <r>
    <s v="ORD00120"/>
    <d v="2025-04-21T00:00:00"/>
    <s v="CUST0148"/>
    <x v="34"/>
    <x v="1"/>
    <s v="Rajasthan"/>
    <x v="3"/>
    <x v="10"/>
    <n v="8"/>
    <n v="19128"/>
    <n v="14347"/>
    <n v="4781"/>
    <n v="0.24994772061898787"/>
    <x v="0"/>
    <x v="1"/>
  </r>
  <r>
    <s v="ORD00121"/>
    <d v="2025-03-10T00:00:00"/>
    <s v="CUST0129"/>
    <x v="96"/>
    <x v="2"/>
    <s v="Karnataka"/>
    <x v="2"/>
    <x v="9"/>
    <n v="6"/>
    <n v="16500"/>
    <n v="12237.75"/>
    <n v="4262.25"/>
    <n v="0.25831818181818184"/>
    <x v="7"/>
    <x v="1"/>
  </r>
  <r>
    <s v="ORD00122"/>
    <d v="2025-08-08T00:00:00"/>
    <s v="CUST0184"/>
    <x v="97"/>
    <x v="3"/>
    <s v="West Bengal"/>
    <x v="2"/>
    <x v="3"/>
    <n v="8"/>
    <n v="9384"/>
    <n v="5828.98"/>
    <n v="3555.02"/>
    <n v="0.37883844842284742"/>
    <x v="2"/>
    <x v="1"/>
  </r>
  <r>
    <s v="ORD00123"/>
    <d v="2025-08-02T00:00:00"/>
    <s v="CUST0026"/>
    <x v="98"/>
    <x v="3"/>
    <s v="Bihar"/>
    <x v="3"/>
    <x v="10"/>
    <n v="1"/>
    <n v="3542"/>
    <n v="2239.7600000000002"/>
    <n v="1302.24"/>
    <n v="0.36765669113495203"/>
    <x v="2"/>
    <x v="1"/>
  </r>
  <r>
    <s v="ORD00124"/>
    <d v="2025-09-27T00:00:00"/>
    <s v="CUST0129"/>
    <x v="99"/>
    <x v="3"/>
    <s v="West Bengal"/>
    <x v="0"/>
    <x v="8"/>
    <n v="6"/>
    <n v="12564"/>
    <n v="9309.74"/>
    <n v="3254.26"/>
    <n v="0.25901464501751037"/>
    <x v="1"/>
    <x v="1"/>
  </r>
  <r>
    <s v="ORD00125"/>
    <d v="2024-02-04T00:00:00"/>
    <s v="CUST0297"/>
    <x v="35"/>
    <x v="0"/>
    <s v="Haryana"/>
    <x v="0"/>
    <x v="2"/>
    <n v="1"/>
    <n v="2830"/>
    <n v="2226.0300000000002"/>
    <n v="603.97"/>
    <n v="0.21341696113074207"/>
    <x v="9"/>
    <x v="0"/>
  </r>
  <r>
    <s v="ORD00126"/>
    <d v="2024-05-15T00:00:00"/>
    <s v="CUST0277"/>
    <x v="100"/>
    <x v="2"/>
    <s v="Karnataka"/>
    <x v="3"/>
    <x v="10"/>
    <n v="6"/>
    <n v="22218"/>
    <n v="13390.61"/>
    <n v="8827.39"/>
    <n v="0.39730803852732016"/>
    <x v="6"/>
    <x v="0"/>
  </r>
  <r>
    <s v="ORD00127"/>
    <d v="2024-12-12T00:00:00"/>
    <s v="CUST0059"/>
    <x v="101"/>
    <x v="3"/>
    <s v="West Bengal"/>
    <x v="3"/>
    <x v="10"/>
    <n v="8"/>
    <n v="21736"/>
    <n v="16822.96"/>
    <n v="4913.04"/>
    <n v="0.2260323886639676"/>
    <x v="3"/>
    <x v="0"/>
  </r>
  <r>
    <s v="ORD00128"/>
    <d v="2025-02-08T00:00:00"/>
    <s v="CUST0008"/>
    <x v="102"/>
    <x v="0"/>
    <s v="Delhi"/>
    <x v="3"/>
    <x v="7"/>
    <n v="7"/>
    <n v="34055"/>
    <n v="22467.19"/>
    <n v="11587.81"/>
    <n v="0.34026750844222581"/>
    <x v="9"/>
    <x v="1"/>
  </r>
  <r>
    <s v="ORD00129"/>
    <d v="2025-01-15T00:00:00"/>
    <s v="CUST0056"/>
    <x v="103"/>
    <x v="0"/>
    <s v="Punjab"/>
    <x v="3"/>
    <x v="4"/>
    <n v="5"/>
    <n v="17105"/>
    <n v="13627.98"/>
    <n v="3477.02"/>
    <n v="0.20327506577024262"/>
    <x v="8"/>
    <x v="1"/>
  </r>
  <r>
    <s v="ORD00130"/>
    <d v="2024-08-14T00:00:00"/>
    <s v="CUST0033"/>
    <x v="104"/>
    <x v="1"/>
    <s v="Maharashtra"/>
    <x v="0"/>
    <x v="8"/>
    <n v="9"/>
    <n v="26883"/>
    <n v="22167.1"/>
    <n v="4715.8999999999996"/>
    <n v="0.1754231298590187"/>
    <x v="2"/>
    <x v="0"/>
  </r>
  <r>
    <s v="ORD00131"/>
    <d v="2024-02-08T00:00:00"/>
    <s v="CUST0156"/>
    <x v="11"/>
    <x v="3"/>
    <s v="Bihar"/>
    <x v="2"/>
    <x v="3"/>
    <n v="2"/>
    <n v="2890"/>
    <n v="1628.82"/>
    <n v="1261.18"/>
    <n v="0.43639446366782009"/>
    <x v="9"/>
    <x v="0"/>
  </r>
  <r>
    <s v="ORD00132"/>
    <d v="2025-01-14T00:00:00"/>
    <s v="CUST0277"/>
    <x v="54"/>
    <x v="0"/>
    <s v="Delhi"/>
    <x v="3"/>
    <x v="7"/>
    <n v="9"/>
    <n v="12699"/>
    <n v="8465.07"/>
    <n v="4233.93"/>
    <n v="0.33340656744625563"/>
    <x v="8"/>
    <x v="1"/>
  </r>
  <r>
    <s v="ORD00133"/>
    <d v="2024-10-13T00:00:00"/>
    <s v="CUST0017"/>
    <x v="105"/>
    <x v="2"/>
    <s v="Tamil Nadu"/>
    <x v="0"/>
    <x v="2"/>
    <n v="2"/>
    <n v="8616"/>
    <n v="6330.14"/>
    <n v="2285.86"/>
    <n v="0.26530408542246986"/>
    <x v="10"/>
    <x v="0"/>
  </r>
  <r>
    <s v="ORD00134"/>
    <d v="2025-12-03T00:00:00"/>
    <s v="CUST0189"/>
    <x v="30"/>
    <x v="2"/>
    <s v="Tamil Nadu"/>
    <x v="2"/>
    <x v="9"/>
    <n v="4"/>
    <n v="13084"/>
    <n v="7586.19"/>
    <n v="5497.81"/>
    <n v="0.42019336594313667"/>
    <x v="3"/>
    <x v="1"/>
  </r>
  <r>
    <s v="ORD00135"/>
    <d v="2025-04-10T00:00:00"/>
    <s v="CUST0047"/>
    <x v="9"/>
    <x v="3"/>
    <s v="West Bengal"/>
    <x v="2"/>
    <x v="3"/>
    <n v="5"/>
    <n v="9270"/>
    <n v="7791.08"/>
    <n v="1478.92"/>
    <n v="0.15953829557713053"/>
    <x v="0"/>
    <x v="1"/>
  </r>
  <r>
    <s v="ORD00136"/>
    <d v="2024-07-29T00:00:00"/>
    <s v="CUST0036"/>
    <x v="106"/>
    <x v="0"/>
    <s v="Delhi"/>
    <x v="3"/>
    <x v="4"/>
    <n v="4"/>
    <n v="5324"/>
    <n v="4185.16"/>
    <n v="1138.8399999999999"/>
    <n v="0.21390683696468818"/>
    <x v="11"/>
    <x v="0"/>
  </r>
  <r>
    <s v="ORD00137"/>
    <d v="2025-09-02T00:00:00"/>
    <s v="CUST0002"/>
    <x v="107"/>
    <x v="2"/>
    <s v="Telangana"/>
    <x v="3"/>
    <x v="7"/>
    <n v="4"/>
    <n v="11964"/>
    <n v="9359.56"/>
    <n v="2604.44"/>
    <n v="0.21768973587428955"/>
    <x v="1"/>
    <x v="1"/>
  </r>
  <r>
    <s v="ORD00138"/>
    <d v="2024-01-27T00:00:00"/>
    <s v="CUST0068"/>
    <x v="108"/>
    <x v="2"/>
    <s v="Karnataka"/>
    <x v="2"/>
    <x v="5"/>
    <n v="5"/>
    <n v="8645"/>
    <n v="5039.84"/>
    <n v="3605.16"/>
    <n v="0.41702255639097741"/>
    <x v="8"/>
    <x v="0"/>
  </r>
  <r>
    <s v="ORD00139"/>
    <d v="2024-02-23T00:00:00"/>
    <s v="CUST0065"/>
    <x v="109"/>
    <x v="3"/>
    <s v="West Bengal"/>
    <x v="0"/>
    <x v="8"/>
    <n v="6"/>
    <n v="2574"/>
    <n v="1550.25"/>
    <n v="1023.75"/>
    <n v="0.39772727272727271"/>
    <x v="9"/>
    <x v="0"/>
  </r>
  <r>
    <s v="ORD00140"/>
    <d v="2025-06-09T00:00:00"/>
    <s v="CUST0056"/>
    <x v="110"/>
    <x v="0"/>
    <s v="Haryana"/>
    <x v="1"/>
    <x v="6"/>
    <n v="8"/>
    <n v="31776"/>
    <n v="24893.48"/>
    <n v="6882.52"/>
    <n v="0.21659491440080567"/>
    <x v="4"/>
    <x v="1"/>
  </r>
  <r>
    <s v="ORD00141"/>
    <d v="2024-02-01T00:00:00"/>
    <s v="CUST0032"/>
    <x v="111"/>
    <x v="2"/>
    <s v="Telangana"/>
    <x v="1"/>
    <x v="1"/>
    <n v="9"/>
    <n v="24930"/>
    <n v="17137.2"/>
    <n v="7792.8"/>
    <n v="0.3125872442839952"/>
    <x v="9"/>
    <x v="0"/>
  </r>
  <r>
    <s v="ORD00142"/>
    <d v="2025-03-30T00:00:00"/>
    <s v="CUST0038"/>
    <x v="51"/>
    <x v="1"/>
    <s v="Gujarat"/>
    <x v="0"/>
    <x v="2"/>
    <n v="2"/>
    <n v="8632"/>
    <n v="6592.43"/>
    <n v="2039.57"/>
    <n v="0.2362801204819277"/>
    <x v="7"/>
    <x v="1"/>
  </r>
  <r>
    <s v="ORD00143"/>
    <d v="2025-10-10T00:00:00"/>
    <s v="CUST0300"/>
    <x v="112"/>
    <x v="3"/>
    <s v="Bihar"/>
    <x v="1"/>
    <x v="11"/>
    <n v="2"/>
    <n v="2666"/>
    <n v="1686.26"/>
    <n v="979.74"/>
    <n v="0.36749437359339837"/>
    <x v="10"/>
    <x v="1"/>
  </r>
  <r>
    <s v="ORD00144"/>
    <d v="2025-09-11T00:00:00"/>
    <s v="CUST0221"/>
    <x v="113"/>
    <x v="3"/>
    <s v="Odisha"/>
    <x v="0"/>
    <x v="8"/>
    <n v="9"/>
    <n v="24435"/>
    <n v="16765.21"/>
    <n v="7669.79"/>
    <n v="0.31388541027215061"/>
    <x v="1"/>
    <x v="1"/>
  </r>
  <r>
    <s v="ORD00145"/>
    <d v="2024-08-21T00:00:00"/>
    <s v="CUST0212"/>
    <x v="114"/>
    <x v="0"/>
    <s v="Haryana"/>
    <x v="0"/>
    <x v="2"/>
    <n v="9"/>
    <n v="18549"/>
    <n v="12595.16"/>
    <n v="5953.84"/>
    <n v="0.32097902851905763"/>
    <x v="2"/>
    <x v="0"/>
  </r>
  <r>
    <s v="ORD00146"/>
    <d v="2025-11-12T00:00:00"/>
    <s v="CUST0131"/>
    <x v="115"/>
    <x v="1"/>
    <s v="Gujarat"/>
    <x v="2"/>
    <x v="3"/>
    <n v="2"/>
    <n v="5720"/>
    <n v="3878.33"/>
    <n v="1841.67"/>
    <n v="0.32197027972027975"/>
    <x v="5"/>
    <x v="1"/>
  </r>
  <r>
    <s v="ORD00147"/>
    <d v="2024-04-05T00:00:00"/>
    <s v="CUST0222"/>
    <x v="116"/>
    <x v="2"/>
    <s v="Telangana"/>
    <x v="2"/>
    <x v="9"/>
    <n v="2"/>
    <n v="2094"/>
    <n v="1674.22"/>
    <n v="419.78"/>
    <n v="0.20046800382043933"/>
    <x v="0"/>
    <x v="0"/>
  </r>
  <r>
    <s v="ORD00148"/>
    <d v="2025-11-17T00:00:00"/>
    <s v="CUST0063"/>
    <x v="117"/>
    <x v="3"/>
    <s v="West Bengal"/>
    <x v="2"/>
    <x v="5"/>
    <n v="1"/>
    <n v="4900"/>
    <n v="3520.67"/>
    <n v="1379.33"/>
    <n v="0.28149591836734694"/>
    <x v="5"/>
    <x v="1"/>
  </r>
  <r>
    <s v="ORD00149"/>
    <d v="2024-12-26T00:00:00"/>
    <s v="CUST0054"/>
    <x v="79"/>
    <x v="3"/>
    <s v="Bihar"/>
    <x v="2"/>
    <x v="3"/>
    <n v="1"/>
    <n v="2656"/>
    <n v="1939.21"/>
    <n v="716.79"/>
    <n v="0.26987575301204819"/>
    <x v="3"/>
    <x v="0"/>
  </r>
  <r>
    <s v="ORD00150"/>
    <d v="2024-12-24T00:00:00"/>
    <s v="CUST0285"/>
    <x v="118"/>
    <x v="2"/>
    <s v="Karnataka"/>
    <x v="0"/>
    <x v="2"/>
    <n v="8"/>
    <n v="17096"/>
    <n v="13748.3"/>
    <n v="3347.7"/>
    <n v="0.19581773514272344"/>
    <x v="3"/>
    <x v="0"/>
  </r>
  <r>
    <s v="ORD00151"/>
    <d v="2025-09-28T00:00:00"/>
    <s v="CUST0286"/>
    <x v="56"/>
    <x v="0"/>
    <s v="Punjab"/>
    <x v="0"/>
    <x v="8"/>
    <n v="4"/>
    <n v="15260"/>
    <n v="12262.12"/>
    <n v="2997.88"/>
    <n v="0.19645347313237221"/>
    <x v="1"/>
    <x v="1"/>
  </r>
  <r>
    <s v="ORD00152"/>
    <d v="2024-12-25T00:00:00"/>
    <s v="CUST0004"/>
    <x v="119"/>
    <x v="3"/>
    <s v="West Bengal"/>
    <x v="1"/>
    <x v="11"/>
    <n v="5"/>
    <n v="14155"/>
    <n v="11698.56"/>
    <n v="2456.44"/>
    <n v="0.17353867891204522"/>
    <x v="3"/>
    <x v="0"/>
  </r>
  <r>
    <s v="ORD00153"/>
    <d v="2025-10-10T00:00:00"/>
    <s v="CUST0016"/>
    <x v="120"/>
    <x v="2"/>
    <s v="Telangana"/>
    <x v="0"/>
    <x v="2"/>
    <n v="7"/>
    <n v="6090"/>
    <n v="3608.7"/>
    <n v="2481.3000000000002"/>
    <n v="0.40743842364532024"/>
    <x v="10"/>
    <x v="1"/>
  </r>
  <r>
    <s v="ORD00154"/>
    <d v="2024-11-15T00:00:00"/>
    <s v="CUST0167"/>
    <x v="121"/>
    <x v="2"/>
    <s v="Tamil Nadu"/>
    <x v="2"/>
    <x v="3"/>
    <n v="8"/>
    <n v="24736"/>
    <n v="14772.9"/>
    <n v="9963.1"/>
    <n v="0.40277732858990944"/>
    <x v="5"/>
    <x v="0"/>
  </r>
  <r>
    <s v="ORD00155"/>
    <d v="2024-10-05T00:00:00"/>
    <s v="CUST0227"/>
    <x v="76"/>
    <x v="0"/>
    <s v="Delhi"/>
    <x v="1"/>
    <x v="11"/>
    <n v="3"/>
    <n v="2121"/>
    <n v="1595.4"/>
    <n v="525.6"/>
    <n v="0.24780763790664781"/>
    <x v="10"/>
    <x v="0"/>
  </r>
  <r>
    <s v="ORD00156"/>
    <d v="2025-06-08T00:00:00"/>
    <s v="CUST0059"/>
    <x v="40"/>
    <x v="1"/>
    <s v="Rajasthan"/>
    <x v="2"/>
    <x v="9"/>
    <n v="7"/>
    <n v="17759"/>
    <n v="10915.94"/>
    <n v="6843.06"/>
    <n v="0.38532912889239262"/>
    <x v="4"/>
    <x v="1"/>
  </r>
  <r>
    <s v="ORD00157"/>
    <d v="2024-11-11T00:00:00"/>
    <s v="CUST0024"/>
    <x v="122"/>
    <x v="1"/>
    <s v="Maharashtra"/>
    <x v="3"/>
    <x v="10"/>
    <n v="10"/>
    <n v="42860"/>
    <n v="30348.32"/>
    <n v="12511.68"/>
    <n v="0.29191973868408772"/>
    <x v="5"/>
    <x v="0"/>
  </r>
  <r>
    <s v="ORD00158"/>
    <d v="2024-08-04T00:00:00"/>
    <s v="CUST0071"/>
    <x v="41"/>
    <x v="1"/>
    <s v="Rajasthan"/>
    <x v="1"/>
    <x v="1"/>
    <n v="1"/>
    <n v="1974"/>
    <n v="1264.2"/>
    <n v="709.8"/>
    <n v="0.35957446808510635"/>
    <x v="2"/>
    <x v="0"/>
  </r>
  <r>
    <s v="ORD00159"/>
    <d v="2024-06-28T00:00:00"/>
    <s v="CUST0067"/>
    <x v="64"/>
    <x v="3"/>
    <s v="Odisha"/>
    <x v="1"/>
    <x v="6"/>
    <n v="1"/>
    <n v="4374"/>
    <n v="3385.93"/>
    <n v="988.07"/>
    <n v="0.22589620484682213"/>
    <x v="4"/>
    <x v="0"/>
  </r>
  <r>
    <s v="ORD00160"/>
    <d v="2024-02-13T00:00:00"/>
    <s v="CUST0224"/>
    <x v="123"/>
    <x v="2"/>
    <s v="Telangana"/>
    <x v="2"/>
    <x v="5"/>
    <n v="6"/>
    <n v="5340"/>
    <n v="3573.11"/>
    <n v="1766.89"/>
    <n v="0.33087827715355805"/>
    <x v="9"/>
    <x v="0"/>
  </r>
  <r>
    <s v="ORD00161"/>
    <d v="2025-12-27T00:00:00"/>
    <s v="CUST0214"/>
    <x v="124"/>
    <x v="1"/>
    <s v="Maharashtra"/>
    <x v="3"/>
    <x v="4"/>
    <n v="10"/>
    <n v="38160"/>
    <n v="27552.28"/>
    <n v="10607.72"/>
    <n v="0.27798008385744233"/>
    <x v="3"/>
    <x v="1"/>
  </r>
  <r>
    <s v="ORD00162"/>
    <d v="2025-09-24T00:00:00"/>
    <s v="CUST0236"/>
    <x v="125"/>
    <x v="0"/>
    <s v="Punjab"/>
    <x v="1"/>
    <x v="1"/>
    <n v="6"/>
    <n v="10242"/>
    <n v="8095.24"/>
    <n v="2146.7600000000002"/>
    <n v="0.20960359304823278"/>
    <x v="1"/>
    <x v="1"/>
  </r>
  <r>
    <s v="ORD00163"/>
    <d v="2025-06-20T00:00:00"/>
    <s v="CUST0041"/>
    <x v="126"/>
    <x v="0"/>
    <s v="Punjab"/>
    <x v="1"/>
    <x v="6"/>
    <n v="4"/>
    <n v="15476"/>
    <n v="11245.81"/>
    <n v="4230.1899999999996"/>
    <n v="0.27333871801499093"/>
    <x v="4"/>
    <x v="1"/>
  </r>
  <r>
    <s v="ORD00164"/>
    <d v="2024-03-19T00:00:00"/>
    <s v="CUST0262"/>
    <x v="71"/>
    <x v="3"/>
    <s v="Bihar"/>
    <x v="3"/>
    <x v="4"/>
    <n v="4"/>
    <n v="12112"/>
    <n v="9492.6"/>
    <n v="2619.4"/>
    <n v="0.21626486129458389"/>
    <x v="7"/>
    <x v="0"/>
  </r>
  <r>
    <s v="ORD00165"/>
    <d v="2024-09-19T00:00:00"/>
    <s v="CUST0102"/>
    <x v="127"/>
    <x v="2"/>
    <s v="Tamil Nadu"/>
    <x v="3"/>
    <x v="4"/>
    <n v="3"/>
    <n v="6705"/>
    <n v="3894.54"/>
    <n v="2810.46"/>
    <n v="0.41915883668903803"/>
    <x v="1"/>
    <x v="0"/>
  </r>
  <r>
    <s v="ORD00166"/>
    <d v="2025-07-31T00:00:00"/>
    <s v="CUST0297"/>
    <x v="128"/>
    <x v="2"/>
    <s v="Telangana"/>
    <x v="1"/>
    <x v="6"/>
    <n v="3"/>
    <n v="13041"/>
    <n v="8987.67"/>
    <n v="4053.33"/>
    <n v="0.31081435472739821"/>
    <x v="11"/>
    <x v="1"/>
  </r>
  <r>
    <s v="ORD00167"/>
    <d v="2025-03-28T00:00:00"/>
    <s v="CUST0156"/>
    <x v="129"/>
    <x v="3"/>
    <s v="Bihar"/>
    <x v="3"/>
    <x v="4"/>
    <n v="3"/>
    <n v="11706"/>
    <n v="6678.11"/>
    <n v="5027.8900000000003"/>
    <n v="0.42951392448317105"/>
    <x v="7"/>
    <x v="1"/>
  </r>
  <r>
    <s v="ORD00168"/>
    <d v="2024-02-08T00:00:00"/>
    <s v="CUST0030"/>
    <x v="118"/>
    <x v="0"/>
    <s v="Punjab"/>
    <x v="2"/>
    <x v="5"/>
    <n v="2"/>
    <n v="5684"/>
    <n v="3913.56"/>
    <n v="1770.44"/>
    <n v="0.31147783251231526"/>
    <x v="9"/>
    <x v="0"/>
  </r>
  <r>
    <s v="ORD00169"/>
    <d v="2025-08-17T00:00:00"/>
    <s v="CUST0284"/>
    <x v="130"/>
    <x v="3"/>
    <s v="West Bengal"/>
    <x v="0"/>
    <x v="2"/>
    <n v="2"/>
    <n v="8906"/>
    <n v="5925.56"/>
    <n v="2980.44"/>
    <n v="0.33465528856950372"/>
    <x v="2"/>
    <x v="1"/>
  </r>
  <r>
    <s v="ORD00170"/>
    <d v="2025-05-28T00:00:00"/>
    <s v="CUST0078"/>
    <x v="131"/>
    <x v="1"/>
    <s v="Rajasthan"/>
    <x v="0"/>
    <x v="2"/>
    <n v="4"/>
    <n v="11732"/>
    <n v="8581.98"/>
    <n v="3150.02"/>
    <n v="0.2684981247869076"/>
    <x v="6"/>
    <x v="1"/>
  </r>
  <r>
    <s v="ORD00171"/>
    <d v="2024-02-10T00:00:00"/>
    <s v="CUST0127"/>
    <x v="132"/>
    <x v="1"/>
    <s v="Maharashtra"/>
    <x v="3"/>
    <x v="4"/>
    <n v="2"/>
    <n v="8866"/>
    <n v="6594.87"/>
    <n v="2271.13"/>
    <n v="0.25616174148432214"/>
    <x v="9"/>
    <x v="0"/>
  </r>
  <r>
    <s v="ORD00172"/>
    <d v="2024-10-16T00:00:00"/>
    <s v="CUST0199"/>
    <x v="133"/>
    <x v="1"/>
    <s v="Rajasthan"/>
    <x v="2"/>
    <x v="5"/>
    <n v="10"/>
    <n v="16000"/>
    <n v="10546.71"/>
    <n v="5453.29"/>
    <n v="0.340830625"/>
    <x v="10"/>
    <x v="0"/>
  </r>
  <r>
    <s v="ORD00173"/>
    <d v="2024-04-06T00:00:00"/>
    <s v="CUST0286"/>
    <x v="12"/>
    <x v="3"/>
    <s v="Bihar"/>
    <x v="0"/>
    <x v="8"/>
    <n v="1"/>
    <n v="3041"/>
    <n v="1732.68"/>
    <n v="1308.32"/>
    <n v="0.4302268990463663"/>
    <x v="0"/>
    <x v="0"/>
  </r>
  <r>
    <s v="ORD00174"/>
    <d v="2025-08-19T00:00:00"/>
    <s v="CUST0073"/>
    <x v="134"/>
    <x v="3"/>
    <s v="Odisha"/>
    <x v="0"/>
    <x v="0"/>
    <n v="10"/>
    <n v="15310"/>
    <n v="9951.6299999999992"/>
    <n v="5358.37"/>
    <n v="0.34999150881776614"/>
    <x v="2"/>
    <x v="1"/>
  </r>
  <r>
    <s v="ORD00175"/>
    <d v="2024-03-27T00:00:00"/>
    <s v="CUST0159"/>
    <x v="49"/>
    <x v="3"/>
    <s v="Bihar"/>
    <x v="0"/>
    <x v="0"/>
    <n v="7"/>
    <n v="9492"/>
    <n v="6915.04"/>
    <n v="2576.96"/>
    <n v="0.27148756847871891"/>
    <x v="7"/>
    <x v="0"/>
  </r>
  <r>
    <s v="ORD00176"/>
    <d v="2025-11-17T00:00:00"/>
    <s v="CUST0217"/>
    <x v="135"/>
    <x v="1"/>
    <s v="Rajasthan"/>
    <x v="3"/>
    <x v="4"/>
    <n v="3"/>
    <n v="13836"/>
    <n v="7997.7"/>
    <n v="5838.3"/>
    <n v="0.42196444058976584"/>
    <x v="5"/>
    <x v="1"/>
  </r>
  <r>
    <s v="ORD00177"/>
    <d v="2024-12-15T00:00:00"/>
    <s v="CUST0249"/>
    <x v="43"/>
    <x v="3"/>
    <s v="West Bengal"/>
    <x v="3"/>
    <x v="4"/>
    <n v="5"/>
    <n v="8880"/>
    <n v="7417.92"/>
    <n v="1462.08"/>
    <n v="0.16464864864864864"/>
    <x v="3"/>
    <x v="0"/>
  </r>
  <r>
    <s v="ORD00178"/>
    <d v="2024-04-13T00:00:00"/>
    <s v="CUST0260"/>
    <x v="136"/>
    <x v="2"/>
    <s v="Karnataka"/>
    <x v="1"/>
    <x v="11"/>
    <n v="2"/>
    <n v="5446"/>
    <n v="4374.93"/>
    <n v="1071.07"/>
    <n v="0.19667095115681232"/>
    <x v="0"/>
    <x v="0"/>
  </r>
  <r>
    <s v="ORD00179"/>
    <d v="2024-06-06T00:00:00"/>
    <s v="CUST0084"/>
    <x v="119"/>
    <x v="0"/>
    <s v="Haryana"/>
    <x v="3"/>
    <x v="4"/>
    <n v="10"/>
    <n v="13730"/>
    <n v="10011.56"/>
    <n v="3718.44"/>
    <n v="0.27082592862345228"/>
    <x v="4"/>
    <x v="0"/>
  </r>
  <r>
    <s v="ORD00180"/>
    <d v="2024-08-31T00:00:00"/>
    <s v="CUST0228"/>
    <x v="70"/>
    <x v="2"/>
    <s v="Telangana"/>
    <x v="2"/>
    <x v="9"/>
    <n v="1"/>
    <n v="3665"/>
    <n v="2416.3000000000002"/>
    <n v="1248.7"/>
    <n v="0.3407094133697135"/>
    <x v="2"/>
    <x v="0"/>
  </r>
  <r>
    <s v="ORD00181"/>
    <d v="2025-04-25T00:00:00"/>
    <s v="CUST0100"/>
    <x v="118"/>
    <x v="1"/>
    <s v="Maharashtra"/>
    <x v="2"/>
    <x v="5"/>
    <n v="4"/>
    <n v="11340"/>
    <n v="9521.9599999999991"/>
    <n v="1818.04"/>
    <n v="0.16032098765432098"/>
    <x v="0"/>
    <x v="1"/>
  </r>
  <r>
    <s v="ORD00182"/>
    <d v="2024-06-14T00:00:00"/>
    <s v="CUST0103"/>
    <x v="99"/>
    <x v="1"/>
    <s v="Gujarat"/>
    <x v="3"/>
    <x v="10"/>
    <n v="7"/>
    <n v="30933"/>
    <n v="21907.919999999998"/>
    <n v="9025.08"/>
    <n v="0.29176219571331585"/>
    <x v="4"/>
    <x v="0"/>
  </r>
  <r>
    <s v="ORD00183"/>
    <d v="2024-04-15T00:00:00"/>
    <s v="CUST0265"/>
    <x v="4"/>
    <x v="3"/>
    <s v="West Bengal"/>
    <x v="0"/>
    <x v="2"/>
    <n v="8"/>
    <n v="26720"/>
    <n v="19141.2"/>
    <n v="7578.8"/>
    <n v="0.2836377245508982"/>
    <x v="0"/>
    <x v="0"/>
  </r>
  <r>
    <s v="ORD00184"/>
    <d v="2024-05-30T00:00:00"/>
    <s v="CUST0224"/>
    <x v="120"/>
    <x v="3"/>
    <s v="West Bengal"/>
    <x v="1"/>
    <x v="11"/>
    <n v="5"/>
    <n v="19900"/>
    <n v="16349.68"/>
    <n v="3550.32"/>
    <n v="0.17840804020100504"/>
    <x v="6"/>
    <x v="0"/>
  </r>
  <r>
    <s v="ORD00185"/>
    <d v="2025-05-29T00:00:00"/>
    <s v="CUST0192"/>
    <x v="137"/>
    <x v="2"/>
    <s v="Tamil Nadu"/>
    <x v="3"/>
    <x v="4"/>
    <n v="1"/>
    <n v="3698"/>
    <n v="2092.98"/>
    <n v="1605.02"/>
    <n v="0.4340237966468361"/>
    <x v="6"/>
    <x v="1"/>
  </r>
  <r>
    <s v="ORD00186"/>
    <d v="2024-04-11T00:00:00"/>
    <s v="CUST0172"/>
    <x v="138"/>
    <x v="1"/>
    <s v="Maharashtra"/>
    <x v="3"/>
    <x v="4"/>
    <n v="4"/>
    <n v="2120"/>
    <n v="1368.68"/>
    <n v="751.32"/>
    <n v="0.35439622641509438"/>
    <x v="0"/>
    <x v="0"/>
  </r>
  <r>
    <s v="ORD00187"/>
    <d v="2025-04-25T00:00:00"/>
    <s v="CUST0230"/>
    <x v="139"/>
    <x v="2"/>
    <s v="Karnataka"/>
    <x v="3"/>
    <x v="10"/>
    <n v="8"/>
    <n v="11488"/>
    <n v="8933.67"/>
    <n v="2554.33"/>
    <n v="0.22234766713091922"/>
    <x v="0"/>
    <x v="1"/>
  </r>
  <r>
    <s v="ORD00188"/>
    <d v="2025-09-15T00:00:00"/>
    <s v="CUST0271"/>
    <x v="21"/>
    <x v="0"/>
    <s v="Delhi"/>
    <x v="3"/>
    <x v="10"/>
    <n v="4"/>
    <n v="6096"/>
    <n v="4356.45"/>
    <n v="1739.55"/>
    <n v="0.28535925196850392"/>
    <x v="1"/>
    <x v="1"/>
  </r>
  <r>
    <s v="ORD00189"/>
    <d v="2025-03-05T00:00:00"/>
    <s v="CUST0235"/>
    <x v="140"/>
    <x v="0"/>
    <s v="Punjab"/>
    <x v="3"/>
    <x v="7"/>
    <n v="5"/>
    <n v="6490"/>
    <n v="3662.47"/>
    <n v="2827.53"/>
    <n v="0.43567488443759633"/>
    <x v="7"/>
    <x v="1"/>
  </r>
  <r>
    <s v="ORD00190"/>
    <d v="2025-08-11T00:00:00"/>
    <s v="CUST0124"/>
    <x v="141"/>
    <x v="0"/>
    <s v="Punjab"/>
    <x v="0"/>
    <x v="8"/>
    <n v="9"/>
    <n v="3906"/>
    <n v="2888.82"/>
    <n v="1017.18"/>
    <n v="0.26041474654377877"/>
    <x v="2"/>
    <x v="1"/>
  </r>
  <r>
    <s v="ORD00191"/>
    <d v="2025-03-02T00:00:00"/>
    <s v="CUST0096"/>
    <x v="72"/>
    <x v="3"/>
    <s v="Odisha"/>
    <x v="1"/>
    <x v="1"/>
    <n v="10"/>
    <n v="31900"/>
    <n v="19847.2"/>
    <n v="12052.8"/>
    <n v="0.37783072100313475"/>
    <x v="7"/>
    <x v="1"/>
  </r>
  <r>
    <s v="ORD00192"/>
    <d v="2025-06-03T00:00:00"/>
    <s v="CUST0284"/>
    <x v="142"/>
    <x v="3"/>
    <s v="West Bengal"/>
    <x v="2"/>
    <x v="5"/>
    <n v="9"/>
    <n v="40104"/>
    <n v="31518.68"/>
    <n v="8585.32"/>
    <n v="0.21407640135647316"/>
    <x v="4"/>
    <x v="1"/>
  </r>
  <r>
    <s v="ORD00193"/>
    <d v="2024-01-17T00:00:00"/>
    <s v="CUST0183"/>
    <x v="143"/>
    <x v="1"/>
    <s v="Gujarat"/>
    <x v="1"/>
    <x v="1"/>
    <n v="7"/>
    <n v="23506"/>
    <n v="14716.99"/>
    <n v="8789.01"/>
    <n v="0.37390496043563348"/>
    <x v="8"/>
    <x v="0"/>
  </r>
  <r>
    <s v="ORD00194"/>
    <d v="2024-12-26T00:00:00"/>
    <s v="CUST0280"/>
    <x v="114"/>
    <x v="3"/>
    <s v="West Bengal"/>
    <x v="0"/>
    <x v="0"/>
    <n v="2"/>
    <n v="6046"/>
    <n v="3567.28"/>
    <n v="2478.7199999999998"/>
    <n v="0.40997684419450875"/>
    <x v="3"/>
    <x v="0"/>
  </r>
  <r>
    <s v="ORD00195"/>
    <d v="2024-03-05T00:00:00"/>
    <s v="CUST0235"/>
    <x v="81"/>
    <x v="2"/>
    <s v="Telangana"/>
    <x v="2"/>
    <x v="9"/>
    <n v="8"/>
    <n v="14344"/>
    <n v="11381.24"/>
    <n v="2962.76"/>
    <n v="0.20655047406581151"/>
    <x v="7"/>
    <x v="0"/>
  </r>
  <r>
    <s v="ORD00196"/>
    <d v="2024-11-13T00:00:00"/>
    <s v="CUST0264"/>
    <x v="144"/>
    <x v="3"/>
    <s v="West Bengal"/>
    <x v="1"/>
    <x v="1"/>
    <n v="4"/>
    <n v="2572"/>
    <n v="1658.11"/>
    <n v="913.89"/>
    <n v="0.35532270606531879"/>
    <x v="5"/>
    <x v="0"/>
  </r>
  <r>
    <s v="ORD00197"/>
    <d v="2024-02-18T00:00:00"/>
    <s v="CUST0170"/>
    <x v="145"/>
    <x v="1"/>
    <s v="Gujarat"/>
    <x v="1"/>
    <x v="1"/>
    <n v="4"/>
    <n v="10572"/>
    <n v="6946.78"/>
    <n v="3625.22"/>
    <n v="0.34290768066590993"/>
    <x v="9"/>
    <x v="0"/>
  </r>
  <r>
    <s v="ORD00198"/>
    <d v="2025-01-30T00:00:00"/>
    <s v="CUST0174"/>
    <x v="146"/>
    <x v="0"/>
    <s v="Punjab"/>
    <x v="2"/>
    <x v="3"/>
    <n v="7"/>
    <n v="27314"/>
    <n v="22353.54"/>
    <n v="4960.46"/>
    <n v="0.18160869883576189"/>
    <x v="8"/>
    <x v="1"/>
  </r>
  <r>
    <s v="ORD00199"/>
    <d v="2024-03-25T00:00:00"/>
    <s v="CUST0218"/>
    <x v="147"/>
    <x v="1"/>
    <s v="Rajasthan"/>
    <x v="2"/>
    <x v="9"/>
    <n v="6"/>
    <n v="27318"/>
    <n v="17210.78"/>
    <n v="10107.219999999999"/>
    <n v="0.36998389340361665"/>
    <x v="7"/>
    <x v="0"/>
  </r>
  <r>
    <s v="ORD00200"/>
    <d v="2024-03-22T00:00:00"/>
    <s v="CUST0168"/>
    <x v="69"/>
    <x v="1"/>
    <s v="Rajasthan"/>
    <x v="1"/>
    <x v="11"/>
    <n v="9"/>
    <n v="24354"/>
    <n v="15741.53"/>
    <n v="8612.4699999999993"/>
    <n v="0.35363677424653034"/>
    <x v="7"/>
    <x v="0"/>
  </r>
  <r>
    <s v="ORD00201"/>
    <d v="2024-12-25T00:00:00"/>
    <s v="CUST0229"/>
    <x v="130"/>
    <x v="3"/>
    <s v="Odisha"/>
    <x v="0"/>
    <x v="8"/>
    <n v="7"/>
    <n v="11655"/>
    <n v="8822.01"/>
    <n v="2832.99"/>
    <n v="0.24307078507078506"/>
    <x v="3"/>
    <x v="0"/>
  </r>
  <r>
    <s v="ORD00202"/>
    <d v="2025-10-14T00:00:00"/>
    <s v="CUST0208"/>
    <x v="35"/>
    <x v="3"/>
    <s v="Bihar"/>
    <x v="2"/>
    <x v="3"/>
    <n v="5"/>
    <n v="3845"/>
    <n v="2201.31"/>
    <n v="1643.69"/>
    <n v="0.42748764629388819"/>
    <x v="10"/>
    <x v="1"/>
  </r>
  <r>
    <s v="ORD00203"/>
    <d v="2024-03-09T00:00:00"/>
    <s v="CUST0121"/>
    <x v="100"/>
    <x v="2"/>
    <s v="Karnataka"/>
    <x v="1"/>
    <x v="11"/>
    <n v="10"/>
    <n v="38890"/>
    <n v="21795.5"/>
    <n v="17094.5"/>
    <n v="0.43956029827719206"/>
    <x v="7"/>
    <x v="0"/>
  </r>
  <r>
    <s v="ORD00204"/>
    <d v="2025-01-14T00:00:00"/>
    <s v="CUST0191"/>
    <x v="92"/>
    <x v="3"/>
    <s v="Odisha"/>
    <x v="0"/>
    <x v="8"/>
    <n v="1"/>
    <n v="1556"/>
    <n v="1172.79"/>
    <n v="383.21"/>
    <n v="0.24627892030848328"/>
    <x v="8"/>
    <x v="1"/>
  </r>
  <r>
    <s v="ORD00205"/>
    <d v="2025-10-27T00:00:00"/>
    <s v="CUST0143"/>
    <x v="22"/>
    <x v="0"/>
    <s v="Haryana"/>
    <x v="1"/>
    <x v="11"/>
    <n v="9"/>
    <n v="29754"/>
    <n v="19917.63"/>
    <n v="9836.3700000000008"/>
    <n v="0.33058983666061709"/>
    <x v="10"/>
    <x v="1"/>
  </r>
  <r>
    <s v="ORD00206"/>
    <d v="2025-07-29T00:00:00"/>
    <s v="CUST0061"/>
    <x v="14"/>
    <x v="0"/>
    <s v="Delhi"/>
    <x v="0"/>
    <x v="0"/>
    <n v="3"/>
    <n v="13164"/>
    <n v="9284.8799999999992"/>
    <n v="3879.12"/>
    <n v="0.2946763901549681"/>
    <x v="11"/>
    <x v="1"/>
  </r>
  <r>
    <s v="ORD00207"/>
    <d v="2025-05-17T00:00:00"/>
    <s v="CUST0103"/>
    <x v="84"/>
    <x v="3"/>
    <s v="Bihar"/>
    <x v="2"/>
    <x v="9"/>
    <n v="4"/>
    <n v="10556"/>
    <n v="8003.5"/>
    <n v="2552.5"/>
    <n v="0.24180560818491853"/>
    <x v="6"/>
    <x v="1"/>
  </r>
  <r>
    <s v="ORD00208"/>
    <d v="2025-11-29T00:00:00"/>
    <s v="CUST0164"/>
    <x v="148"/>
    <x v="2"/>
    <s v="Karnataka"/>
    <x v="2"/>
    <x v="9"/>
    <n v="3"/>
    <n v="11838"/>
    <n v="10052.58"/>
    <n v="1785.42"/>
    <n v="0.15082108464267613"/>
    <x v="5"/>
    <x v="1"/>
  </r>
  <r>
    <s v="ORD00209"/>
    <d v="2025-12-29T00:00:00"/>
    <s v="CUST0090"/>
    <x v="125"/>
    <x v="0"/>
    <s v="Haryana"/>
    <x v="2"/>
    <x v="5"/>
    <n v="5"/>
    <n v="13785"/>
    <n v="11102.56"/>
    <n v="2682.44"/>
    <n v="0.19459122234312659"/>
    <x v="3"/>
    <x v="1"/>
  </r>
  <r>
    <s v="ORD00210"/>
    <d v="2024-01-27T00:00:00"/>
    <s v="CUST0185"/>
    <x v="106"/>
    <x v="2"/>
    <s v="Karnataka"/>
    <x v="3"/>
    <x v="7"/>
    <n v="3"/>
    <n v="6717"/>
    <n v="5287.03"/>
    <n v="1429.97"/>
    <n v="0.21288819413428614"/>
    <x v="8"/>
    <x v="0"/>
  </r>
  <r>
    <s v="ORD00211"/>
    <d v="2025-02-11T00:00:00"/>
    <s v="CUST0246"/>
    <x v="149"/>
    <x v="3"/>
    <s v="Odisha"/>
    <x v="2"/>
    <x v="5"/>
    <n v="3"/>
    <n v="3018"/>
    <n v="1719.43"/>
    <n v="1298.57"/>
    <n v="0.43027501656726308"/>
    <x v="9"/>
    <x v="1"/>
  </r>
  <r>
    <s v="ORD00212"/>
    <d v="2025-10-19T00:00:00"/>
    <s v="CUST0038"/>
    <x v="150"/>
    <x v="1"/>
    <s v="Gujarat"/>
    <x v="0"/>
    <x v="8"/>
    <n v="2"/>
    <n v="2652"/>
    <n v="2232.23"/>
    <n v="419.77"/>
    <n v="0.15828431372549018"/>
    <x v="10"/>
    <x v="1"/>
  </r>
  <r>
    <s v="ORD00213"/>
    <d v="2025-07-18T00:00:00"/>
    <s v="CUST0094"/>
    <x v="151"/>
    <x v="1"/>
    <s v="Rajasthan"/>
    <x v="2"/>
    <x v="5"/>
    <n v="6"/>
    <n v="8106"/>
    <n v="6593.32"/>
    <n v="1512.68"/>
    <n v="0.1866123858869973"/>
    <x v="11"/>
    <x v="1"/>
  </r>
  <r>
    <s v="ORD00214"/>
    <d v="2024-06-17T00:00:00"/>
    <s v="CUST0083"/>
    <x v="78"/>
    <x v="1"/>
    <s v="Rajasthan"/>
    <x v="1"/>
    <x v="1"/>
    <n v="2"/>
    <n v="9088"/>
    <n v="5415.58"/>
    <n v="3672.42"/>
    <n v="0.40409551056338028"/>
    <x v="4"/>
    <x v="0"/>
  </r>
  <r>
    <s v="ORD00215"/>
    <d v="2025-10-12T00:00:00"/>
    <s v="CUST0283"/>
    <x v="129"/>
    <x v="2"/>
    <s v="Tamil Nadu"/>
    <x v="2"/>
    <x v="5"/>
    <n v="5"/>
    <n v="4730"/>
    <n v="2957.11"/>
    <n v="1772.89"/>
    <n v="0.37481818181818183"/>
    <x v="10"/>
    <x v="1"/>
  </r>
  <r>
    <s v="ORD00216"/>
    <d v="2025-10-18T00:00:00"/>
    <s v="CUST0087"/>
    <x v="152"/>
    <x v="2"/>
    <s v="Telangana"/>
    <x v="3"/>
    <x v="10"/>
    <n v="10"/>
    <n v="46700"/>
    <n v="26993.93"/>
    <n v="19706.07"/>
    <n v="0.42197152034261243"/>
    <x v="10"/>
    <x v="1"/>
  </r>
  <r>
    <s v="ORD00217"/>
    <d v="2025-07-31T00:00:00"/>
    <s v="CUST0022"/>
    <x v="39"/>
    <x v="2"/>
    <s v="Karnataka"/>
    <x v="0"/>
    <x v="2"/>
    <n v="10"/>
    <n v="30650"/>
    <n v="24604.560000000001"/>
    <n v="6045.44"/>
    <n v="0.19724110929853181"/>
    <x v="11"/>
    <x v="1"/>
  </r>
  <r>
    <s v="ORD00218"/>
    <d v="2025-08-08T00:00:00"/>
    <s v="CUST0214"/>
    <x v="153"/>
    <x v="0"/>
    <s v="Delhi"/>
    <x v="0"/>
    <x v="2"/>
    <n v="10"/>
    <n v="24680"/>
    <n v="18394.97"/>
    <n v="6285.03"/>
    <n v="0.25466085899513774"/>
    <x v="2"/>
    <x v="1"/>
  </r>
  <r>
    <s v="ORD00219"/>
    <d v="2025-12-02T00:00:00"/>
    <s v="CUST0208"/>
    <x v="154"/>
    <x v="1"/>
    <s v="Rajasthan"/>
    <x v="2"/>
    <x v="5"/>
    <n v="5"/>
    <n v="13870"/>
    <n v="9638.0300000000007"/>
    <n v="4231.97"/>
    <n v="0.30511679884643117"/>
    <x v="3"/>
    <x v="1"/>
  </r>
  <r>
    <s v="ORD00220"/>
    <d v="2025-05-10T00:00:00"/>
    <s v="CUST0238"/>
    <x v="155"/>
    <x v="1"/>
    <s v="Maharashtra"/>
    <x v="0"/>
    <x v="0"/>
    <n v="1"/>
    <n v="1594"/>
    <n v="1086.92"/>
    <n v="507.08"/>
    <n v="0.31811794228356333"/>
    <x v="6"/>
    <x v="1"/>
  </r>
  <r>
    <s v="ORD00221"/>
    <d v="2024-12-19T00:00:00"/>
    <s v="CUST0205"/>
    <x v="151"/>
    <x v="3"/>
    <s v="Bihar"/>
    <x v="1"/>
    <x v="11"/>
    <n v="6"/>
    <n v="17490"/>
    <n v="13471.85"/>
    <n v="4018.15"/>
    <n v="0.22973985134362493"/>
    <x v="3"/>
    <x v="0"/>
  </r>
  <r>
    <s v="ORD00222"/>
    <d v="2024-05-05T00:00:00"/>
    <s v="CUST0137"/>
    <x v="150"/>
    <x v="3"/>
    <s v="Bihar"/>
    <x v="2"/>
    <x v="5"/>
    <n v="2"/>
    <n v="5828"/>
    <n v="3628.05"/>
    <n v="2199.9499999999998"/>
    <n v="0.37747940974605348"/>
    <x v="6"/>
    <x v="0"/>
  </r>
  <r>
    <s v="ORD00223"/>
    <d v="2025-09-22T00:00:00"/>
    <s v="CUST0215"/>
    <x v="22"/>
    <x v="2"/>
    <s v="Karnataka"/>
    <x v="1"/>
    <x v="6"/>
    <n v="1"/>
    <n v="2677"/>
    <n v="2231.59"/>
    <n v="445.41"/>
    <n v="0.16638401195367949"/>
    <x v="1"/>
    <x v="1"/>
  </r>
  <r>
    <s v="ORD00224"/>
    <d v="2025-05-25T00:00:00"/>
    <s v="CUST0264"/>
    <x v="101"/>
    <x v="2"/>
    <s v="Tamil Nadu"/>
    <x v="0"/>
    <x v="8"/>
    <n v="6"/>
    <n v="11130"/>
    <n v="8669.56"/>
    <n v="2460.44"/>
    <n v="0.2210637915543576"/>
    <x v="6"/>
    <x v="1"/>
  </r>
  <r>
    <s v="ORD00225"/>
    <d v="2025-06-01T00:00:00"/>
    <s v="CUST0235"/>
    <x v="66"/>
    <x v="1"/>
    <s v="Gujarat"/>
    <x v="2"/>
    <x v="9"/>
    <n v="1"/>
    <n v="1037"/>
    <n v="864.41"/>
    <n v="172.59"/>
    <n v="0.16643201542912248"/>
    <x v="4"/>
    <x v="1"/>
  </r>
  <r>
    <s v="ORD00226"/>
    <d v="2025-09-03T00:00:00"/>
    <s v="CUST0241"/>
    <x v="156"/>
    <x v="2"/>
    <s v="Telangana"/>
    <x v="3"/>
    <x v="4"/>
    <n v="1"/>
    <n v="714"/>
    <n v="452.97"/>
    <n v="261.02999999999997"/>
    <n v="0.3655882352941176"/>
    <x v="1"/>
    <x v="1"/>
  </r>
  <r>
    <s v="ORD00227"/>
    <d v="2025-02-16T00:00:00"/>
    <s v="CUST0188"/>
    <x v="5"/>
    <x v="0"/>
    <s v="Delhi"/>
    <x v="2"/>
    <x v="3"/>
    <n v="3"/>
    <n v="7398"/>
    <n v="5683.53"/>
    <n v="1714.47"/>
    <n v="0.2317477696674777"/>
    <x v="9"/>
    <x v="1"/>
  </r>
  <r>
    <s v="ORD00228"/>
    <d v="2024-10-22T00:00:00"/>
    <s v="CUST0038"/>
    <x v="12"/>
    <x v="1"/>
    <s v="Maharashtra"/>
    <x v="0"/>
    <x v="8"/>
    <n v="9"/>
    <n v="17046"/>
    <n v="11229.17"/>
    <n v="5816.83"/>
    <n v="0.34124310688724629"/>
    <x v="10"/>
    <x v="0"/>
  </r>
  <r>
    <s v="ORD00229"/>
    <d v="2024-04-09T00:00:00"/>
    <s v="CUST0202"/>
    <x v="115"/>
    <x v="1"/>
    <s v="Rajasthan"/>
    <x v="3"/>
    <x v="10"/>
    <n v="10"/>
    <n v="12730"/>
    <n v="7492.87"/>
    <n v="5237.13"/>
    <n v="0.41140062843676356"/>
    <x v="0"/>
    <x v="0"/>
  </r>
  <r>
    <s v="ORD00230"/>
    <d v="2025-02-15T00:00:00"/>
    <s v="CUST0257"/>
    <x v="157"/>
    <x v="3"/>
    <s v="Bihar"/>
    <x v="3"/>
    <x v="4"/>
    <n v="3"/>
    <n v="5790"/>
    <n v="4230.9799999999996"/>
    <n v="1559.02"/>
    <n v="0.2692607944732297"/>
    <x v="9"/>
    <x v="1"/>
  </r>
  <r>
    <s v="ORD00231"/>
    <d v="2024-06-01T00:00:00"/>
    <s v="CUST0264"/>
    <x v="158"/>
    <x v="0"/>
    <s v="Delhi"/>
    <x v="1"/>
    <x v="11"/>
    <n v="6"/>
    <n v="25080"/>
    <n v="17701.46"/>
    <n v="7378.54"/>
    <n v="0.29420015948963318"/>
    <x v="4"/>
    <x v="0"/>
  </r>
  <r>
    <s v="ORD00232"/>
    <d v="2024-11-02T00:00:00"/>
    <s v="CUST0173"/>
    <x v="42"/>
    <x v="3"/>
    <s v="Bihar"/>
    <x v="3"/>
    <x v="4"/>
    <n v="3"/>
    <n v="10557"/>
    <n v="8943.73"/>
    <n v="1613.27"/>
    <n v="0.15281519371033436"/>
    <x v="5"/>
    <x v="0"/>
  </r>
  <r>
    <s v="ORD00233"/>
    <d v="2025-01-12T00:00:00"/>
    <s v="CUST0170"/>
    <x v="159"/>
    <x v="1"/>
    <s v="Rajasthan"/>
    <x v="0"/>
    <x v="8"/>
    <n v="5"/>
    <n v="20950"/>
    <n v="16649.48"/>
    <n v="4300.5200000000004"/>
    <n v="0.20527541766109789"/>
    <x v="8"/>
    <x v="1"/>
  </r>
  <r>
    <s v="ORD00234"/>
    <d v="2025-11-02T00:00:00"/>
    <s v="CUST0297"/>
    <x v="79"/>
    <x v="1"/>
    <s v="Rajasthan"/>
    <x v="3"/>
    <x v="10"/>
    <n v="1"/>
    <n v="4187"/>
    <n v="2636.38"/>
    <n v="1550.62"/>
    <n v="0.37034153331741099"/>
    <x v="5"/>
    <x v="1"/>
  </r>
  <r>
    <s v="ORD00235"/>
    <d v="2025-10-06T00:00:00"/>
    <s v="CUST0195"/>
    <x v="160"/>
    <x v="2"/>
    <s v="Telangana"/>
    <x v="1"/>
    <x v="1"/>
    <n v="10"/>
    <n v="42350"/>
    <n v="25458.86"/>
    <n v="16891.14"/>
    <n v="0.39884628099173552"/>
    <x v="10"/>
    <x v="1"/>
  </r>
  <r>
    <s v="ORD00236"/>
    <d v="2024-11-17T00:00:00"/>
    <s v="CUST0215"/>
    <x v="161"/>
    <x v="2"/>
    <s v="Karnataka"/>
    <x v="0"/>
    <x v="8"/>
    <n v="2"/>
    <n v="3724"/>
    <n v="2069.36"/>
    <n v="1654.64"/>
    <n v="0.44431793770139638"/>
    <x v="5"/>
    <x v="0"/>
  </r>
  <r>
    <s v="ORD00237"/>
    <d v="2025-04-27T00:00:00"/>
    <s v="CUST0032"/>
    <x v="99"/>
    <x v="1"/>
    <s v="Rajasthan"/>
    <x v="3"/>
    <x v="7"/>
    <n v="7"/>
    <n v="30870"/>
    <n v="24155.52"/>
    <n v="6714.48"/>
    <n v="0.21750826044703594"/>
    <x v="0"/>
    <x v="1"/>
  </r>
  <r>
    <s v="ORD00238"/>
    <d v="2024-06-26T00:00:00"/>
    <s v="CUST0236"/>
    <x v="162"/>
    <x v="2"/>
    <s v="Telangana"/>
    <x v="3"/>
    <x v="4"/>
    <n v="8"/>
    <n v="36832"/>
    <n v="24421.360000000001"/>
    <n v="12410.64"/>
    <n v="0.33695264986967854"/>
    <x v="4"/>
    <x v="0"/>
  </r>
  <r>
    <s v="ORD00239"/>
    <d v="2024-09-09T00:00:00"/>
    <s v="CUST0143"/>
    <x v="163"/>
    <x v="3"/>
    <s v="Bihar"/>
    <x v="3"/>
    <x v="4"/>
    <n v="5"/>
    <n v="21330"/>
    <n v="12961.8"/>
    <n v="8368.2000000000007"/>
    <n v="0.39232067510548524"/>
    <x v="1"/>
    <x v="0"/>
  </r>
  <r>
    <s v="ORD00240"/>
    <d v="2025-05-15T00:00:00"/>
    <s v="CUST0163"/>
    <x v="111"/>
    <x v="3"/>
    <s v="West Bengal"/>
    <x v="3"/>
    <x v="10"/>
    <n v="5"/>
    <n v="9990"/>
    <n v="7563.15"/>
    <n v="2426.85"/>
    <n v="0.24292792792792792"/>
    <x v="6"/>
    <x v="1"/>
  </r>
  <r>
    <s v="ORD00241"/>
    <d v="2025-11-23T00:00:00"/>
    <s v="CUST0279"/>
    <x v="64"/>
    <x v="3"/>
    <s v="Bihar"/>
    <x v="0"/>
    <x v="0"/>
    <n v="5"/>
    <n v="13285"/>
    <n v="7792.48"/>
    <n v="5492.52"/>
    <n v="0.41343771170493043"/>
    <x v="5"/>
    <x v="1"/>
  </r>
  <r>
    <s v="ORD00242"/>
    <d v="2024-03-21T00:00:00"/>
    <s v="CUST0178"/>
    <x v="33"/>
    <x v="1"/>
    <s v="Gujarat"/>
    <x v="1"/>
    <x v="11"/>
    <n v="5"/>
    <n v="3220"/>
    <n v="2048.85"/>
    <n v="1171.1500000000001"/>
    <n v="0.36371118012422365"/>
    <x v="7"/>
    <x v="0"/>
  </r>
  <r>
    <s v="ORD00243"/>
    <d v="2024-10-04T00:00:00"/>
    <s v="CUST0288"/>
    <x v="145"/>
    <x v="3"/>
    <s v="Bihar"/>
    <x v="2"/>
    <x v="9"/>
    <n v="4"/>
    <n v="7820"/>
    <n v="6243.37"/>
    <n v="1576.63"/>
    <n v="0.20161508951406651"/>
    <x v="10"/>
    <x v="0"/>
  </r>
  <r>
    <s v="ORD00244"/>
    <d v="2025-11-16T00:00:00"/>
    <s v="CUST0272"/>
    <x v="164"/>
    <x v="2"/>
    <s v="Karnataka"/>
    <x v="0"/>
    <x v="8"/>
    <n v="10"/>
    <n v="22600"/>
    <n v="14073.87"/>
    <n v="8526.1299999999992"/>
    <n v="0.37726238938053092"/>
    <x v="5"/>
    <x v="1"/>
  </r>
  <r>
    <s v="ORD00245"/>
    <d v="2024-04-12T00:00:00"/>
    <s v="CUST0071"/>
    <x v="139"/>
    <x v="2"/>
    <s v="Karnataka"/>
    <x v="1"/>
    <x v="6"/>
    <n v="7"/>
    <n v="21035"/>
    <n v="16096.14"/>
    <n v="4938.8599999999997"/>
    <n v="0.23479248870929401"/>
    <x v="0"/>
    <x v="0"/>
  </r>
  <r>
    <s v="ORD00246"/>
    <d v="2024-10-21T00:00:00"/>
    <s v="CUST0165"/>
    <x v="156"/>
    <x v="2"/>
    <s v="Tamil Nadu"/>
    <x v="0"/>
    <x v="2"/>
    <n v="8"/>
    <n v="33688"/>
    <n v="25103"/>
    <n v="8585"/>
    <n v="0.25483851816670622"/>
    <x v="10"/>
    <x v="0"/>
  </r>
  <r>
    <s v="ORD00247"/>
    <d v="2024-02-08T00:00:00"/>
    <s v="CUST0090"/>
    <x v="165"/>
    <x v="0"/>
    <s v="Delhi"/>
    <x v="0"/>
    <x v="2"/>
    <n v="10"/>
    <n v="22020"/>
    <n v="15646.22"/>
    <n v="6373.78"/>
    <n v="0.28945413260672115"/>
    <x v="9"/>
    <x v="0"/>
  </r>
  <r>
    <s v="ORD00248"/>
    <d v="2024-10-23T00:00:00"/>
    <s v="CUST0020"/>
    <x v="166"/>
    <x v="2"/>
    <s v="Karnataka"/>
    <x v="2"/>
    <x v="3"/>
    <n v="8"/>
    <n v="14608"/>
    <n v="12138.99"/>
    <n v="2469.0100000000002"/>
    <n v="0.16901766155531217"/>
    <x v="10"/>
    <x v="0"/>
  </r>
  <r>
    <s v="ORD00249"/>
    <d v="2025-10-18T00:00:00"/>
    <s v="CUST0279"/>
    <x v="167"/>
    <x v="3"/>
    <s v="Bihar"/>
    <x v="0"/>
    <x v="8"/>
    <n v="2"/>
    <n v="6088"/>
    <n v="3868.12"/>
    <n v="2219.88"/>
    <n v="0.36463206307490148"/>
    <x v="10"/>
    <x v="1"/>
  </r>
  <r>
    <s v="ORD00250"/>
    <d v="2024-04-25T00:00:00"/>
    <s v="CUST0170"/>
    <x v="6"/>
    <x v="1"/>
    <s v="Maharashtra"/>
    <x v="2"/>
    <x v="5"/>
    <n v="8"/>
    <n v="20280"/>
    <n v="12327.06"/>
    <n v="7952.94"/>
    <n v="0.39215680473372777"/>
    <x v="0"/>
    <x v="0"/>
  </r>
  <r>
    <s v="ORD00251"/>
    <d v="2024-10-29T00:00:00"/>
    <s v="CUST0291"/>
    <x v="43"/>
    <x v="1"/>
    <s v="Rajasthan"/>
    <x v="3"/>
    <x v="10"/>
    <n v="3"/>
    <n v="1245"/>
    <n v="959.88"/>
    <n v="285.12"/>
    <n v="0.2290120481927711"/>
    <x v="10"/>
    <x v="0"/>
  </r>
  <r>
    <s v="ORD00252"/>
    <d v="2024-03-29T00:00:00"/>
    <s v="CUST0206"/>
    <x v="168"/>
    <x v="2"/>
    <s v="Telangana"/>
    <x v="0"/>
    <x v="2"/>
    <n v="7"/>
    <n v="26621"/>
    <n v="18756.740000000002"/>
    <n v="7864.26"/>
    <n v="0.29541564929942526"/>
    <x v="7"/>
    <x v="0"/>
  </r>
  <r>
    <s v="ORD00253"/>
    <d v="2025-01-27T00:00:00"/>
    <s v="CUST0121"/>
    <x v="169"/>
    <x v="2"/>
    <s v="Karnataka"/>
    <x v="2"/>
    <x v="9"/>
    <n v="6"/>
    <n v="13992"/>
    <n v="7724.27"/>
    <n v="6267.73"/>
    <n v="0.44795097198399081"/>
    <x v="8"/>
    <x v="1"/>
  </r>
  <r>
    <s v="ORD00254"/>
    <d v="2025-10-31T00:00:00"/>
    <s v="CUST0185"/>
    <x v="137"/>
    <x v="3"/>
    <s v="Odisha"/>
    <x v="3"/>
    <x v="10"/>
    <n v="10"/>
    <n v="49930"/>
    <n v="27632.799999999999"/>
    <n v="22297.200000000001"/>
    <n v="0.44656919687562591"/>
    <x v="10"/>
    <x v="1"/>
  </r>
  <r>
    <s v="ORD00255"/>
    <d v="2025-12-03T00:00:00"/>
    <s v="CUST0258"/>
    <x v="170"/>
    <x v="0"/>
    <s v="Haryana"/>
    <x v="1"/>
    <x v="6"/>
    <n v="8"/>
    <n v="22504"/>
    <n v="13455.48"/>
    <n v="9048.52"/>
    <n v="0.40208496267330257"/>
    <x v="3"/>
    <x v="1"/>
  </r>
  <r>
    <s v="ORD00256"/>
    <d v="2024-05-16T00:00:00"/>
    <s v="CUST0245"/>
    <x v="171"/>
    <x v="0"/>
    <s v="Haryana"/>
    <x v="3"/>
    <x v="10"/>
    <n v="6"/>
    <n v="12654"/>
    <n v="7791.56"/>
    <n v="4862.4399999999996"/>
    <n v="0.38426110320847162"/>
    <x v="6"/>
    <x v="0"/>
  </r>
  <r>
    <s v="ORD00257"/>
    <d v="2025-04-27T00:00:00"/>
    <s v="CUST0276"/>
    <x v="172"/>
    <x v="1"/>
    <s v="Rajasthan"/>
    <x v="0"/>
    <x v="8"/>
    <n v="6"/>
    <n v="22236"/>
    <n v="16912.310000000001"/>
    <n v="5323.69"/>
    <n v="0.23941761108112969"/>
    <x v="0"/>
    <x v="1"/>
  </r>
  <r>
    <s v="ORD00258"/>
    <d v="2025-12-21T00:00:00"/>
    <s v="CUST0186"/>
    <x v="173"/>
    <x v="2"/>
    <s v="Telangana"/>
    <x v="0"/>
    <x v="8"/>
    <n v="2"/>
    <n v="9208"/>
    <n v="6298.5"/>
    <n v="2909.5"/>
    <n v="0.31597523892267593"/>
    <x v="3"/>
    <x v="1"/>
  </r>
  <r>
    <s v="ORD00259"/>
    <d v="2024-06-02T00:00:00"/>
    <s v="CUST0085"/>
    <x v="57"/>
    <x v="0"/>
    <s v="Delhi"/>
    <x v="2"/>
    <x v="5"/>
    <n v="9"/>
    <n v="17604"/>
    <n v="12706.75"/>
    <n v="4897.25"/>
    <n v="0.27818961599636444"/>
    <x v="4"/>
    <x v="0"/>
  </r>
  <r>
    <s v="ORD00260"/>
    <d v="2025-06-06T00:00:00"/>
    <s v="CUST0229"/>
    <x v="174"/>
    <x v="1"/>
    <s v="Maharashtra"/>
    <x v="0"/>
    <x v="2"/>
    <n v="4"/>
    <n v="17216"/>
    <n v="9938.5"/>
    <n v="7277.5"/>
    <n v="0.42271723977695169"/>
    <x v="4"/>
    <x v="1"/>
  </r>
  <r>
    <s v="ORD00261"/>
    <d v="2025-07-26T00:00:00"/>
    <s v="CUST0237"/>
    <x v="175"/>
    <x v="1"/>
    <s v="Maharashtra"/>
    <x v="2"/>
    <x v="5"/>
    <n v="7"/>
    <n v="28294"/>
    <n v="20348.29"/>
    <n v="7945.71"/>
    <n v="0.28082667703400016"/>
    <x v="11"/>
    <x v="1"/>
  </r>
  <r>
    <s v="ORD00262"/>
    <d v="2024-02-16T00:00:00"/>
    <s v="CUST0217"/>
    <x v="40"/>
    <x v="0"/>
    <s v="Punjab"/>
    <x v="3"/>
    <x v="10"/>
    <n v="1"/>
    <n v="2085"/>
    <n v="1508.48"/>
    <n v="576.52"/>
    <n v="0.27650839328537169"/>
    <x v="9"/>
    <x v="0"/>
  </r>
  <r>
    <s v="ORD00263"/>
    <d v="2025-02-22T00:00:00"/>
    <s v="CUST0093"/>
    <x v="176"/>
    <x v="0"/>
    <s v="Haryana"/>
    <x v="1"/>
    <x v="1"/>
    <n v="2"/>
    <n v="8334"/>
    <n v="4663.04"/>
    <n v="3670.96"/>
    <n v="0.44047996160307173"/>
    <x v="9"/>
    <x v="1"/>
  </r>
  <r>
    <s v="ORD00264"/>
    <d v="2025-11-30T00:00:00"/>
    <s v="CUST0277"/>
    <x v="177"/>
    <x v="1"/>
    <s v="Gujarat"/>
    <x v="2"/>
    <x v="3"/>
    <n v="8"/>
    <n v="27136"/>
    <n v="17982.86"/>
    <n v="9153.14"/>
    <n v="0.33730616155660376"/>
    <x v="5"/>
    <x v="1"/>
  </r>
  <r>
    <s v="ORD00265"/>
    <d v="2024-08-16T00:00:00"/>
    <s v="CUST0002"/>
    <x v="178"/>
    <x v="3"/>
    <s v="West Bengal"/>
    <x v="1"/>
    <x v="11"/>
    <n v="9"/>
    <n v="31671"/>
    <n v="22443.74"/>
    <n v="9227.26"/>
    <n v="0.29134728931830384"/>
    <x v="2"/>
    <x v="0"/>
  </r>
  <r>
    <s v="ORD00266"/>
    <d v="2024-08-23T00:00:00"/>
    <s v="CUST0127"/>
    <x v="179"/>
    <x v="3"/>
    <s v="Odisha"/>
    <x v="0"/>
    <x v="2"/>
    <n v="9"/>
    <n v="33966"/>
    <n v="24101.599999999999"/>
    <n v="9864.4"/>
    <n v="0.29041983159630219"/>
    <x v="2"/>
    <x v="0"/>
  </r>
  <r>
    <s v="ORD00267"/>
    <d v="2025-11-07T00:00:00"/>
    <s v="CUST0215"/>
    <x v="67"/>
    <x v="3"/>
    <s v="West Bengal"/>
    <x v="3"/>
    <x v="10"/>
    <n v="4"/>
    <n v="4896"/>
    <n v="2740.12"/>
    <n v="2155.88"/>
    <n v="0.44033496732026145"/>
    <x v="5"/>
    <x v="1"/>
  </r>
  <r>
    <s v="ORD00268"/>
    <d v="2025-11-19T00:00:00"/>
    <s v="CUST0025"/>
    <x v="7"/>
    <x v="2"/>
    <s v="Karnataka"/>
    <x v="1"/>
    <x v="6"/>
    <n v="2"/>
    <n v="1150"/>
    <n v="786.52"/>
    <n v="363.48"/>
    <n v="0.31606956521739132"/>
    <x v="5"/>
    <x v="1"/>
  </r>
  <r>
    <s v="ORD00269"/>
    <d v="2024-02-27T00:00:00"/>
    <s v="CUST0072"/>
    <x v="180"/>
    <x v="0"/>
    <s v="Punjab"/>
    <x v="2"/>
    <x v="9"/>
    <n v="4"/>
    <n v="18884"/>
    <n v="11617.07"/>
    <n v="7266.93"/>
    <n v="0.38481942385087908"/>
    <x v="9"/>
    <x v="0"/>
  </r>
  <r>
    <s v="ORD00270"/>
    <d v="2025-11-19T00:00:00"/>
    <s v="CUST0165"/>
    <x v="181"/>
    <x v="3"/>
    <s v="West Bengal"/>
    <x v="0"/>
    <x v="0"/>
    <n v="10"/>
    <n v="29120"/>
    <n v="21060.82"/>
    <n v="8059.18"/>
    <n v="0.27675755494505494"/>
    <x v="5"/>
    <x v="1"/>
  </r>
  <r>
    <s v="ORD00271"/>
    <d v="2024-10-08T00:00:00"/>
    <s v="CUST0032"/>
    <x v="163"/>
    <x v="3"/>
    <s v="West Bengal"/>
    <x v="0"/>
    <x v="2"/>
    <n v="9"/>
    <n v="18990"/>
    <n v="12800.55"/>
    <n v="6189.45"/>
    <n v="0.32593206951026854"/>
    <x v="10"/>
    <x v="0"/>
  </r>
  <r>
    <s v="ORD00272"/>
    <d v="2024-12-18T00:00:00"/>
    <s v="CUST0196"/>
    <x v="167"/>
    <x v="2"/>
    <s v="Telangana"/>
    <x v="0"/>
    <x v="2"/>
    <n v="7"/>
    <n v="33971"/>
    <n v="23735.07"/>
    <n v="10235.93"/>
    <n v="0.30131376762532747"/>
    <x v="3"/>
    <x v="0"/>
  </r>
  <r>
    <s v="ORD00273"/>
    <d v="2024-07-07T00:00:00"/>
    <s v="CUST0276"/>
    <x v="20"/>
    <x v="3"/>
    <s v="Bihar"/>
    <x v="2"/>
    <x v="3"/>
    <n v="7"/>
    <n v="10654"/>
    <n v="6818.2"/>
    <n v="3835.8"/>
    <n v="0.36003379012577436"/>
    <x v="11"/>
    <x v="0"/>
  </r>
  <r>
    <s v="ORD00274"/>
    <d v="2025-07-29T00:00:00"/>
    <s v="CUST0212"/>
    <x v="165"/>
    <x v="2"/>
    <s v="Karnataka"/>
    <x v="3"/>
    <x v="10"/>
    <n v="3"/>
    <n v="12279"/>
    <n v="10123.08"/>
    <n v="2155.92"/>
    <n v="0.17557781578304424"/>
    <x v="11"/>
    <x v="1"/>
  </r>
  <r>
    <s v="ORD00275"/>
    <d v="2024-03-21T00:00:00"/>
    <s v="CUST0231"/>
    <x v="105"/>
    <x v="2"/>
    <s v="Tamil Nadu"/>
    <x v="3"/>
    <x v="7"/>
    <n v="5"/>
    <n v="9825"/>
    <n v="6377.2"/>
    <n v="3447.8"/>
    <n v="0.35092111959287536"/>
    <x v="7"/>
    <x v="0"/>
  </r>
  <r>
    <s v="ORD00276"/>
    <d v="2025-11-20T00:00:00"/>
    <s v="CUST0021"/>
    <x v="182"/>
    <x v="0"/>
    <s v="Haryana"/>
    <x v="0"/>
    <x v="0"/>
    <n v="4"/>
    <n v="2888"/>
    <n v="1821"/>
    <n v="1067"/>
    <n v="0.36945983379501385"/>
    <x v="5"/>
    <x v="1"/>
  </r>
  <r>
    <s v="ORD00277"/>
    <d v="2024-12-06T00:00:00"/>
    <s v="CUST0156"/>
    <x v="108"/>
    <x v="2"/>
    <s v="Telangana"/>
    <x v="0"/>
    <x v="0"/>
    <n v="9"/>
    <n v="18693"/>
    <n v="12969.54"/>
    <n v="5723.46"/>
    <n v="0.3061819932595089"/>
    <x v="3"/>
    <x v="0"/>
  </r>
  <r>
    <s v="ORD00278"/>
    <d v="2025-12-13T00:00:00"/>
    <s v="CUST0105"/>
    <x v="144"/>
    <x v="2"/>
    <s v="Karnataka"/>
    <x v="0"/>
    <x v="0"/>
    <n v="2"/>
    <n v="8446"/>
    <n v="6962.31"/>
    <n v="1483.69"/>
    <n v="0.17566777172626097"/>
    <x v="3"/>
    <x v="1"/>
  </r>
  <r>
    <s v="ORD00279"/>
    <d v="2025-10-26T00:00:00"/>
    <s v="CUST0184"/>
    <x v="175"/>
    <x v="2"/>
    <s v="Telangana"/>
    <x v="3"/>
    <x v="4"/>
    <n v="5"/>
    <n v="17090"/>
    <n v="11789.97"/>
    <n v="5300.03"/>
    <n v="0.3101246342890579"/>
    <x v="10"/>
    <x v="1"/>
  </r>
  <r>
    <s v="ORD00280"/>
    <d v="2025-04-25T00:00:00"/>
    <s v="CUST0164"/>
    <x v="155"/>
    <x v="3"/>
    <s v="Odisha"/>
    <x v="2"/>
    <x v="5"/>
    <n v="8"/>
    <n v="32936"/>
    <n v="19089.13"/>
    <n v="13846.87"/>
    <n v="0.4204174763177071"/>
    <x v="0"/>
    <x v="1"/>
  </r>
  <r>
    <s v="ORD00281"/>
    <d v="2024-05-29T00:00:00"/>
    <s v="CUST0009"/>
    <x v="183"/>
    <x v="3"/>
    <s v="Odisha"/>
    <x v="2"/>
    <x v="3"/>
    <n v="1"/>
    <n v="4908"/>
    <n v="3971.68"/>
    <n v="936.32"/>
    <n v="0.19077424612876936"/>
    <x v="6"/>
    <x v="0"/>
  </r>
  <r>
    <s v="ORD00282"/>
    <d v="2025-08-06T00:00:00"/>
    <s v="CUST0126"/>
    <x v="184"/>
    <x v="1"/>
    <s v="Gujarat"/>
    <x v="1"/>
    <x v="11"/>
    <n v="4"/>
    <n v="12008"/>
    <n v="7433.02"/>
    <n v="4574.9799999999996"/>
    <n v="0.38099433710859426"/>
    <x v="2"/>
    <x v="1"/>
  </r>
  <r>
    <s v="ORD00283"/>
    <d v="2024-12-26T00:00:00"/>
    <s v="CUST0087"/>
    <x v="158"/>
    <x v="3"/>
    <s v="Odisha"/>
    <x v="2"/>
    <x v="9"/>
    <n v="8"/>
    <n v="32600"/>
    <n v="19575.330000000002"/>
    <n v="13024.67"/>
    <n v="0.39952975460122697"/>
    <x v="3"/>
    <x v="0"/>
  </r>
  <r>
    <s v="ORD00284"/>
    <d v="2024-03-17T00:00:00"/>
    <s v="CUST0025"/>
    <x v="2"/>
    <x v="1"/>
    <s v="Maharashtra"/>
    <x v="2"/>
    <x v="5"/>
    <n v="1"/>
    <n v="4592"/>
    <n v="2572.1999999999998"/>
    <n v="2019.8"/>
    <n v="0.43985191637630661"/>
    <x v="7"/>
    <x v="0"/>
  </r>
  <r>
    <s v="ORD00285"/>
    <d v="2024-01-10T00:00:00"/>
    <s v="CUST0112"/>
    <x v="185"/>
    <x v="1"/>
    <s v="Maharashtra"/>
    <x v="0"/>
    <x v="2"/>
    <n v="4"/>
    <n v="3424"/>
    <n v="2609.6"/>
    <n v="814.4"/>
    <n v="0.23785046728971962"/>
    <x v="8"/>
    <x v="0"/>
  </r>
  <r>
    <s v="ORD00286"/>
    <d v="2024-01-17T00:00:00"/>
    <s v="CUST0004"/>
    <x v="162"/>
    <x v="1"/>
    <s v="Gujarat"/>
    <x v="1"/>
    <x v="1"/>
    <n v="10"/>
    <n v="42580"/>
    <n v="31840.7"/>
    <n v="10739.3"/>
    <n v="0.25221465476749644"/>
    <x v="8"/>
    <x v="0"/>
  </r>
  <r>
    <s v="ORD00287"/>
    <d v="2024-10-20T00:00:00"/>
    <s v="CUST0009"/>
    <x v="180"/>
    <x v="1"/>
    <s v="Maharashtra"/>
    <x v="1"/>
    <x v="1"/>
    <n v="9"/>
    <n v="22950"/>
    <n v="16311.06"/>
    <n v="6638.94"/>
    <n v="0.28927843137254899"/>
    <x v="10"/>
    <x v="0"/>
  </r>
  <r>
    <s v="ORD00288"/>
    <d v="2024-07-15T00:00:00"/>
    <s v="CUST0270"/>
    <x v="186"/>
    <x v="1"/>
    <s v="Maharashtra"/>
    <x v="1"/>
    <x v="6"/>
    <n v="2"/>
    <n v="9190"/>
    <n v="5465.01"/>
    <n v="3724.99"/>
    <n v="0.40533079434167574"/>
    <x v="11"/>
    <x v="0"/>
  </r>
  <r>
    <s v="ORD00289"/>
    <d v="2025-04-15T00:00:00"/>
    <s v="CUST0290"/>
    <x v="187"/>
    <x v="3"/>
    <s v="Odisha"/>
    <x v="2"/>
    <x v="3"/>
    <n v="2"/>
    <n v="6712"/>
    <n v="5623.24"/>
    <n v="1088.76"/>
    <n v="0.16221096543504171"/>
    <x v="0"/>
    <x v="1"/>
  </r>
  <r>
    <s v="ORD00290"/>
    <d v="2025-01-23T00:00:00"/>
    <s v="CUST0194"/>
    <x v="188"/>
    <x v="2"/>
    <s v="Tamil Nadu"/>
    <x v="0"/>
    <x v="2"/>
    <n v="2"/>
    <n v="1118"/>
    <n v="646.26"/>
    <n v="471.74"/>
    <n v="0.42194991055456171"/>
    <x v="8"/>
    <x v="1"/>
  </r>
  <r>
    <s v="ORD00291"/>
    <d v="2025-03-20T00:00:00"/>
    <s v="CUST0170"/>
    <x v="60"/>
    <x v="1"/>
    <s v="Maharashtra"/>
    <x v="0"/>
    <x v="2"/>
    <n v="1"/>
    <n v="1703"/>
    <n v="978.89"/>
    <n v="724.11"/>
    <n v="0.4251967116852613"/>
    <x v="7"/>
    <x v="1"/>
  </r>
  <r>
    <s v="ORD00292"/>
    <d v="2025-12-09T00:00:00"/>
    <s v="CUST0291"/>
    <x v="46"/>
    <x v="0"/>
    <s v="Haryana"/>
    <x v="1"/>
    <x v="1"/>
    <n v="4"/>
    <n v="8124"/>
    <n v="6664.78"/>
    <n v="1459.22"/>
    <n v="0.17961841457410144"/>
    <x v="3"/>
    <x v="1"/>
  </r>
  <r>
    <s v="ORD00293"/>
    <d v="2024-02-03T00:00:00"/>
    <s v="CUST0092"/>
    <x v="189"/>
    <x v="3"/>
    <s v="West Bengal"/>
    <x v="1"/>
    <x v="6"/>
    <n v="5"/>
    <n v="23740"/>
    <n v="17070.32"/>
    <n v="6669.68"/>
    <n v="0.2809469250210615"/>
    <x v="9"/>
    <x v="0"/>
  </r>
  <r>
    <s v="ORD00294"/>
    <d v="2024-11-02T00:00:00"/>
    <s v="CUST0084"/>
    <x v="190"/>
    <x v="0"/>
    <s v="Delhi"/>
    <x v="0"/>
    <x v="8"/>
    <n v="3"/>
    <n v="10686"/>
    <n v="8855.09"/>
    <n v="1830.91"/>
    <n v="0.17133726370952648"/>
    <x v="5"/>
    <x v="0"/>
  </r>
  <r>
    <s v="ORD00295"/>
    <d v="2024-05-23T00:00:00"/>
    <s v="CUST0041"/>
    <x v="191"/>
    <x v="2"/>
    <s v="Telangana"/>
    <x v="2"/>
    <x v="3"/>
    <n v="9"/>
    <n v="27153"/>
    <n v="18060.919999999998"/>
    <n v="9092.08"/>
    <n v="0.33484624166758736"/>
    <x v="6"/>
    <x v="0"/>
  </r>
  <r>
    <s v="ORD00296"/>
    <d v="2024-12-14T00:00:00"/>
    <s v="CUST0204"/>
    <x v="57"/>
    <x v="3"/>
    <s v="West Bengal"/>
    <x v="1"/>
    <x v="6"/>
    <n v="7"/>
    <n v="15407"/>
    <n v="12350.29"/>
    <n v="3056.71"/>
    <n v="0.19839748166417862"/>
    <x v="3"/>
    <x v="0"/>
  </r>
  <r>
    <s v="ORD00297"/>
    <d v="2025-07-20T00:00:00"/>
    <s v="CUST0193"/>
    <x v="192"/>
    <x v="0"/>
    <s v="Haryana"/>
    <x v="3"/>
    <x v="10"/>
    <n v="8"/>
    <n v="34552"/>
    <n v="21368.39"/>
    <n v="13183.61"/>
    <n v="0.38155852049085437"/>
    <x v="11"/>
    <x v="1"/>
  </r>
  <r>
    <s v="ORD00298"/>
    <d v="2024-10-29T00:00:00"/>
    <s v="CUST0127"/>
    <x v="182"/>
    <x v="2"/>
    <s v="Telangana"/>
    <x v="0"/>
    <x v="8"/>
    <n v="7"/>
    <n v="7014"/>
    <n v="5482.49"/>
    <n v="1531.51"/>
    <n v="0.21835044197319647"/>
    <x v="10"/>
    <x v="0"/>
  </r>
  <r>
    <s v="ORD00299"/>
    <d v="2024-11-20T00:00:00"/>
    <s v="CUST0185"/>
    <x v="193"/>
    <x v="0"/>
    <s v="Punjab"/>
    <x v="1"/>
    <x v="11"/>
    <n v="7"/>
    <n v="10941"/>
    <n v="8445.32"/>
    <n v="2495.6799999999998"/>
    <n v="0.22810346403436613"/>
    <x v="5"/>
    <x v="0"/>
  </r>
  <r>
    <s v="ORD00300"/>
    <d v="2024-04-14T00:00:00"/>
    <s v="CUST0068"/>
    <x v="0"/>
    <x v="0"/>
    <s v="Delhi"/>
    <x v="3"/>
    <x v="10"/>
    <n v="8"/>
    <n v="25984"/>
    <n v="20226.05"/>
    <n v="5757.95"/>
    <n v="0.22159598214285714"/>
    <x v="0"/>
    <x v="0"/>
  </r>
  <r>
    <s v="ORD00301"/>
    <d v="2024-04-15T00:00:00"/>
    <s v="CUST0014"/>
    <x v="194"/>
    <x v="2"/>
    <s v="Tamil Nadu"/>
    <x v="2"/>
    <x v="9"/>
    <n v="9"/>
    <n v="43596"/>
    <n v="30679.91"/>
    <n v="12916.09"/>
    <n v="0.2962677768602624"/>
    <x v="0"/>
    <x v="0"/>
  </r>
  <r>
    <s v="ORD00302"/>
    <d v="2024-01-13T00:00:00"/>
    <s v="CUST0150"/>
    <x v="195"/>
    <x v="3"/>
    <s v="Bihar"/>
    <x v="1"/>
    <x v="6"/>
    <n v="10"/>
    <n v="29570"/>
    <n v="23925.54"/>
    <n v="5644.46"/>
    <n v="0.19088468041934392"/>
    <x v="8"/>
    <x v="0"/>
  </r>
  <r>
    <s v="ORD00303"/>
    <d v="2024-06-22T00:00:00"/>
    <s v="CUST0195"/>
    <x v="196"/>
    <x v="1"/>
    <s v="Maharashtra"/>
    <x v="0"/>
    <x v="0"/>
    <n v="9"/>
    <n v="20592"/>
    <n v="14858.94"/>
    <n v="5733.06"/>
    <n v="0.27841200466200466"/>
    <x v="4"/>
    <x v="0"/>
  </r>
  <r>
    <s v="ORD00304"/>
    <d v="2024-06-20T00:00:00"/>
    <s v="CUST0223"/>
    <x v="107"/>
    <x v="2"/>
    <s v="Tamil Nadu"/>
    <x v="3"/>
    <x v="10"/>
    <n v="5"/>
    <n v="21695"/>
    <n v="12882.07"/>
    <n v="8812.93"/>
    <n v="0.40621940539294771"/>
    <x v="4"/>
    <x v="0"/>
  </r>
  <r>
    <s v="ORD00305"/>
    <d v="2024-09-09T00:00:00"/>
    <s v="CUST0254"/>
    <x v="197"/>
    <x v="1"/>
    <s v="Gujarat"/>
    <x v="2"/>
    <x v="9"/>
    <n v="2"/>
    <n v="6516"/>
    <n v="4075.82"/>
    <n v="2440.1799999999998"/>
    <n v="0.37449048496009818"/>
    <x v="1"/>
    <x v="0"/>
  </r>
  <r>
    <s v="ORD00306"/>
    <d v="2024-12-06T00:00:00"/>
    <s v="CUST0195"/>
    <x v="38"/>
    <x v="1"/>
    <s v="Maharashtra"/>
    <x v="1"/>
    <x v="11"/>
    <n v="5"/>
    <n v="1775"/>
    <n v="1481.5"/>
    <n v="293.5"/>
    <n v="0.16535211267605635"/>
    <x v="3"/>
    <x v="0"/>
  </r>
  <r>
    <s v="ORD00307"/>
    <d v="2025-09-09T00:00:00"/>
    <s v="CUST0103"/>
    <x v="111"/>
    <x v="1"/>
    <s v="Gujarat"/>
    <x v="2"/>
    <x v="3"/>
    <n v="10"/>
    <n v="14150"/>
    <n v="9057.85"/>
    <n v="5092.1499999999996"/>
    <n v="0.35986925795052999"/>
    <x v="1"/>
    <x v="1"/>
  </r>
  <r>
    <s v="ORD00308"/>
    <d v="2025-10-10T00:00:00"/>
    <s v="CUST0252"/>
    <x v="97"/>
    <x v="3"/>
    <s v="West Bengal"/>
    <x v="2"/>
    <x v="3"/>
    <n v="6"/>
    <n v="16122"/>
    <n v="12421.39"/>
    <n v="3700.61"/>
    <n v="0.22953789852375636"/>
    <x v="10"/>
    <x v="1"/>
  </r>
  <r>
    <s v="ORD00309"/>
    <d v="2025-07-31T00:00:00"/>
    <s v="CUST0103"/>
    <x v="34"/>
    <x v="2"/>
    <s v="Tamil Nadu"/>
    <x v="2"/>
    <x v="3"/>
    <n v="5"/>
    <n v="17590"/>
    <n v="11600.69"/>
    <n v="5989.31"/>
    <n v="0.34049516770892557"/>
    <x v="11"/>
    <x v="1"/>
  </r>
  <r>
    <s v="ORD00310"/>
    <d v="2024-08-02T00:00:00"/>
    <s v="CUST0225"/>
    <x v="85"/>
    <x v="2"/>
    <s v="Telangana"/>
    <x v="2"/>
    <x v="5"/>
    <n v="1"/>
    <n v="4081"/>
    <n v="3399.03"/>
    <n v="681.97"/>
    <n v="0.16710855182553297"/>
    <x v="2"/>
    <x v="0"/>
  </r>
  <r>
    <s v="ORD00311"/>
    <d v="2024-09-04T00:00:00"/>
    <s v="CUST0130"/>
    <x v="171"/>
    <x v="0"/>
    <s v="Punjab"/>
    <x v="0"/>
    <x v="2"/>
    <n v="8"/>
    <n v="11520"/>
    <n v="8524.81"/>
    <n v="2995.19"/>
    <n v="0.25999913194444446"/>
    <x v="1"/>
    <x v="0"/>
  </r>
  <r>
    <s v="ORD00312"/>
    <d v="2025-07-01T00:00:00"/>
    <s v="CUST0260"/>
    <x v="54"/>
    <x v="1"/>
    <s v="Gujarat"/>
    <x v="1"/>
    <x v="6"/>
    <n v="8"/>
    <n v="33800"/>
    <n v="24493.95"/>
    <n v="9306.0499999999993"/>
    <n v="0.27532692307692308"/>
    <x v="11"/>
    <x v="1"/>
  </r>
  <r>
    <s v="ORD00313"/>
    <d v="2024-09-11T00:00:00"/>
    <s v="CUST0182"/>
    <x v="198"/>
    <x v="0"/>
    <s v="Punjab"/>
    <x v="0"/>
    <x v="0"/>
    <n v="9"/>
    <n v="8964"/>
    <n v="5224.32"/>
    <n v="3739.68"/>
    <n v="0.41718875502008029"/>
    <x v="1"/>
    <x v="0"/>
  </r>
  <r>
    <s v="ORD00314"/>
    <d v="2025-03-16T00:00:00"/>
    <s v="CUST0055"/>
    <x v="199"/>
    <x v="0"/>
    <s v="Haryana"/>
    <x v="0"/>
    <x v="2"/>
    <n v="7"/>
    <n v="21112"/>
    <n v="17728.060000000001"/>
    <n v="3383.94"/>
    <n v="0.16028514588859416"/>
    <x v="7"/>
    <x v="1"/>
  </r>
  <r>
    <s v="ORD00315"/>
    <d v="2025-12-05T00:00:00"/>
    <s v="CUST0295"/>
    <x v="200"/>
    <x v="0"/>
    <s v="Punjab"/>
    <x v="3"/>
    <x v="7"/>
    <n v="9"/>
    <n v="40941"/>
    <n v="29370.99"/>
    <n v="11570.01"/>
    <n v="0.282602037077746"/>
    <x v="3"/>
    <x v="1"/>
  </r>
  <r>
    <s v="ORD00316"/>
    <d v="2024-01-26T00:00:00"/>
    <s v="CUST0248"/>
    <x v="31"/>
    <x v="1"/>
    <s v="Gujarat"/>
    <x v="2"/>
    <x v="3"/>
    <n v="8"/>
    <n v="35192"/>
    <n v="20947.099999999999"/>
    <n v="14244.9"/>
    <n v="0.40477665378495109"/>
    <x v="8"/>
    <x v="0"/>
  </r>
  <r>
    <s v="ORD00317"/>
    <d v="2024-12-17T00:00:00"/>
    <s v="CUST0234"/>
    <x v="201"/>
    <x v="3"/>
    <s v="Odisha"/>
    <x v="1"/>
    <x v="6"/>
    <n v="2"/>
    <n v="2920"/>
    <n v="1911.14"/>
    <n v="1008.86"/>
    <n v="0.34550000000000003"/>
    <x v="3"/>
    <x v="0"/>
  </r>
  <r>
    <s v="ORD00318"/>
    <d v="2025-04-08T00:00:00"/>
    <s v="CUST0164"/>
    <x v="143"/>
    <x v="1"/>
    <s v="Gujarat"/>
    <x v="2"/>
    <x v="9"/>
    <n v="2"/>
    <n v="7778"/>
    <n v="5962.6"/>
    <n v="1815.4"/>
    <n v="0.23340190280277706"/>
    <x v="0"/>
    <x v="1"/>
  </r>
  <r>
    <s v="ORD00319"/>
    <d v="2025-10-25T00:00:00"/>
    <s v="CUST0056"/>
    <x v="23"/>
    <x v="3"/>
    <s v="West Bengal"/>
    <x v="0"/>
    <x v="0"/>
    <n v="2"/>
    <n v="970"/>
    <n v="780.61"/>
    <n v="189.39"/>
    <n v="0.19524742268041237"/>
    <x v="10"/>
    <x v="1"/>
  </r>
  <r>
    <s v="ORD00320"/>
    <d v="2025-03-12T00:00:00"/>
    <s v="CUST0237"/>
    <x v="95"/>
    <x v="2"/>
    <s v="Telangana"/>
    <x v="1"/>
    <x v="11"/>
    <n v="9"/>
    <n v="14499"/>
    <n v="9414.16"/>
    <n v="5084.84"/>
    <n v="0.35070280709014418"/>
    <x v="7"/>
    <x v="1"/>
  </r>
  <r>
    <s v="ORD00321"/>
    <d v="2025-09-20T00:00:00"/>
    <s v="CUST0102"/>
    <x v="150"/>
    <x v="1"/>
    <s v="Rajasthan"/>
    <x v="1"/>
    <x v="11"/>
    <n v="3"/>
    <n v="11520"/>
    <n v="7703.13"/>
    <n v="3816.87"/>
    <n v="0.33132552083333333"/>
    <x v="1"/>
    <x v="1"/>
  </r>
  <r>
    <s v="ORD00322"/>
    <d v="2025-12-21T00:00:00"/>
    <s v="CUST0033"/>
    <x v="79"/>
    <x v="1"/>
    <s v="Gujarat"/>
    <x v="1"/>
    <x v="1"/>
    <n v="4"/>
    <n v="7940"/>
    <n v="5030.0200000000004"/>
    <n v="2909.98"/>
    <n v="0.36649622166246854"/>
    <x v="3"/>
    <x v="1"/>
  </r>
  <r>
    <s v="ORD00323"/>
    <d v="2024-04-26T00:00:00"/>
    <s v="CUST0135"/>
    <x v="202"/>
    <x v="0"/>
    <s v="Haryana"/>
    <x v="1"/>
    <x v="11"/>
    <n v="6"/>
    <n v="17820"/>
    <n v="10854.56"/>
    <n v="6965.44"/>
    <n v="0.39087766554433218"/>
    <x v="0"/>
    <x v="0"/>
  </r>
  <r>
    <s v="ORD00324"/>
    <d v="2024-12-22T00:00:00"/>
    <s v="CUST0181"/>
    <x v="28"/>
    <x v="3"/>
    <s v="Bihar"/>
    <x v="2"/>
    <x v="3"/>
    <n v="10"/>
    <n v="35150"/>
    <n v="25522.46"/>
    <n v="9627.5400000000009"/>
    <n v="0.27389871977240399"/>
    <x v="3"/>
    <x v="0"/>
  </r>
  <r>
    <s v="ORD00325"/>
    <d v="2024-11-16T00:00:00"/>
    <s v="CUST0061"/>
    <x v="16"/>
    <x v="2"/>
    <s v="Telangana"/>
    <x v="0"/>
    <x v="0"/>
    <n v="5"/>
    <n v="4970"/>
    <n v="3735.62"/>
    <n v="1234.3800000000001"/>
    <n v="0.2483661971830986"/>
    <x v="5"/>
    <x v="0"/>
  </r>
  <r>
    <s v="ORD00326"/>
    <d v="2025-03-04T00:00:00"/>
    <s v="CUST0071"/>
    <x v="97"/>
    <x v="3"/>
    <s v="West Bengal"/>
    <x v="1"/>
    <x v="11"/>
    <n v="6"/>
    <n v="8748"/>
    <n v="6152.01"/>
    <n v="2595.9899999999998"/>
    <n v="0.29675240054869684"/>
    <x v="7"/>
    <x v="1"/>
  </r>
  <r>
    <s v="ORD00327"/>
    <d v="2025-10-22T00:00:00"/>
    <s v="CUST0089"/>
    <x v="203"/>
    <x v="1"/>
    <s v="Gujarat"/>
    <x v="1"/>
    <x v="11"/>
    <n v="8"/>
    <n v="37616"/>
    <n v="28514.05"/>
    <n v="9101.9500000000007"/>
    <n v="0.24197017226712039"/>
    <x v="10"/>
    <x v="1"/>
  </r>
  <r>
    <s v="ORD00328"/>
    <d v="2025-04-06T00:00:00"/>
    <s v="CUST0028"/>
    <x v="93"/>
    <x v="2"/>
    <s v="Tamil Nadu"/>
    <x v="3"/>
    <x v="10"/>
    <n v="3"/>
    <n v="5496"/>
    <n v="3541.48"/>
    <n v="1954.52"/>
    <n v="0.35562590975254732"/>
    <x v="0"/>
    <x v="1"/>
  </r>
  <r>
    <s v="ORD00329"/>
    <d v="2025-06-01T00:00:00"/>
    <s v="CUST0254"/>
    <x v="133"/>
    <x v="0"/>
    <s v="Punjab"/>
    <x v="1"/>
    <x v="11"/>
    <n v="4"/>
    <n v="13780"/>
    <n v="11563.47"/>
    <n v="2216.5300000000002"/>
    <n v="0.16085123367198839"/>
    <x v="4"/>
    <x v="1"/>
  </r>
  <r>
    <s v="ORD00330"/>
    <d v="2025-08-01T00:00:00"/>
    <s v="CUST0016"/>
    <x v="122"/>
    <x v="1"/>
    <s v="Gujarat"/>
    <x v="0"/>
    <x v="0"/>
    <n v="8"/>
    <n v="34424"/>
    <n v="20660.46"/>
    <n v="13763.54"/>
    <n v="0.39982396002788756"/>
    <x v="2"/>
    <x v="1"/>
  </r>
  <r>
    <s v="ORD00331"/>
    <d v="2025-04-13T00:00:00"/>
    <s v="CUST0290"/>
    <x v="204"/>
    <x v="3"/>
    <s v="West Bengal"/>
    <x v="3"/>
    <x v="10"/>
    <n v="4"/>
    <n v="18816"/>
    <n v="11978.29"/>
    <n v="6837.71"/>
    <n v="0.36339870323129253"/>
    <x v="0"/>
    <x v="1"/>
  </r>
  <r>
    <s v="ORD00332"/>
    <d v="2025-01-10T00:00:00"/>
    <s v="CUST0278"/>
    <x v="130"/>
    <x v="0"/>
    <s v="Haryana"/>
    <x v="1"/>
    <x v="6"/>
    <n v="5"/>
    <n v="23745"/>
    <n v="18924.41"/>
    <n v="4820.59"/>
    <n v="0.2030149505158981"/>
    <x v="8"/>
    <x v="1"/>
  </r>
  <r>
    <s v="ORD00333"/>
    <d v="2025-10-31T00:00:00"/>
    <s v="CUST0127"/>
    <x v="154"/>
    <x v="1"/>
    <s v="Rajasthan"/>
    <x v="3"/>
    <x v="7"/>
    <n v="7"/>
    <n v="7966"/>
    <n v="6140.17"/>
    <n v="1825.83"/>
    <n v="0.22920286216419783"/>
    <x v="10"/>
    <x v="1"/>
  </r>
  <r>
    <s v="ORD00334"/>
    <d v="2024-04-30T00:00:00"/>
    <s v="CUST0122"/>
    <x v="205"/>
    <x v="0"/>
    <s v="Punjab"/>
    <x v="3"/>
    <x v="10"/>
    <n v="6"/>
    <n v="6072"/>
    <n v="4139.41"/>
    <n v="1932.59"/>
    <n v="0.31827898550724637"/>
    <x v="0"/>
    <x v="0"/>
  </r>
  <r>
    <s v="ORD00335"/>
    <d v="2024-07-30T00:00:00"/>
    <s v="CUST0106"/>
    <x v="206"/>
    <x v="3"/>
    <s v="Bihar"/>
    <x v="0"/>
    <x v="8"/>
    <n v="7"/>
    <n v="11613"/>
    <n v="8533.76"/>
    <n v="3079.24"/>
    <n v="0.26515456815637645"/>
    <x v="11"/>
    <x v="0"/>
  </r>
  <r>
    <s v="ORD00336"/>
    <d v="2025-12-21T00:00:00"/>
    <s v="CUST0150"/>
    <x v="124"/>
    <x v="3"/>
    <s v="Bihar"/>
    <x v="3"/>
    <x v="10"/>
    <n v="10"/>
    <n v="47130"/>
    <n v="28302.19"/>
    <n v="18827.810000000001"/>
    <n v="0.39948673880755359"/>
    <x v="3"/>
    <x v="1"/>
  </r>
  <r>
    <s v="ORD00337"/>
    <d v="2025-02-25T00:00:00"/>
    <s v="CUST0031"/>
    <x v="107"/>
    <x v="3"/>
    <s v="Bihar"/>
    <x v="0"/>
    <x v="2"/>
    <n v="2"/>
    <n v="2820"/>
    <n v="2365.5100000000002"/>
    <n v="454.49"/>
    <n v="0.16116666666666668"/>
    <x v="9"/>
    <x v="1"/>
  </r>
  <r>
    <s v="ORD00338"/>
    <d v="2024-09-10T00:00:00"/>
    <s v="CUST0202"/>
    <x v="202"/>
    <x v="2"/>
    <s v="Telangana"/>
    <x v="1"/>
    <x v="11"/>
    <n v="4"/>
    <n v="5992"/>
    <n v="4574.3999999999996"/>
    <n v="1417.6"/>
    <n v="0.23658210947930572"/>
    <x v="1"/>
    <x v="0"/>
  </r>
  <r>
    <s v="ORD00339"/>
    <d v="2024-03-18T00:00:00"/>
    <s v="CUST0048"/>
    <x v="77"/>
    <x v="2"/>
    <s v="Telangana"/>
    <x v="0"/>
    <x v="2"/>
    <n v="5"/>
    <n v="18465"/>
    <n v="12234.02"/>
    <n v="6230.98"/>
    <n v="0.33744814513945298"/>
    <x v="7"/>
    <x v="0"/>
  </r>
  <r>
    <s v="ORD00340"/>
    <d v="2024-01-03T00:00:00"/>
    <s v="CUST0048"/>
    <x v="28"/>
    <x v="3"/>
    <s v="Bihar"/>
    <x v="3"/>
    <x v="4"/>
    <n v="8"/>
    <n v="34384"/>
    <n v="22287.25"/>
    <n v="12096.75"/>
    <n v="0.3518133434155421"/>
    <x v="8"/>
    <x v="0"/>
  </r>
  <r>
    <s v="ORD00341"/>
    <d v="2024-08-04T00:00:00"/>
    <s v="CUST0254"/>
    <x v="63"/>
    <x v="3"/>
    <s v="West Bengal"/>
    <x v="2"/>
    <x v="5"/>
    <n v="7"/>
    <n v="14588"/>
    <n v="12260.32"/>
    <n v="2327.6799999999998"/>
    <n v="0.15956128324650395"/>
    <x v="2"/>
    <x v="0"/>
  </r>
  <r>
    <s v="ORD00342"/>
    <d v="2025-05-11T00:00:00"/>
    <s v="CUST0176"/>
    <x v="207"/>
    <x v="3"/>
    <s v="Odisha"/>
    <x v="3"/>
    <x v="4"/>
    <n v="9"/>
    <n v="12321"/>
    <n v="8869.18"/>
    <n v="3451.82"/>
    <n v="0.28015745475204934"/>
    <x v="6"/>
    <x v="1"/>
  </r>
  <r>
    <s v="ORD00343"/>
    <d v="2024-06-10T00:00:00"/>
    <s v="CUST0226"/>
    <x v="96"/>
    <x v="0"/>
    <s v="Delhi"/>
    <x v="0"/>
    <x v="2"/>
    <n v="8"/>
    <n v="3464"/>
    <n v="2034.31"/>
    <n v="1429.69"/>
    <n v="0.41272806004618939"/>
    <x v="4"/>
    <x v="0"/>
  </r>
  <r>
    <s v="ORD00344"/>
    <d v="2024-10-07T00:00:00"/>
    <s v="CUST0048"/>
    <x v="208"/>
    <x v="0"/>
    <s v="Punjab"/>
    <x v="3"/>
    <x v="7"/>
    <n v="3"/>
    <n v="8316"/>
    <n v="4970.42"/>
    <n v="3345.58"/>
    <n v="0.40230639730639728"/>
    <x v="10"/>
    <x v="0"/>
  </r>
  <r>
    <s v="ORD00345"/>
    <d v="2024-11-08T00:00:00"/>
    <s v="CUST0120"/>
    <x v="209"/>
    <x v="3"/>
    <s v="West Bengal"/>
    <x v="3"/>
    <x v="4"/>
    <n v="3"/>
    <n v="2172"/>
    <n v="1452.86"/>
    <n v="719.14"/>
    <n v="0.33109576427255982"/>
    <x v="5"/>
    <x v="0"/>
  </r>
  <r>
    <s v="ORD00346"/>
    <d v="2024-05-15T00:00:00"/>
    <s v="CUST0116"/>
    <x v="48"/>
    <x v="0"/>
    <s v="Haryana"/>
    <x v="1"/>
    <x v="6"/>
    <n v="1"/>
    <n v="2048"/>
    <n v="1419.35"/>
    <n v="628.65"/>
    <n v="0.30695800781249999"/>
    <x v="6"/>
    <x v="0"/>
  </r>
  <r>
    <s v="ORD00347"/>
    <d v="2025-03-08T00:00:00"/>
    <s v="CUST0068"/>
    <x v="210"/>
    <x v="1"/>
    <s v="Maharashtra"/>
    <x v="1"/>
    <x v="1"/>
    <n v="6"/>
    <n v="7722"/>
    <n v="6536.26"/>
    <n v="1185.74"/>
    <n v="0.15355348355348356"/>
    <x v="7"/>
    <x v="1"/>
  </r>
  <r>
    <s v="ORD00348"/>
    <d v="2025-01-11T00:00:00"/>
    <s v="CUST0154"/>
    <x v="99"/>
    <x v="0"/>
    <s v="Delhi"/>
    <x v="2"/>
    <x v="3"/>
    <n v="2"/>
    <n v="2278"/>
    <n v="1323.43"/>
    <n v="954.57"/>
    <n v="0.41903863037752415"/>
    <x v="8"/>
    <x v="1"/>
  </r>
  <r>
    <s v="ORD00349"/>
    <d v="2024-01-09T00:00:00"/>
    <s v="CUST0085"/>
    <x v="89"/>
    <x v="1"/>
    <s v="Maharashtra"/>
    <x v="0"/>
    <x v="2"/>
    <n v="3"/>
    <n v="2580"/>
    <n v="1829.61"/>
    <n v="750.39"/>
    <n v="0.29084883720930232"/>
    <x v="8"/>
    <x v="0"/>
  </r>
  <r>
    <s v="ORD00350"/>
    <d v="2025-03-29T00:00:00"/>
    <s v="CUST0112"/>
    <x v="0"/>
    <x v="3"/>
    <s v="Bihar"/>
    <x v="3"/>
    <x v="7"/>
    <n v="3"/>
    <n v="11016"/>
    <n v="8094.81"/>
    <n v="2921.19"/>
    <n v="0.26517701525054466"/>
    <x v="7"/>
    <x v="1"/>
  </r>
  <r>
    <s v="ORD00351"/>
    <d v="2025-03-15T00:00:00"/>
    <s v="CUST0162"/>
    <x v="158"/>
    <x v="0"/>
    <s v="Delhi"/>
    <x v="1"/>
    <x v="6"/>
    <n v="10"/>
    <n v="34450"/>
    <n v="22580.62"/>
    <n v="11869.38"/>
    <n v="0.34453933236574746"/>
    <x v="7"/>
    <x v="1"/>
  </r>
  <r>
    <s v="ORD00352"/>
    <d v="2025-09-06T00:00:00"/>
    <s v="CUST0146"/>
    <x v="56"/>
    <x v="2"/>
    <s v="Tamil Nadu"/>
    <x v="0"/>
    <x v="2"/>
    <n v="2"/>
    <n v="4664"/>
    <n v="3339.51"/>
    <n v="1324.49"/>
    <n v="0.28398156089193827"/>
    <x v="1"/>
    <x v="1"/>
  </r>
  <r>
    <s v="ORD00353"/>
    <d v="2025-02-05T00:00:00"/>
    <s v="CUST0152"/>
    <x v="211"/>
    <x v="3"/>
    <s v="West Bengal"/>
    <x v="2"/>
    <x v="5"/>
    <n v="10"/>
    <n v="44740"/>
    <n v="27139.01"/>
    <n v="17600.990000000002"/>
    <n v="0.39340612427358074"/>
    <x v="9"/>
    <x v="1"/>
  </r>
  <r>
    <s v="ORD00354"/>
    <d v="2025-08-31T00:00:00"/>
    <s v="CUST0037"/>
    <x v="212"/>
    <x v="2"/>
    <s v="Tamil Nadu"/>
    <x v="2"/>
    <x v="3"/>
    <n v="2"/>
    <n v="4548"/>
    <n v="3183.03"/>
    <n v="1364.97"/>
    <n v="0.30012532981530343"/>
    <x v="2"/>
    <x v="1"/>
  </r>
  <r>
    <s v="ORD00355"/>
    <d v="2025-08-05T00:00:00"/>
    <s v="CUST0216"/>
    <x v="100"/>
    <x v="0"/>
    <s v="Punjab"/>
    <x v="3"/>
    <x v="4"/>
    <n v="3"/>
    <n v="10404"/>
    <n v="8408.9699999999993"/>
    <n v="1995.03"/>
    <n v="0.1917560553633218"/>
    <x v="2"/>
    <x v="1"/>
  </r>
  <r>
    <s v="ORD00356"/>
    <d v="2024-08-08T00:00:00"/>
    <s v="CUST0021"/>
    <x v="206"/>
    <x v="2"/>
    <s v="Tamil Nadu"/>
    <x v="1"/>
    <x v="6"/>
    <n v="1"/>
    <n v="853"/>
    <n v="472.68"/>
    <n v="380.32"/>
    <n v="0.44586166471277844"/>
    <x v="2"/>
    <x v="0"/>
  </r>
  <r>
    <s v="ORD00357"/>
    <d v="2025-02-15T00:00:00"/>
    <s v="CUST0043"/>
    <x v="13"/>
    <x v="1"/>
    <s v="Rajasthan"/>
    <x v="3"/>
    <x v="10"/>
    <n v="9"/>
    <n v="33327"/>
    <n v="22564.799999999999"/>
    <n v="10762.2"/>
    <n v="0.3229273561976776"/>
    <x v="9"/>
    <x v="1"/>
  </r>
  <r>
    <s v="ORD00358"/>
    <d v="2024-07-27T00:00:00"/>
    <s v="CUST0080"/>
    <x v="13"/>
    <x v="2"/>
    <s v="Tamil Nadu"/>
    <x v="1"/>
    <x v="6"/>
    <n v="5"/>
    <n v="4735"/>
    <n v="3330.56"/>
    <n v="1404.44"/>
    <n v="0.29660823653643087"/>
    <x v="11"/>
    <x v="0"/>
  </r>
  <r>
    <s v="ORD00359"/>
    <d v="2024-09-01T00:00:00"/>
    <s v="CUST0030"/>
    <x v="7"/>
    <x v="3"/>
    <s v="Odisha"/>
    <x v="0"/>
    <x v="8"/>
    <n v="2"/>
    <n v="5680"/>
    <n v="4314.54"/>
    <n v="1365.46"/>
    <n v="0.24039788732394368"/>
    <x v="1"/>
    <x v="0"/>
  </r>
  <r>
    <s v="ORD00360"/>
    <d v="2025-11-04T00:00:00"/>
    <s v="CUST0090"/>
    <x v="18"/>
    <x v="0"/>
    <s v="Punjab"/>
    <x v="1"/>
    <x v="6"/>
    <n v="8"/>
    <n v="6000"/>
    <n v="3856.72"/>
    <n v="2143.2800000000002"/>
    <n v="0.35721333333333338"/>
    <x v="5"/>
    <x v="1"/>
  </r>
  <r>
    <s v="ORD00361"/>
    <d v="2024-12-21T00:00:00"/>
    <s v="CUST0268"/>
    <x v="213"/>
    <x v="0"/>
    <s v="Haryana"/>
    <x v="1"/>
    <x v="11"/>
    <n v="1"/>
    <n v="1642"/>
    <n v="1147.6300000000001"/>
    <n v="494.37"/>
    <n v="0.30107795371498175"/>
    <x v="3"/>
    <x v="0"/>
  </r>
  <r>
    <s v="ORD00362"/>
    <d v="2024-04-30T00:00:00"/>
    <s v="CUST0016"/>
    <x v="214"/>
    <x v="3"/>
    <s v="West Bengal"/>
    <x v="3"/>
    <x v="4"/>
    <n v="3"/>
    <n v="7503"/>
    <n v="5776.42"/>
    <n v="1726.58"/>
    <n v="0.23011861921897905"/>
    <x v="0"/>
    <x v="0"/>
  </r>
  <r>
    <s v="ORD00363"/>
    <d v="2025-08-13T00:00:00"/>
    <s v="CUST0040"/>
    <x v="98"/>
    <x v="1"/>
    <s v="Gujarat"/>
    <x v="2"/>
    <x v="5"/>
    <n v="2"/>
    <n v="4908"/>
    <n v="3748.22"/>
    <n v="1159.78"/>
    <n v="0.23630399348003259"/>
    <x v="2"/>
    <x v="1"/>
  </r>
  <r>
    <s v="ORD00364"/>
    <d v="2024-06-19T00:00:00"/>
    <s v="CUST0189"/>
    <x v="74"/>
    <x v="1"/>
    <s v="Rajasthan"/>
    <x v="3"/>
    <x v="4"/>
    <n v="1"/>
    <n v="4392"/>
    <n v="3547.89"/>
    <n v="844.11"/>
    <n v="0.19219262295081968"/>
    <x v="4"/>
    <x v="0"/>
  </r>
  <r>
    <s v="ORD00365"/>
    <d v="2024-01-03T00:00:00"/>
    <s v="CUST0023"/>
    <x v="61"/>
    <x v="3"/>
    <s v="West Bengal"/>
    <x v="0"/>
    <x v="8"/>
    <n v="2"/>
    <n v="4342"/>
    <n v="3353.04"/>
    <n v="988.96"/>
    <n v="0.2277660064486412"/>
    <x v="8"/>
    <x v="0"/>
  </r>
  <r>
    <s v="ORD00366"/>
    <d v="2024-07-02T00:00:00"/>
    <s v="CUST0019"/>
    <x v="106"/>
    <x v="2"/>
    <s v="Karnataka"/>
    <x v="2"/>
    <x v="9"/>
    <n v="6"/>
    <n v="20622"/>
    <n v="17035.169999999998"/>
    <n v="3586.83"/>
    <n v="0.17393220832121034"/>
    <x v="11"/>
    <x v="0"/>
  </r>
  <r>
    <s v="ORD00367"/>
    <d v="2024-11-23T00:00:00"/>
    <s v="CUST0139"/>
    <x v="173"/>
    <x v="1"/>
    <s v="Maharashtra"/>
    <x v="3"/>
    <x v="4"/>
    <n v="4"/>
    <n v="14836"/>
    <n v="12236.09"/>
    <n v="2599.91"/>
    <n v="0.17524332704232945"/>
    <x v="5"/>
    <x v="0"/>
  </r>
  <r>
    <s v="ORD00368"/>
    <d v="2025-06-12T00:00:00"/>
    <s v="CUST0024"/>
    <x v="215"/>
    <x v="3"/>
    <s v="West Bengal"/>
    <x v="2"/>
    <x v="5"/>
    <n v="1"/>
    <n v="1769"/>
    <n v="1091.3900000000001"/>
    <n v="677.61"/>
    <n v="0.38304691916336914"/>
    <x v="4"/>
    <x v="1"/>
  </r>
  <r>
    <s v="ORD00369"/>
    <d v="2025-04-12T00:00:00"/>
    <s v="CUST0005"/>
    <x v="118"/>
    <x v="0"/>
    <s v="Punjab"/>
    <x v="3"/>
    <x v="10"/>
    <n v="5"/>
    <n v="14905"/>
    <n v="8584.02"/>
    <n v="6320.98"/>
    <n v="0.42408453539080843"/>
    <x v="0"/>
    <x v="1"/>
  </r>
  <r>
    <s v="ORD00370"/>
    <d v="2025-08-28T00:00:00"/>
    <s v="CUST0253"/>
    <x v="197"/>
    <x v="2"/>
    <s v="Tamil Nadu"/>
    <x v="0"/>
    <x v="8"/>
    <n v="5"/>
    <n v="11435"/>
    <n v="7880.75"/>
    <n v="3554.25"/>
    <n v="0.31082203760384786"/>
    <x v="2"/>
    <x v="1"/>
  </r>
  <r>
    <s v="ORD00371"/>
    <d v="2024-12-20T00:00:00"/>
    <s v="CUST0005"/>
    <x v="214"/>
    <x v="2"/>
    <s v="Karnataka"/>
    <x v="1"/>
    <x v="1"/>
    <n v="7"/>
    <n v="3465"/>
    <n v="2147.9499999999998"/>
    <n v="1317.05"/>
    <n v="0.38010101010101011"/>
    <x v="3"/>
    <x v="0"/>
  </r>
  <r>
    <s v="ORD00372"/>
    <d v="2024-08-31T00:00:00"/>
    <s v="CUST0215"/>
    <x v="216"/>
    <x v="0"/>
    <s v="Haryana"/>
    <x v="2"/>
    <x v="3"/>
    <n v="5"/>
    <n v="5755"/>
    <n v="3519.52"/>
    <n v="2235.48"/>
    <n v="0.38844135534317986"/>
    <x v="2"/>
    <x v="0"/>
  </r>
  <r>
    <s v="ORD00373"/>
    <d v="2024-08-25T00:00:00"/>
    <s v="CUST0267"/>
    <x v="195"/>
    <x v="0"/>
    <s v="Delhi"/>
    <x v="0"/>
    <x v="0"/>
    <n v="5"/>
    <n v="5310"/>
    <n v="2990.43"/>
    <n v="2319.5700000000002"/>
    <n v="0.43683050847457633"/>
    <x v="2"/>
    <x v="0"/>
  </r>
  <r>
    <s v="ORD00374"/>
    <d v="2025-10-14T00:00:00"/>
    <s v="CUST0202"/>
    <x v="90"/>
    <x v="3"/>
    <s v="Odisha"/>
    <x v="0"/>
    <x v="0"/>
    <n v="2"/>
    <n v="2164"/>
    <n v="1518.32"/>
    <n v="645.67999999999995"/>
    <n v="0.29837338262476892"/>
    <x v="10"/>
    <x v="1"/>
  </r>
  <r>
    <s v="ORD00375"/>
    <d v="2024-11-18T00:00:00"/>
    <s v="CUST0202"/>
    <x v="57"/>
    <x v="0"/>
    <s v="Punjab"/>
    <x v="0"/>
    <x v="2"/>
    <n v="3"/>
    <n v="6717"/>
    <n v="4282.1099999999997"/>
    <n v="2434.89"/>
    <n v="0.36249665029030814"/>
    <x v="5"/>
    <x v="0"/>
  </r>
  <r>
    <s v="ORD00376"/>
    <d v="2024-05-19T00:00:00"/>
    <s v="CUST0300"/>
    <x v="217"/>
    <x v="3"/>
    <s v="Odisha"/>
    <x v="3"/>
    <x v="10"/>
    <n v="4"/>
    <n v="3644"/>
    <n v="3035.69"/>
    <n v="608.30999999999995"/>
    <n v="0.16693468715697035"/>
    <x v="6"/>
    <x v="0"/>
  </r>
  <r>
    <s v="ORD00377"/>
    <d v="2024-05-03T00:00:00"/>
    <s v="CUST0275"/>
    <x v="93"/>
    <x v="2"/>
    <s v="Karnataka"/>
    <x v="1"/>
    <x v="11"/>
    <n v="8"/>
    <n v="32936"/>
    <n v="21217.7"/>
    <n v="11718.3"/>
    <n v="0.35579001700267182"/>
    <x v="6"/>
    <x v="0"/>
  </r>
  <r>
    <s v="ORD00378"/>
    <d v="2024-04-02T00:00:00"/>
    <s v="CUST0081"/>
    <x v="44"/>
    <x v="2"/>
    <s v="Tamil Nadu"/>
    <x v="3"/>
    <x v="10"/>
    <n v="8"/>
    <n v="19760"/>
    <n v="15921.51"/>
    <n v="3838.49"/>
    <n v="0.19425556680161943"/>
    <x v="0"/>
    <x v="0"/>
  </r>
  <r>
    <s v="ORD00379"/>
    <d v="2024-12-30T00:00:00"/>
    <s v="CUST0203"/>
    <x v="218"/>
    <x v="0"/>
    <s v="Delhi"/>
    <x v="3"/>
    <x v="4"/>
    <n v="3"/>
    <n v="3141"/>
    <n v="2397.67"/>
    <n v="743.33"/>
    <n v="0.2366539318688316"/>
    <x v="3"/>
    <x v="0"/>
  </r>
  <r>
    <s v="ORD00380"/>
    <d v="2025-02-18T00:00:00"/>
    <s v="CUST0232"/>
    <x v="203"/>
    <x v="0"/>
    <s v="Haryana"/>
    <x v="3"/>
    <x v="10"/>
    <n v="5"/>
    <n v="8620"/>
    <n v="4821.38"/>
    <n v="3798.62"/>
    <n v="0.44067517401392109"/>
    <x v="9"/>
    <x v="1"/>
  </r>
  <r>
    <s v="ORD00381"/>
    <d v="2024-03-04T00:00:00"/>
    <s v="CUST0114"/>
    <x v="151"/>
    <x v="2"/>
    <s v="Karnataka"/>
    <x v="2"/>
    <x v="9"/>
    <n v="2"/>
    <n v="2890"/>
    <n v="1694.8"/>
    <n v="1195.2"/>
    <n v="0.41356401384083047"/>
    <x v="7"/>
    <x v="0"/>
  </r>
  <r>
    <s v="ORD00382"/>
    <d v="2024-03-17T00:00:00"/>
    <s v="CUST0012"/>
    <x v="219"/>
    <x v="2"/>
    <s v="Tamil Nadu"/>
    <x v="3"/>
    <x v="4"/>
    <n v="2"/>
    <n v="4840"/>
    <n v="3994.11"/>
    <n v="845.89"/>
    <n v="0.1747706611570248"/>
    <x v="7"/>
    <x v="0"/>
  </r>
  <r>
    <s v="ORD00383"/>
    <d v="2024-12-05T00:00:00"/>
    <s v="CUST0063"/>
    <x v="130"/>
    <x v="2"/>
    <s v="Telangana"/>
    <x v="2"/>
    <x v="9"/>
    <n v="3"/>
    <n v="3159"/>
    <n v="2595.19"/>
    <n v="563.80999999999995"/>
    <n v="0.17847736625514402"/>
    <x v="3"/>
    <x v="0"/>
  </r>
  <r>
    <s v="ORD00384"/>
    <d v="2025-02-08T00:00:00"/>
    <s v="CUST0255"/>
    <x v="153"/>
    <x v="1"/>
    <s v="Maharashtra"/>
    <x v="1"/>
    <x v="11"/>
    <n v="10"/>
    <n v="38480"/>
    <n v="30649.54"/>
    <n v="7830.46"/>
    <n v="0.20349428274428275"/>
    <x v="9"/>
    <x v="1"/>
  </r>
  <r>
    <s v="ORD00385"/>
    <d v="2024-07-10T00:00:00"/>
    <s v="CUST0141"/>
    <x v="220"/>
    <x v="1"/>
    <s v="Rajasthan"/>
    <x v="2"/>
    <x v="3"/>
    <n v="3"/>
    <n v="9597"/>
    <n v="5896.54"/>
    <n v="3700.46"/>
    <n v="0.38558507867041786"/>
    <x v="11"/>
    <x v="0"/>
  </r>
  <r>
    <s v="ORD00386"/>
    <d v="2025-05-25T00:00:00"/>
    <s v="CUST0211"/>
    <x v="221"/>
    <x v="1"/>
    <s v="Maharashtra"/>
    <x v="1"/>
    <x v="1"/>
    <n v="10"/>
    <n v="23130"/>
    <n v="17212.96"/>
    <n v="5917.04"/>
    <n v="0.25581668828361437"/>
    <x v="6"/>
    <x v="1"/>
  </r>
  <r>
    <s v="ORD00387"/>
    <d v="2024-07-23T00:00:00"/>
    <s v="CUST0270"/>
    <x v="22"/>
    <x v="1"/>
    <s v="Maharashtra"/>
    <x v="1"/>
    <x v="6"/>
    <n v="5"/>
    <n v="17185"/>
    <n v="10159.27"/>
    <n v="7025.73"/>
    <n v="0.40882921152167584"/>
    <x v="11"/>
    <x v="0"/>
  </r>
  <r>
    <s v="ORD00388"/>
    <d v="2025-05-11T00:00:00"/>
    <s v="CUST0177"/>
    <x v="60"/>
    <x v="0"/>
    <s v="Punjab"/>
    <x v="0"/>
    <x v="0"/>
    <n v="6"/>
    <n v="25374"/>
    <n v="18100.68"/>
    <n v="7273.32"/>
    <n v="0.2866445968314022"/>
    <x v="6"/>
    <x v="1"/>
  </r>
  <r>
    <s v="ORD00389"/>
    <d v="2024-08-12T00:00:00"/>
    <s v="CUST0016"/>
    <x v="220"/>
    <x v="3"/>
    <s v="Odisha"/>
    <x v="3"/>
    <x v="10"/>
    <n v="3"/>
    <n v="1539"/>
    <n v="993.68"/>
    <n v="545.32000000000005"/>
    <n v="0.35433398310591296"/>
    <x v="2"/>
    <x v="0"/>
  </r>
  <r>
    <s v="ORD00390"/>
    <d v="2024-04-12T00:00:00"/>
    <s v="CUST0127"/>
    <x v="66"/>
    <x v="0"/>
    <s v="Punjab"/>
    <x v="2"/>
    <x v="5"/>
    <n v="6"/>
    <n v="13236"/>
    <n v="11147.28"/>
    <n v="2088.7199999999998"/>
    <n v="0.15780598368087034"/>
    <x v="0"/>
    <x v="0"/>
  </r>
  <r>
    <s v="ORD00391"/>
    <d v="2025-02-01T00:00:00"/>
    <s v="CUST0182"/>
    <x v="127"/>
    <x v="3"/>
    <s v="Bihar"/>
    <x v="0"/>
    <x v="0"/>
    <n v="1"/>
    <n v="2097"/>
    <n v="1515.52"/>
    <n v="581.48"/>
    <n v="0.27729136862184073"/>
    <x v="9"/>
    <x v="1"/>
  </r>
  <r>
    <s v="ORD00392"/>
    <d v="2024-01-29T00:00:00"/>
    <s v="CUST0181"/>
    <x v="121"/>
    <x v="2"/>
    <s v="Karnataka"/>
    <x v="0"/>
    <x v="8"/>
    <n v="6"/>
    <n v="19434"/>
    <n v="16017.39"/>
    <n v="3416.61"/>
    <n v="0.17580580426057427"/>
    <x v="8"/>
    <x v="0"/>
  </r>
  <r>
    <s v="ORD00393"/>
    <d v="2025-05-17T00:00:00"/>
    <s v="CUST0020"/>
    <x v="120"/>
    <x v="2"/>
    <s v="Telangana"/>
    <x v="3"/>
    <x v="7"/>
    <n v="8"/>
    <n v="37928"/>
    <n v="24376.93"/>
    <n v="13551.07"/>
    <n v="0.35728406454334527"/>
    <x v="6"/>
    <x v="1"/>
  </r>
  <r>
    <s v="ORD00394"/>
    <d v="2024-01-01T00:00:00"/>
    <s v="CUST0170"/>
    <x v="222"/>
    <x v="0"/>
    <s v="Delhi"/>
    <x v="0"/>
    <x v="8"/>
    <n v="4"/>
    <n v="1852"/>
    <n v="1311.09"/>
    <n v="540.91"/>
    <n v="0.2920680345572354"/>
    <x v="8"/>
    <x v="0"/>
  </r>
  <r>
    <s v="ORD00395"/>
    <d v="2024-05-31T00:00:00"/>
    <s v="CUST0073"/>
    <x v="159"/>
    <x v="2"/>
    <s v="Tamil Nadu"/>
    <x v="0"/>
    <x v="0"/>
    <n v="3"/>
    <n v="8850"/>
    <n v="5025.62"/>
    <n v="3824.38"/>
    <n v="0.43213333333333337"/>
    <x v="6"/>
    <x v="0"/>
  </r>
  <r>
    <s v="ORD00396"/>
    <d v="2024-11-26T00:00:00"/>
    <s v="CUST0070"/>
    <x v="74"/>
    <x v="3"/>
    <s v="West Bengal"/>
    <x v="3"/>
    <x v="4"/>
    <n v="7"/>
    <n v="7889"/>
    <n v="5135.49"/>
    <n v="2753.51"/>
    <n v="0.34903156293573334"/>
    <x v="5"/>
    <x v="0"/>
  </r>
  <r>
    <s v="ORD00397"/>
    <d v="2025-07-29T00:00:00"/>
    <s v="CUST0183"/>
    <x v="223"/>
    <x v="1"/>
    <s v="Rajasthan"/>
    <x v="2"/>
    <x v="9"/>
    <n v="6"/>
    <n v="10362"/>
    <n v="7897.45"/>
    <n v="2464.5500000000002"/>
    <n v="0.23784501061571128"/>
    <x v="11"/>
    <x v="1"/>
  </r>
  <r>
    <s v="ORD00398"/>
    <d v="2024-01-02T00:00:00"/>
    <s v="CUST0294"/>
    <x v="224"/>
    <x v="2"/>
    <s v="Tamil Nadu"/>
    <x v="3"/>
    <x v="10"/>
    <n v="5"/>
    <n v="6715"/>
    <n v="4051.24"/>
    <n v="2663.76"/>
    <n v="0.39668801191362624"/>
    <x v="8"/>
    <x v="0"/>
  </r>
  <r>
    <s v="ORD00399"/>
    <d v="2024-04-16T00:00:00"/>
    <s v="CUST0255"/>
    <x v="225"/>
    <x v="0"/>
    <s v="Delhi"/>
    <x v="0"/>
    <x v="8"/>
    <n v="6"/>
    <n v="12654"/>
    <n v="9387.93"/>
    <n v="3266.07"/>
    <n v="0.25810573731626363"/>
    <x v="0"/>
    <x v="0"/>
  </r>
  <r>
    <s v="ORD00400"/>
    <d v="2024-06-20T00:00:00"/>
    <s v="CUST0046"/>
    <x v="214"/>
    <x v="3"/>
    <s v="Bihar"/>
    <x v="1"/>
    <x v="6"/>
    <n v="4"/>
    <n v="12564"/>
    <n v="10612.99"/>
    <n v="1951.01"/>
    <n v="0.1552857370264247"/>
    <x v="4"/>
    <x v="0"/>
  </r>
  <r>
    <s v="ORD00401"/>
    <d v="2024-12-24T00:00:00"/>
    <s v="CUST0132"/>
    <x v="217"/>
    <x v="1"/>
    <s v="Maharashtra"/>
    <x v="3"/>
    <x v="10"/>
    <n v="4"/>
    <n v="9376"/>
    <n v="7106.57"/>
    <n v="2269.4299999999998"/>
    <n v="0.24204671501706482"/>
    <x v="3"/>
    <x v="0"/>
  </r>
  <r>
    <s v="ORD00402"/>
    <d v="2025-02-27T00:00:00"/>
    <s v="CUST0253"/>
    <x v="226"/>
    <x v="0"/>
    <s v="Delhi"/>
    <x v="2"/>
    <x v="3"/>
    <n v="8"/>
    <n v="29896"/>
    <n v="25134.48"/>
    <n v="4761.5200000000004"/>
    <n v="0.15926946748728929"/>
    <x v="9"/>
    <x v="1"/>
  </r>
  <r>
    <s v="ORD00403"/>
    <d v="2025-08-14T00:00:00"/>
    <s v="CUST0116"/>
    <x v="6"/>
    <x v="3"/>
    <s v="Bihar"/>
    <x v="2"/>
    <x v="3"/>
    <n v="2"/>
    <n v="8454"/>
    <n v="6650.08"/>
    <n v="1803.92"/>
    <n v="0.21338064821386327"/>
    <x v="2"/>
    <x v="1"/>
  </r>
  <r>
    <s v="ORD00404"/>
    <d v="2024-04-17T00:00:00"/>
    <s v="CUST0038"/>
    <x v="32"/>
    <x v="1"/>
    <s v="Maharashtra"/>
    <x v="1"/>
    <x v="1"/>
    <n v="5"/>
    <n v="2320"/>
    <n v="1497.83"/>
    <n v="822.17"/>
    <n v="0.35438362068965518"/>
    <x v="0"/>
    <x v="0"/>
  </r>
  <r>
    <s v="ORD00405"/>
    <d v="2024-04-05T00:00:00"/>
    <s v="CUST0174"/>
    <x v="88"/>
    <x v="2"/>
    <s v="Tamil Nadu"/>
    <x v="1"/>
    <x v="11"/>
    <n v="2"/>
    <n v="9562"/>
    <n v="7960.85"/>
    <n v="1601.15"/>
    <n v="0.16744927839364152"/>
    <x v="0"/>
    <x v="0"/>
  </r>
  <r>
    <s v="ORD00406"/>
    <d v="2024-04-13T00:00:00"/>
    <s v="CUST0170"/>
    <x v="201"/>
    <x v="0"/>
    <s v="Punjab"/>
    <x v="0"/>
    <x v="2"/>
    <n v="3"/>
    <n v="11568"/>
    <n v="6907.61"/>
    <n v="4660.3900000000003"/>
    <n v="0.40286912171507611"/>
    <x v="0"/>
    <x v="0"/>
  </r>
  <r>
    <s v="ORD00407"/>
    <d v="2024-10-15T00:00:00"/>
    <s v="CUST0153"/>
    <x v="181"/>
    <x v="2"/>
    <s v="Tamil Nadu"/>
    <x v="0"/>
    <x v="0"/>
    <n v="9"/>
    <n v="42516"/>
    <n v="26767.200000000001"/>
    <n v="15748.8"/>
    <n v="0.37042054755856618"/>
    <x v="10"/>
    <x v="0"/>
  </r>
  <r>
    <s v="ORD00408"/>
    <d v="2024-06-06T00:00:00"/>
    <s v="CUST0028"/>
    <x v="208"/>
    <x v="0"/>
    <s v="Delhi"/>
    <x v="2"/>
    <x v="3"/>
    <n v="10"/>
    <n v="48020"/>
    <n v="38509.94"/>
    <n v="9510.06"/>
    <n v="0.19804373177842566"/>
    <x v="4"/>
    <x v="0"/>
  </r>
  <r>
    <s v="ORD00409"/>
    <d v="2024-01-27T00:00:00"/>
    <s v="CUST0106"/>
    <x v="94"/>
    <x v="0"/>
    <s v="Punjab"/>
    <x v="1"/>
    <x v="6"/>
    <n v="5"/>
    <n v="21170"/>
    <n v="12911.63"/>
    <n v="8258.3700000000008"/>
    <n v="0.39009777987718475"/>
    <x v="8"/>
    <x v="0"/>
  </r>
  <r>
    <s v="ORD00410"/>
    <d v="2025-04-27T00:00:00"/>
    <s v="CUST0251"/>
    <x v="102"/>
    <x v="3"/>
    <s v="West Bengal"/>
    <x v="2"/>
    <x v="9"/>
    <n v="2"/>
    <n v="5652"/>
    <n v="4439.4399999999996"/>
    <n v="1212.56"/>
    <n v="0.21453644727530077"/>
    <x v="0"/>
    <x v="1"/>
  </r>
  <r>
    <s v="ORD00411"/>
    <d v="2025-01-25T00:00:00"/>
    <s v="CUST0190"/>
    <x v="146"/>
    <x v="0"/>
    <s v="Haryana"/>
    <x v="2"/>
    <x v="5"/>
    <n v="7"/>
    <n v="12698"/>
    <n v="8397.27"/>
    <n v="4300.7299999999996"/>
    <n v="0.3386934950385887"/>
    <x v="8"/>
    <x v="1"/>
  </r>
  <r>
    <s v="ORD00412"/>
    <d v="2024-10-02T00:00:00"/>
    <s v="CUST0289"/>
    <x v="131"/>
    <x v="1"/>
    <s v="Maharashtra"/>
    <x v="3"/>
    <x v="10"/>
    <n v="8"/>
    <n v="32872"/>
    <n v="20677.150000000001"/>
    <n v="12194.85"/>
    <n v="0.37097986128011684"/>
    <x v="10"/>
    <x v="0"/>
  </r>
  <r>
    <s v="ORD00413"/>
    <d v="2025-07-08T00:00:00"/>
    <s v="CUST0212"/>
    <x v="227"/>
    <x v="2"/>
    <s v="Telangana"/>
    <x v="0"/>
    <x v="2"/>
    <n v="2"/>
    <n v="2004"/>
    <n v="1503.89"/>
    <n v="500.11"/>
    <n v="0.2495558882235529"/>
    <x v="11"/>
    <x v="1"/>
  </r>
  <r>
    <s v="ORD00414"/>
    <d v="2025-05-01T00:00:00"/>
    <s v="CUST0294"/>
    <x v="137"/>
    <x v="0"/>
    <s v="Punjab"/>
    <x v="2"/>
    <x v="5"/>
    <n v="7"/>
    <n v="32802"/>
    <n v="24802.26"/>
    <n v="7999.74"/>
    <n v="0.24387964148527527"/>
    <x v="6"/>
    <x v="1"/>
  </r>
  <r>
    <s v="ORD00415"/>
    <d v="2025-06-13T00:00:00"/>
    <s v="CUST0293"/>
    <x v="160"/>
    <x v="1"/>
    <s v="Gujarat"/>
    <x v="1"/>
    <x v="6"/>
    <n v="7"/>
    <n v="4088"/>
    <n v="2864.18"/>
    <n v="1223.82"/>
    <n v="0.2993688845401174"/>
    <x v="4"/>
    <x v="1"/>
  </r>
  <r>
    <s v="ORD00416"/>
    <d v="2024-05-09T00:00:00"/>
    <s v="CUST0022"/>
    <x v="21"/>
    <x v="0"/>
    <s v="Punjab"/>
    <x v="1"/>
    <x v="11"/>
    <n v="3"/>
    <n v="6105"/>
    <n v="4838.45"/>
    <n v="1266.55"/>
    <n v="0.20746109746109745"/>
    <x v="6"/>
    <x v="0"/>
  </r>
  <r>
    <s v="ORD00417"/>
    <d v="2024-09-21T00:00:00"/>
    <s v="CUST0164"/>
    <x v="143"/>
    <x v="0"/>
    <s v="Haryana"/>
    <x v="2"/>
    <x v="3"/>
    <n v="4"/>
    <n v="6044"/>
    <n v="4836.6000000000004"/>
    <n v="1207.4000000000001"/>
    <n v="0.1997683653209795"/>
    <x v="1"/>
    <x v="0"/>
  </r>
  <r>
    <s v="ORD00418"/>
    <d v="2024-10-09T00:00:00"/>
    <s v="CUST0267"/>
    <x v="28"/>
    <x v="0"/>
    <s v="Punjab"/>
    <x v="2"/>
    <x v="5"/>
    <n v="7"/>
    <n v="33754"/>
    <n v="21867.13"/>
    <n v="11886.87"/>
    <n v="0.35216181785862416"/>
    <x v="10"/>
    <x v="0"/>
  </r>
  <r>
    <s v="ORD00419"/>
    <d v="2024-04-25T00:00:00"/>
    <s v="CUST0213"/>
    <x v="228"/>
    <x v="0"/>
    <s v="Haryana"/>
    <x v="0"/>
    <x v="8"/>
    <n v="10"/>
    <n v="45800"/>
    <n v="35930.36"/>
    <n v="9869.64"/>
    <n v="0.2154943231441048"/>
    <x v="0"/>
    <x v="0"/>
  </r>
  <r>
    <s v="ORD00420"/>
    <d v="2025-07-30T00:00:00"/>
    <s v="CUST0052"/>
    <x v="156"/>
    <x v="2"/>
    <s v="Telangana"/>
    <x v="0"/>
    <x v="8"/>
    <n v="10"/>
    <n v="11200"/>
    <n v="9267.76"/>
    <n v="1932.24"/>
    <n v="0.17252142857142858"/>
    <x v="11"/>
    <x v="1"/>
  </r>
  <r>
    <s v="ORD00421"/>
    <d v="2025-04-29T00:00:00"/>
    <s v="CUST0020"/>
    <x v="127"/>
    <x v="3"/>
    <s v="Odisha"/>
    <x v="3"/>
    <x v="10"/>
    <n v="7"/>
    <n v="29939"/>
    <n v="21604.19"/>
    <n v="8334.81"/>
    <n v="0.27839306590066465"/>
    <x v="0"/>
    <x v="1"/>
  </r>
  <r>
    <s v="ORD00422"/>
    <d v="2024-12-05T00:00:00"/>
    <s v="CUST0122"/>
    <x v="229"/>
    <x v="3"/>
    <s v="Odisha"/>
    <x v="1"/>
    <x v="11"/>
    <n v="10"/>
    <n v="35900"/>
    <n v="20162.689999999999"/>
    <n v="15737.31"/>
    <n v="0.43836518105849581"/>
    <x v="3"/>
    <x v="0"/>
  </r>
  <r>
    <s v="ORD00423"/>
    <d v="2024-11-06T00:00:00"/>
    <s v="CUST0160"/>
    <x v="220"/>
    <x v="1"/>
    <s v="Gujarat"/>
    <x v="3"/>
    <x v="4"/>
    <n v="1"/>
    <n v="3067"/>
    <n v="2438.9299999999998"/>
    <n v="628.07000000000005"/>
    <n v="0.20478317574176721"/>
    <x v="5"/>
    <x v="0"/>
  </r>
  <r>
    <s v="ORD00424"/>
    <d v="2025-03-29T00:00:00"/>
    <s v="CUST0165"/>
    <x v="63"/>
    <x v="1"/>
    <s v="Rajasthan"/>
    <x v="0"/>
    <x v="2"/>
    <n v="2"/>
    <n v="4334"/>
    <n v="2558.4299999999998"/>
    <n v="1775.57"/>
    <n v="0.40968389478541761"/>
    <x v="7"/>
    <x v="1"/>
  </r>
  <r>
    <s v="ORD00425"/>
    <d v="2025-02-20T00:00:00"/>
    <s v="CUST0249"/>
    <x v="213"/>
    <x v="1"/>
    <s v="Rajasthan"/>
    <x v="0"/>
    <x v="2"/>
    <n v="2"/>
    <n v="3678"/>
    <n v="2510.29"/>
    <n v="1167.71"/>
    <n v="0.31748504622077217"/>
    <x v="9"/>
    <x v="1"/>
  </r>
  <r>
    <s v="ORD00426"/>
    <d v="2025-06-02T00:00:00"/>
    <s v="CUST0207"/>
    <x v="176"/>
    <x v="3"/>
    <s v="West Bengal"/>
    <x v="2"/>
    <x v="5"/>
    <n v="3"/>
    <n v="2511"/>
    <n v="1615.42"/>
    <n v="895.58"/>
    <n v="0.35666268418956593"/>
    <x v="4"/>
    <x v="1"/>
  </r>
  <r>
    <s v="ORD00427"/>
    <d v="2025-04-12T00:00:00"/>
    <s v="CUST0026"/>
    <x v="208"/>
    <x v="0"/>
    <s v="Delhi"/>
    <x v="3"/>
    <x v="7"/>
    <n v="4"/>
    <n v="3088"/>
    <n v="1929.53"/>
    <n v="1158.47"/>
    <n v="0.37515220207253885"/>
    <x v="0"/>
    <x v="1"/>
  </r>
  <r>
    <s v="ORD00428"/>
    <d v="2024-05-06T00:00:00"/>
    <s v="CUST0016"/>
    <x v="66"/>
    <x v="2"/>
    <s v="Tamil Nadu"/>
    <x v="3"/>
    <x v="4"/>
    <n v="8"/>
    <n v="35496"/>
    <n v="23749.759999999998"/>
    <n v="11746.24"/>
    <n v="0.33091728645481178"/>
    <x v="6"/>
    <x v="0"/>
  </r>
  <r>
    <s v="ORD00429"/>
    <d v="2025-04-30T00:00:00"/>
    <s v="CUST0283"/>
    <x v="134"/>
    <x v="3"/>
    <s v="Odisha"/>
    <x v="0"/>
    <x v="8"/>
    <n v="8"/>
    <n v="14032"/>
    <n v="11761.01"/>
    <n v="2270.9899999999998"/>
    <n v="0.1618436431014823"/>
    <x v="0"/>
    <x v="1"/>
  </r>
  <r>
    <s v="ORD00430"/>
    <d v="2024-02-20T00:00:00"/>
    <s v="CUST0084"/>
    <x v="230"/>
    <x v="3"/>
    <s v="West Bengal"/>
    <x v="3"/>
    <x v="10"/>
    <n v="2"/>
    <n v="5270"/>
    <n v="2941.9"/>
    <n v="2328.1"/>
    <n v="0.44176470588235295"/>
    <x v="9"/>
    <x v="0"/>
  </r>
  <r>
    <s v="ORD00431"/>
    <d v="2025-02-23T00:00:00"/>
    <s v="CUST0263"/>
    <x v="142"/>
    <x v="2"/>
    <s v="Karnataka"/>
    <x v="0"/>
    <x v="2"/>
    <n v="4"/>
    <n v="7972"/>
    <n v="5028.1400000000003"/>
    <n v="2943.86"/>
    <n v="0.36927496236828905"/>
    <x v="9"/>
    <x v="1"/>
  </r>
  <r>
    <s v="ORD00432"/>
    <d v="2025-09-14T00:00:00"/>
    <s v="CUST0157"/>
    <x v="129"/>
    <x v="0"/>
    <s v="Punjab"/>
    <x v="1"/>
    <x v="11"/>
    <n v="3"/>
    <n v="1107"/>
    <n v="683.16"/>
    <n v="423.84"/>
    <n v="0.38287262872628725"/>
    <x v="1"/>
    <x v="1"/>
  </r>
  <r>
    <s v="ORD00433"/>
    <d v="2024-11-05T00:00:00"/>
    <s v="CUST0267"/>
    <x v="144"/>
    <x v="1"/>
    <s v="Gujarat"/>
    <x v="3"/>
    <x v="4"/>
    <n v="8"/>
    <n v="18912"/>
    <n v="11639.63"/>
    <n v="7272.37"/>
    <n v="0.38453733079526226"/>
    <x v="5"/>
    <x v="0"/>
  </r>
  <r>
    <s v="ORD00434"/>
    <d v="2025-09-15T00:00:00"/>
    <s v="CUST0145"/>
    <x v="154"/>
    <x v="0"/>
    <s v="Delhi"/>
    <x v="2"/>
    <x v="5"/>
    <n v="6"/>
    <n v="29394"/>
    <n v="21875.09"/>
    <n v="7518.91"/>
    <n v="0.25579744165475948"/>
    <x v="1"/>
    <x v="1"/>
  </r>
  <r>
    <s v="ORD00435"/>
    <d v="2024-10-10T00:00:00"/>
    <s v="CUST0134"/>
    <x v="154"/>
    <x v="0"/>
    <s v="Punjab"/>
    <x v="1"/>
    <x v="6"/>
    <n v="6"/>
    <n v="15384"/>
    <n v="11417.67"/>
    <n v="3966.33"/>
    <n v="0.25782176287051484"/>
    <x v="10"/>
    <x v="0"/>
  </r>
  <r>
    <s v="ORD00436"/>
    <d v="2025-09-06T00:00:00"/>
    <s v="CUST0207"/>
    <x v="231"/>
    <x v="2"/>
    <s v="Karnataka"/>
    <x v="2"/>
    <x v="5"/>
    <n v="4"/>
    <n v="3060"/>
    <n v="2422.38"/>
    <n v="637.62"/>
    <n v="0.20837254901960783"/>
    <x v="1"/>
    <x v="1"/>
  </r>
  <r>
    <s v="ORD00437"/>
    <d v="2025-03-04T00:00:00"/>
    <s v="CUST0208"/>
    <x v="232"/>
    <x v="2"/>
    <s v="Telangana"/>
    <x v="1"/>
    <x v="1"/>
    <n v="8"/>
    <n v="21768"/>
    <n v="13666.56"/>
    <n v="8101.44"/>
    <n v="0.37217199558985664"/>
    <x v="7"/>
    <x v="1"/>
  </r>
  <r>
    <s v="ORD00438"/>
    <d v="2025-12-31T00:00:00"/>
    <s v="CUST0114"/>
    <x v="233"/>
    <x v="0"/>
    <s v="Haryana"/>
    <x v="0"/>
    <x v="0"/>
    <n v="10"/>
    <n v="18550"/>
    <n v="12112.22"/>
    <n v="6437.78"/>
    <n v="0.34705013477088947"/>
    <x v="3"/>
    <x v="1"/>
  </r>
  <r>
    <s v="ORD00439"/>
    <d v="2025-11-04T00:00:00"/>
    <s v="CUST0286"/>
    <x v="119"/>
    <x v="1"/>
    <s v="Rajasthan"/>
    <x v="3"/>
    <x v="4"/>
    <n v="9"/>
    <n v="24831"/>
    <n v="19954.830000000002"/>
    <n v="4876.17"/>
    <n v="0.19637429020176392"/>
    <x v="5"/>
    <x v="1"/>
  </r>
  <r>
    <s v="ORD00440"/>
    <d v="2025-07-26T00:00:00"/>
    <s v="CUST0094"/>
    <x v="214"/>
    <x v="3"/>
    <s v="West Bengal"/>
    <x v="2"/>
    <x v="9"/>
    <n v="3"/>
    <n v="7254"/>
    <n v="5567.85"/>
    <n v="1686.15"/>
    <n v="0.23244416873449134"/>
    <x v="11"/>
    <x v="1"/>
  </r>
  <r>
    <s v="ORD00441"/>
    <d v="2024-12-05T00:00:00"/>
    <s v="CUST0191"/>
    <x v="183"/>
    <x v="0"/>
    <s v="Delhi"/>
    <x v="3"/>
    <x v="4"/>
    <n v="4"/>
    <n v="11260"/>
    <n v="7613.36"/>
    <n v="3646.64"/>
    <n v="0.32385790408525755"/>
    <x v="3"/>
    <x v="0"/>
  </r>
  <r>
    <s v="ORD00442"/>
    <d v="2025-08-20T00:00:00"/>
    <s v="CUST0298"/>
    <x v="19"/>
    <x v="3"/>
    <s v="Odisha"/>
    <x v="1"/>
    <x v="6"/>
    <n v="8"/>
    <n v="5912"/>
    <n v="4788.24"/>
    <n v="1123.76"/>
    <n v="0.19008119079837618"/>
    <x v="2"/>
    <x v="1"/>
  </r>
  <r>
    <s v="ORD00443"/>
    <d v="2025-02-27T00:00:00"/>
    <s v="CUST0028"/>
    <x v="161"/>
    <x v="1"/>
    <s v="Maharashtra"/>
    <x v="2"/>
    <x v="5"/>
    <n v="2"/>
    <n v="6852"/>
    <n v="4857.74"/>
    <n v="1994.26"/>
    <n v="0.29104786923525977"/>
    <x v="9"/>
    <x v="1"/>
  </r>
  <r>
    <s v="ORD00444"/>
    <d v="2025-04-13T00:00:00"/>
    <s v="CUST0074"/>
    <x v="189"/>
    <x v="2"/>
    <s v="Karnataka"/>
    <x v="3"/>
    <x v="4"/>
    <n v="7"/>
    <n v="34748"/>
    <n v="28418.77"/>
    <n v="6329.23"/>
    <n v="0.18214659836537353"/>
    <x v="0"/>
    <x v="1"/>
  </r>
  <r>
    <s v="ORD00445"/>
    <d v="2024-02-29T00:00:00"/>
    <s v="CUST0003"/>
    <x v="110"/>
    <x v="2"/>
    <s v="Karnataka"/>
    <x v="2"/>
    <x v="9"/>
    <n v="6"/>
    <n v="10488"/>
    <n v="6754.53"/>
    <n v="3733.47"/>
    <n v="0.3559754004576659"/>
    <x v="9"/>
    <x v="0"/>
  </r>
  <r>
    <s v="ORD00446"/>
    <d v="2024-03-31T00:00:00"/>
    <s v="CUST0067"/>
    <x v="62"/>
    <x v="3"/>
    <s v="West Bengal"/>
    <x v="1"/>
    <x v="11"/>
    <n v="10"/>
    <n v="15970"/>
    <n v="11129.06"/>
    <n v="4840.9399999999996"/>
    <n v="0.3031271133375078"/>
    <x v="7"/>
    <x v="0"/>
  </r>
  <r>
    <s v="ORD00447"/>
    <d v="2025-06-30T00:00:00"/>
    <s v="CUST0103"/>
    <x v="115"/>
    <x v="1"/>
    <s v="Gujarat"/>
    <x v="2"/>
    <x v="3"/>
    <n v="8"/>
    <n v="27520"/>
    <n v="15174.55"/>
    <n v="12345.45"/>
    <n v="0.44859920058139535"/>
    <x v="4"/>
    <x v="1"/>
  </r>
  <r>
    <s v="ORD00448"/>
    <d v="2025-10-03T00:00:00"/>
    <s v="CUST0128"/>
    <x v="164"/>
    <x v="0"/>
    <s v="Punjab"/>
    <x v="2"/>
    <x v="5"/>
    <n v="4"/>
    <n v="1784"/>
    <n v="1343.4"/>
    <n v="440.6"/>
    <n v="0.24697309417040361"/>
    <x v="10"/>
    <x v="1"/>
  </r>
  <r>
    <s v="ORD00449"/>
    <d v="2024-11-09T00:00:00"/>
    <s v="CUST0086"/>
    <x v="219"/>
    <x v="3"/>
    <s v="Odisha"/>
    <x v="1"/>
    <x v="11"/>
    <n v="2"/>
    <n v="6884"/>
    <n v="4825.6899999999996"/>
    <n v="2058.31"/>
    <n v="0.29899912841371296"/>
    <x v="5"/>
    <x v="0"/>
  </r>
  <r>
    <s v="ORD00450"/>
    <d v="2024-12-11T00:00:00"/>
    <s v="CUST0223"/>
    <x v="177"/>
    <x v="0"/>
    <s v="Punjab"/>
    <x v="3"/>
    <x v="10"/>
    <n v="8"/>
    <n v="36496"/>
    <n v="26602.33"/>
    <n v="9893.67"/>
    <n v="0.27108916045594039"/>
    <x v="3"/>
    <x v="0"/>
  </r>
  <r>
    <s v="ORD00451"/>
    <d v="2025-02-17T00:00:00"/>
    <s v="CUST0010"/>
    <x v="227"/>
    <x v="3"/>
    <s v="Odisha"/>
    <x v="3"/>
    <x v="4"/>
    <n v="4"/>
    <n v="6600"/>
    <n v="5507.21"/>
    <n v="1092.79"/>
    <n v="0.16557424242424243"/>
    <x v="9"/>
    <x v="1"/>
  </r>
  <r>
    <s v="ORD00452"/>
    <d v="2024-06-22T00:00:00"/>
    <s v="CUST0064"/>
    <x v="100"/>
    <x v="2"/>
    <s v="Telangana"/>
    <x v="1"/>
    <x v="11"/>
    <n v="4"/>
    <n v="1916"/>
    <n v="1392.76"/>
    <n v="523.24"/>
    <n v="0.27308977035490606"/>
    <x v="4"/>
    <x v="0"/>
  </r>
  <r>
    <s v="ORD00453"/>
    <d v="2025-08-31T00:00:00"/>
    <s v="CUST0025"/>
    <x v="217"/>
    <x v="0"/>
    <s v="Punjab"/>
    <x v="0"/>
    <x v="2"/>
    <n v="5"/>
    <n v="23400"/>
    <n v="17244.41"/>
    <n v="6155.59"/>
    <n v="0.26305940170940173"/>
    <x v="2"/>
    <x v="1"/>
  </r>
  <r>
    <s v="ORD00454"/>
    <d v="2024-05-06T00:00:00"/>
    <s v="CUST0281"/>
    <x v="186"/>
    <x v="0"/>
    <s v="Delhi"/>
    <x v="0"/>
    <x v="0"/>
    <n v="2"/>
    <n v="7428"/>
    <n v="5075.51"/>
    <n v="2352.4899999999998"/>
    <n v="0.3167057081313947"/>
    <x v="6"/>
    <x v="0"/>
  </r>
  <r>
    <s v="ORD00455"/>
    <d v="2025-11-08T00:00:00"/>
    <s v="CUST0052"/>
    <x v="234"/>
    <x v="1"/>
    <s v="Rajasthan"/>
    <x v="1"/>
    <x v="11"/>
    <n v="4"/>
    <n v="1504"/>
    <n v="963.06"/>
    <n v="540.94000000000005"/>
    <n v="0.35966755319148941"/>
    <x v="5"/>
    <x v="1"/>
  </r>
  <r>
    <s v="ORD00456"/>
    <d v="2024-04-17T00:00:00"/>
    <s v="CUST0262"/>
    <x v="235"/>
    <x v="3"/>
    <s v="Bihar"/>
    <x v="0"/>
    <x v="8"/>
    <n v="3"/>
    <n v="11193"/>
    <n v="8945.4"/>
    <n v="2247.6"/>
    <n v="0.20080407397480568"/>
    <x v="0"/>
    <x v="0"/>
  </r>
  <r>
    <s v="ORD00457"/>
    <d v="2024-09-26T00:00:00"/>
    <s v="CUST0268"/>
    <x v="222"/>
    <x v="3"/>
    <s v="West Bengal"/>
    <x v="1"/>
    <x v="6"/>
    <n v="8"/>
    <n v="15416"/>
    <n v="11295.31"/>
    <n v="4120.6899999999996"/>
    <n v="0.2672995588998443"/>
    <x v="1"/>
    <x v="0"/>
  </r>
  <r>
    <s v="ORD00458"/>
    <d v="2025-05-23T00:00:00"/>
    <s v="CUST0107"/>
    <x v="236"/>
    <x v="3"/>
    <s v="Bihar"/>
    <x v="2"/>
    <x v="3"/>
    <n v="5"/>
    <n v="8065"/>
    <n v="4531.09"/>
    <n v="3533.91"/>
    <n v="0.43817854928704275"/>
    <x v="6"/>
    <x v="1"/>
  </r>
  <r>
    <s v="ORD00459"/>
    <d v="2025-08-10T00:00:00"/>
    <s v="CUST0253"/>
    <x v="228"/>
    <x v="3"/>
    <s v="West Bengal"/>
    <x v="1"/>
    <x v="1"/>
    <n v="1"/>
    <n v="1029"/>
    <n v="845.9"/>
    <n v="183.1"/>
    <n v="0.17793974732750242"/>
    <x v="2"/>
    <x v="1"/>
  </r>
  <r>
    <s v="ORD00460"/>
    <d v="2025-04-12T00:00:00"/>
    <s v="CUST0152"/>
    <x v="102"/>
    <x v="0"/>
    <s v="Haryana"/>
    <x v="1"/>
    <x v="6"/>
    <n v="2"/>
    <n v="4792"/>
    <n v="3561.9"/>
    <n v="1230.0999999999999"/>
    <n v="0.25669866444073453"/>
    <x v="0"/>
    <x v="1"/>
  </r>
  <r>
    <s v="ORD00461"/>
    <d v="2025-01-03T00:00:00"/>
    <s v="CUST0161"/>
    <x v="237"/>
    <x v="1"/>
    <s v="Maharashtra"/>
    <x v="1"/>
    <x v="6"/>
    <n v="3"/>
    <n v="1869"/>
    <n v="1505.81"/>
    <n v="363.19"/>
    <n v="0.19432316746923489"/>
    <x v="8"/>
    <x v="1"/>
  </r>
  <r>
    <s v="ORD00462"/>
    <d v="2024-06-23T00:00:00"/>
    <s v="CUST0169"/>
    <x v="93"/>
    <x v="0"/>
    <s v="Delhi"/>
    <x v="1"/>
    <x v="1"/>
    <n v="1"/>
    <n v="1433"/>
    <n v="1073.33"/>
    <n v="359.67"/>
    <n v="0.25099092812281926"/>
    <x v="4"/>
    <x v="0"/>
  </r>
  <r>
    <s v="ORD00463"/>
    <d v="2024-07-06T00:00:00"/>
    <s v="CUST0059"/>
    <x v="215"/>
    <x v="1"/>
    <s v="Rajasthan"/>
    <x v="3"/>
    <x v="10"/>
    <n v="2"/>
    <n v="6704"/>
    <n v="5326.26"/>
    <n v="1377.74"/>
    <n v="0.20551014319809069"/>
    <x v="11"/>
    <x v="0"/>
  </r>
  <r>
    <s v="ORD00464"/>
    <d v="2025-10-26T00:00:00"/>
    <s v="CUST0086"/>
    <x v="238"/>
    <x v="1"/>
    <s v="Gujarat"/>
    <x v="3"/>
    <x v="10"/>
    <n v="7"/>
    <n v="29519"/>
    <n v="23319.119999999999"/>
    <n v="6199.88"/>
    <n v="0.21003015007283446"/>
    <x v="10"/>
    <x v="1"/>
  </r>
  <r>
    <s v="ORD00465"/>
    <d v="2025-08-27T00:00:00"/>
    <s v="CUST0248"/>
    <x v="239"/>
    <x v="2"/>
    <s v="Telangana"/>
    <x v="0"/>
    <x v="0"/>
    <n v="1"/>
    <n v="1605"/>
    <n v="932.69"/>
    <n v="672.31"/>
    <n v="0.4188847352024922"/>
    <x v="2"/>
    <x v="1"/>
  </r>
  <r>
    <s v="ORD00466"/>
    <d v="2025-12-01T00:00:00"/>
    <s v="CUST0067"/>
    <x v="88"/>
    <x v="1"/>
    <s v="Maharashtra"/>
    <x v="0"/>
    <x v="8"/>
    <n v="7"/>
    <n v="22659"/>
    <n v="16618.28"/>
    <n v="6040.72"/>
    <n v="0.26659252394192157"/>
    <x v="3"/>
    <x v="1"/>
  </r>
  <r>
    <s v="ORD00467"/>
    <d v="2025-11-01T00:00:00"/>
    <s v="CUST0161"/>
    <x v="61"/>
    <x v="1"/>
    <s v="Maharashtra"/>
    <x v="2"/>
    <x v="3"/>
    <n v="8"/>
    <n v="5408"/>
    <n v="3077.16"/>
    <n v="2330.84"/>
    <n v="0.43099852071005917"/>
    <x v="5"/>
    <x v="1"/>
  </r>
  <r>
    <s v="ORD00468"/>
    <d v="2025-09-25T00:00:00"/>
    <s v="CUST0049"/>
    <x v="192"/>
    <x v="2"/>
    <s v="Telangana"/>
    <x v="3"/>
    <x v="4"/>
    <n v="9"/>
    <n v="41265"/>
    <n v="31215.84"/>
    <n v="10049.16"/>
    <n v="0.24352744456561251"/>
    <x v="1"/>
    <x v="1"/>
  </r>
  <r>
    <s v="ORD00469"/>
    <d v="2025-07-25T00:00:00"/>
    <s v="CUST0028"/>
    <x v="199"/>
    <x v="2"/>
    <s v="Tamil Nadu"/>
    <x v="3"/>
    <x v="4"/>
    <n v="7"/>
    <n v="10619"/>
    <n v="8513.36"/>
    <n v="2105.64"/>
    <n v="0.19828985780205291"/>
    <x v="11"/>
    <x v="1"/>
  </r>
  <r>
    <s v="ORD00470"/>
    <d v="2025-05-18T00:00:00"/>
    <s v="CUST0165"/>
    <x v="66"/>
    <x v="2"/>
    <s v="Telangana"/>
    <x v="2"/>
    <x v="9"/>
    <n v="8"/>
    <n v="13232"/>
    <n v="7574.79"/>
    <n v="5657.21"/>
    <n v="0.42754005441354292"/>
    <x v="6"/>
    <x v="1"/>
  </r>
  <r>
    <s v="ORD00471"/>
    <d v="2025-01-22T00:00:00"/>
    <s v="CUST0207"/>
    <x v="137"/>
    <x v="3"/>
    <s v="Odisha"/>
    <x v="1"/>
    <x v="1"/>
    <n v="9"/>
    <n v="19116"/>
    <n v="13670.78"/>
    <n v="5445.22"/>
    <n v="0.28485143335425822"/>
    <x v="8"/>
    <x v="1"/>
  </r>
  <r>
    <s v="ORD00472"/>
    <d v="2025-05-25T00:00:00"/>
    <s v="CUST0229"/>
    <x v="189"/>
    <x v="0"/>
    <s v="Punjab"/>
    <x v="2"/>
    <x v="9"/>
    <n v="10"/>
    <n v="39700"/>
    <n v="22883.32"/>
    <n v="16816.68"/>
    <n v="0.42359395465994965"/>
    <x v="6"/>
    <x v="1"/>
  </r>
  <r>
    <s v="ORD00473"/>
    <d v="2024-02-06T00:00:00"/>
    <s v="CUST0286"/>
    <x v="221"/>
    <x v="0"/>
    <s v="Punjab"/>
    <x v="0"/>
    <x v="0"/>
    <n v="1"/>
    <n v="1140"/>
    <n v="764.98"/>
    <n v="375.02"/>
    <n v="0.32896491228070174"/>
    <x v="9"/>
    <x v="0"/>
  </r>
  <r>
    <s v="ORD00474"/>
    <d v="2025-07-29T00:00:00"/>
    <s v="CUST0106"/>
    <x v="96"/>
    <x v="0"/>
    <s v="Delhi"/>
    <x v="0"/>
    <x v="8"/>
    <n v="10"/>
    <n v="27950"/>
    <n v="22836.080000000002"/>
    <n v="5113.92"/>
    <n v="0.18296672629695887"/>
    <x v="11"/>
    <x v="1"/>
  </r>
  <r>
    <s v="ORD00475"/>
    <d v="2025-09-26T00:00:00"/>
    <s v="CUST0243"/>
    <x v="35"/>
    <x v="3"/>
    <s v="Odisha"/>
    <x v="1"/>
    <x v="1"/>
    <n v="4"/>
    <n v="16088"/>
    <n v="10450.629999999999"/>
    <n v="5637.37"/>
    <n v="0.35040837891596222"/>
    <x v="1"/>
    <x v="1"/>
  </r>
  <r>
    <s v="ORD00476"/>
    <d v="2025-10-10T00:00:00"/>
    <s v="CUST0150"/>
    <x v="112"/>
    <x v="1"/>
    <s v="Maharashtra"/>
    <x v="1"/>
    <x v="6"/>
    <n v="4"/>
    <n v="1268"/>
    <n v="827.25"/>
    <n v="440.75"/>
    <n v="0.34759463722397477"/>
    <x v="10"/>
    <x v="1"/>
  </r>
  <r>
    <s v="ORD00477"/>
    <d v="2025-02-23T00:00:00"/>
    <s v="CUST0055"/>
    <x v="41"/>
    <x v="3"/>
    <s v="Bihar"/>
    <x v="1"/>
    <x v="6"/>
    <n v="1"/>
    <n v="1644"/>
    <n v="1147.06"/>
    <n v="496.94"/>
    <n v="0.30227493917274939"/>
    <x v="9"/>
    <x v="1"/>
  </r>
  <r>
    <s v="ORD00478"/>
    <d v="2024-07-14T00:00:00"/>
    <s v="CUST0174"/>
    <x v="217"/>
    <x v="2"/>
    <s v="Karnataka"/>
    <x v="1"/>
    <x v="6"/>
    <n v="7"/>
    <n v="14462"/>
    <n v="9937.0400000000009"/>
    <n v="4524.96"/>
    <n v="0.31288618448347394"/>
    <x v="11"/>
    <x v="0"/>
  </r>
  <r>
    <s v="ORD00479"/>
    <d v="2025-04-06T00:00:00"/>
    <s v="CUST0235"/>
    <x v="185"/>
    <x v="1"/>
    <s v="Maharashtra"/>
    <x v="0"/>
    <x v="2"/>
    <n v="10"/>
    <n v="13090"/>
    <n v="10231.709999999999"/>
    <n v="2858.29"/>
    <n v="0.21835676088617265"/>
    <x v="0"/>
    <x v="1"/>
  </r>
  <r>
    <s v="ORD00480"/>
    <d v="2025-03-19T00:00:00"/>
    <s v="CUST0300"/>
    <x v="88"/>
    <x v="2"/>
    <s v="Tamil Nadu"/>
    <x v="1"/>
    <x v="1"/>
    <n v="9"/>
    <n v="6273"/>
    <n v="4491.2700000000004"/>
    <n v="1781.73"/>
    <n v="0.28403156384505024"/>
    <x v="7"/>
    <x v="1"/>
  </r>
  <r>
    <s v="ORD00481"/>
    <d v="2025-11-04T00:00:00"/>
    <s v="CUST0165"/>
    <x v="185"/>
    <x v="2"/>
    <s v="Telangana"/>
    <x v="0"/>
    <x v="8"/>
    <n v="3"/>
    <n v="4053"/>
    <n v="2355.06"/>
    <n v="1697.94"/>
    <n v="0.4189341228719467"/>
    <x v="5"/>
    <x v="1"/>
  </r>
  <r>
    <s v="ORD00482"/>
    <d v="2024-12-17T00:00:00"/>
    <s v="CUST0151"/>
    <x v="110"/>
    <x v="1"/>
    <s v="Gujarat"/>
    <x v="0"/>
    <x v="8"/>
    <n v="4"/>
    <n v="10164"/>
    <n v="6803.39"/>
    <n v="3360.61"/>
    <n v="0.33063852813852818"/>
    <x v="3"/>
    <x v="0"/>
  </r>
  <r>
    <s v="ORD00483"/>
    <d v="2025-12-19T00:00:00"/>
    <s v="CUST0281"/>
    <x v="25"/>
    <x v="2"/>
    <s v="Karnataka"/>
    <x v="2"/>
    <x v="3"/>
    <n v="10"/>
    <n v="44960"/>
    <n v="28759.74"/>
    <n v="16200.26"/>
    <n v="0.36032606761565839"/>
    <x v="3"/>
    <x v="1"/>
  </r>
  <r>
    <s v="ORD00484"/>
    <d v="2025-11-19T00:00:00"/>
    <s v="CUST0068"/>
    <x v="240"/>
    <x v="2"/>
    <s v="Karnataka"/>
    <x v="3"/>
    <x v="7"/>
    <n v="10"/>
    <n v="26800"/>
    <n v="20260.349999999999"/>
    <n v="6539.65"/>
    <n v="0.24401679104477611"/>
    <x v="5"/>
    <x v="1"/>
  </r>
  <r>
    <s v="ORD00485"/>
    <d v="2025-08-07T00:00:00"/>
    <s v="CUST0214"/>
    <x v="233"/>
    <x v="3"/>
    <s v="Bihar"/>
    <x v="1"/>
    <x v="6"/>
    <n v="6"/>
    <n v="29436"/>
    <n v="20431.849999999999"/>
    <n v="9004.15"/>
    <n v="0.30588904742492184"/>
    <x v="2"/>
    <x v="1"/>
  </r>
  <r>
    <s v="ORD00486"/>
    <d v="2024-05-28T00:00:00"/>
    <s v="CUST0028"/>
    <x v="174"/>
    <x v="3"/>
    <s v="Odisha"/>
    <x v="1"/>
    <x v="1"/>
    <n v="9"/>
    <n v="10548"/>
    <n v="5881.37"/>
    <n v="4666.63"/>
    <n v="0.44241846795601064"/>
    <x v="6"/>
    <x v="0"/>
  </r>
  <r>
    <s v="ORD00487"/>
    <d v="2024-03-04T00:00:00"/>
    <s v="CUST0152"/>
    <x v="155"/>
    <x v="2"/>
    <s v="Tamil Nadu"/>
    <x v="1"/>
    <x v="11"/>
    <n v="5"/>
    <n v="11760"/>
    <n v="6984.6"/>
    <n v="4775.3999999999996"/>
    <n v="0.40607142857142853"/>
    <x v="7"/>
    <x v="0"/>
  </r>
  <r>
    <s v="ORD00488"/>
    <d v="2025-10-24T00:00:00"/>
    <s v="CUST0288"/>
    <x v="241"/>
    <x v="0"/>
    <s v="Punjab"/>
    <x v="2"/>
    <x v="9"/>
    <n v="2"/>
    <n v="9804"/>
    <n v="7935.87"/>
    <n v="1868.13"/>
    <n v="0.19054773561811506"/>
    <x v="10"/>
    <x v="1"/>
  </r>
  <r>
    <s v="ORD00489"/>
    <d v="2025-01-31T00:00:00"/>
    <s v="CUST0214"/>
    <x v="25"/>
    <x v="2"/>
    <s v="Telangana"/>
    <x v="0"/>
    <x v="0"/>
    <n v="5"/>
    <n v="3420"/>
    <n v="2831.57"/>
    <n v="588.42999999999995"/>
    <n v="0.17205555555555554"/>
    <x v="8"/>
    <x v="1"/>
  </r>
  <r>
    <s v="ORD00490"/>
    <d v="2025-03-29T00:00:00"/>
    <s v="CUST0116"/>
    <x v="118"/>
    <x v="0"/>
    <s v="Delhi"/>
    <x v="0"/>
    <x v="0"/>
    <n v="5"/>
    <n v="9815"/>
    <n v="7225.49"/>
    <n v="2589.5100000000002"/>
    <n v="0.26383188996434032"/>
    <x v="7"/>
    <x v="1"/>
  </r>
  <r>
    <s v="ORD00491"/>
    <d v="2025-11-30T00:00:00"/>
    <s v="CUST0039"/>
    <x v="146"/>
    <x v="2"/>
    <s v="Telangana"/>
    <x v="3"/>
    <x v="7"/>
    <n v="5"/>
    <n v="19880"/>
    <n v="11992.17"/>
    <n v="7887.83"/>
    <n v="0.3967721327967807"/>
    <x v="5"/>
    <x v="1"/>
  </r>
  <r>
    <s v="ORD00492"/>
    <d v="2024-10-12T00:00:00"/>
    <s v="CUST0285"/>
    <x v="102"/>
    <x v="2"/>
    <s v="Telangana"/>
    <x v="2"/>
    <x v="5"/>
    <n v="2"/>
    <n v="6780"/>
    <n v="3811.65"/>
    <n v="2968.35"/>
    <n v="0.43780973451327432"/>
    <x v="10"/>
    <x v="0"/>
  </r>
  <r>
    <s v="ORD00493"/>
    <d v="2025-12-27T00:00:00"/>
    <s v="CUST0080"/>
    <x v="157"/>
    <x v="2"/>
    <s v="Karnataka"/>
    <x v="0"/>
    <x v="8"/>
    <n v="5"/>
    <n v="1730"/>
    <n v="1123.06"/>
    <n v="606.94000000000005"/>
    <n v="0.35083236994219658"/>
    <x v="3"/>
    <x v="1"/>
  </r>
  <r>
    <s v="ORD00494"/>
    <d v="2025-08-09T00:00:00"/>
    <s v="CUST0282"/>
    <x v="93"/>
    <x v="2"/>
    <s v="Tamil Nadu"/>
    <x v="0"/>
    <x v="8"/>
    <n v="1"/>
    <n v="2767"/>
    <n v="1929.06"/>
    <n v="837.94"/>
    <n v="0.30283339356704014"/>
    <x v="2"/>
    <x v="1"/>
  </r>
  <r>
    <s v="ORD00495"/>
    <d v="2025-06-17T00:00:00"/>
    <s v="CUST0035"/>
    <x v="185"/>
    <x v="0"/>
    <s v="Haryana"/>
    <x v="3"/>
    <x v="4"/>
    <n v="9"/>
    <n v="18909"/>
    <n v="15828.65"/>
    <n v="3080.35"/>
    <n v="0.16290390819186631"/>
    <x v="4"/>
    <x v="1"/>
  </r>
  <r>
    <s v="ORD00496"/>
    <d v="2024-08-14T00:00:00"/>
    <s v="CUST0110"/>
    <x v="242"/>
    <x v="2"/>
    <s v="Tamil Nadu"/>
    <x v="2"/>
    <x v="5"/>
    <n v="9"/>
    <n v="32436"/>
    <n v="18734.5"/>
    <n v="13701.5"/>
    <n v="0.42241645085707241"/>
    <x v="2"/>
    <x v="0"/>
  </r>
  <r>
    <s v="ORD00497"/>
    <d v="2025-07-28T00:00:00"/>
    <s v="CUST0005"/>
    <x v="71"/>
    <x v="3"/>
    <s v="Odisha"/>
    <x v="3"/>
    <x v="10"/>
    <n v="4"/>
    <n v="18580"/>
    <n v="12865.85"/>
    <n v="5714.15"/>
    <n v="0.30754305705059204"/>
    <x v="11"/>
    <x v="1"/>
  </r>
  <r>
    <s v="ORD00498"/>
    <d v="2025-11-29T00:00:00"/>
    <s v="CUST0165"/>
    <x v="243"/>
    <x v="3"/>
    <s v="Odisha"/>
    <x v="3"/>
    <x v="7"/>
    <n v="10"/>
    <n v="22970"/>
    <n v="19241.259999999998"/>
    <n v="3728.74"/>
    <n v="0.16233086634740965"/>
    <x v="5"/>
    <x v="1"/>
  </r>
  <r>
    <s v="ORD00499"/>
    <d v="2025-06-13T00:00:00"/>
    <s v="CUST0192"/>
    <x v="244"/>
    <x v="0"/>
    <s v="Punjab"/>
    <x v="3"/>
    <x v="10"/>
    <n v="9"/>
    <n v="23544"/>
    <n v="13123.7"/>
    <n v="10420.299999999999"/>
    <n v="0.44258834522595986"/>
    <x v="4"/>
    <x v="1"/>
  </r>
  <r>
    <s v="ORD00500"/>
    <d v="2024-03-25T00:00:00"/>
    <s v="CUST0050"/>
    <x v="198"/>
    <x v="1"/>
    <s v="Gujarat"/>
    <x v="1"/>
    <x v="1"/>
    <n v="5"/>
    <n v="9385"/>
    <n v="6063.59"/>
    <n v="3321.41"/>
    <n v="0.35390623335109217"/>
    <x v="7"/>
    <x v="0"/>
  </r>
  <r>
    <s v="ORD00501"/>
    <d v="2025-03-10T00:00:00"/>
    <s v="CUST0054"/>
    <x v="201"/>
    <x v="0"/>
    <s v="Haryana"/>
    <x v="1"/>
    <x v="6"/>
    <n v="4"/>
    <n v="8184"/>
    <n v="6624.83"/>
    <n v="1559.17"/>
    <n v="0.19051441837732161"/>
    <x v="7"/>
    <x v="1"/>
  </r>
  <r>
    <s v="ORD00502"/>
    <d v="2024-12-05T00:00:00"/>
    <s v="CUST0020"/>
    <x v="0"/>
    <x v="1"/>
    <s v="Rajasthan"/>
    <x v="1"/>
    <x v="6"/>
    <n v="3"/>
    <n v="1482"/>
    <n v="1019.27"/>
    <n v="462.73"/>
    <n v="0.31223346828609988"/>
    <x v="3"/>
    <x v="0"/>
  </r>
  <r>
    <s v="ORD00503"/>
    <d v="2024-08-21T00:00:00"/>
    <s v="CUST0133"/>
    <x v="52"/>
    <x v="0"/>
    <s v="Delhi"/>
    <x v="1"/>
    <x v="11"/>
    <n v="5"/>
    <n v="24355"/>
    <n v="13909.94"/>
    <n v="10445.06"/>
    <n v="0.42886717306507904"/>
    <x v="2"/>
    <x v="0"/>
  </r>
  <r>
    <s v="ORD00504"/>
    <d v="2025-02-02T00:00:00"/>
    <s v="CUST0061"/>
    <x v="233"/>
    <x v="1"/>
    <s v="Gujarat"/>
    <x v="0"/>
    <x v="2"/>
    <n v="7"/>
    <n v="26929"/>
    <n v="17367.080000000002"/>
    <n v="9561.92"/>
    <n v="0.35507891121096219"/>
    <x v="9"/>
    <x v="1"/>
  </r>
  <r>
    <s v="ORD00505"/>
    <d v="2025-08-22T00:00:00"/>
    <s v="CUST0024"/>
    <x v="182"/>
    <x v="0"/>
    <s v="Haryana"/>
    <x v="0"/>
    <x v="0"/>
    <n v="10"/>
    <n v="8180"/>
    <n v="6354.13"/>
    <n v="1825.87"/>
    <n v="0.22321149144254276"/>
    <x v="2"/>
    <x v="1"/>
  </r>
  <r>
    <s v="ORD00506"/>
    <d v="2024-10-15T00:00:00"/>
    <s v="CUST0225"/>
    <x v="243"/>
    <x v="3"/>
    <s v="Bihar"/>
    <x v="1"/>
    <x v="6"/>
    <n v="5"/>
    <n v="13840"/>
    <n v="10130.459999999999"/>
    <n v="3709.54"/>
    <n v="0.26803034682080923"/>
    <x v="10"/>
    <x v="0"/>
  </r>
  <r>
    <s v="ORD00507"/>
    <d v="2024-05-19T00:00:00"/>
    <s v="CUST0201"/>
    <x v="34"/>
    <x v="1"/>
    <s v="Rajasthan"/>
    <x v="1"/>
    <x v="1"/>
    <n v="8"/>
    <n v="12640"/>
    <n v="8974.91"/>
    <n v="3665.09"/>
    <n v="0.28995965189873418"/>
    <x v="6"/>
    <x v="0"/>
  </r>
  <r>
    <s v="ORD00508"/>
    <d v="2024-01-12T00:00:00"/>
    <s v="CUST0284"/>
    <x v="203"/>
    <x v="3"/>
    <s v="Bihar"/>
    <x v="1"/>
    <x v="11"/>
    <n v="5"/>
    <n v="16780"/>
    <n v="14048.51"/>
    <n v="2731.49"/>
    <n v="0.1627824791418355"/>
    <x v="8"/>
    <x v="0"/>
  </r>
  <r>
    <s v="ORD00509"/>
    <d v="2025-07-04T00:00:00"/>
    <s v="CUST0281"/>
    <x v="72"/>
    <x v="2"/>
    <s v="Karnataka"/>
    <x v="1"/>
    <x v="1"/>
    <n v="1"/>
    <n v="4991"/>
    <n v="3638.42"/>
    <n v="1352.58"/>
    <n v="0.27100380685233416"/>
    <x v="11"/>
    <x v="1"/>
  </r>
  <r>
    <s v="ORD00510"/>
    <d v="2025-10-23T00:00:00"/>
    <s v="CUST0263"/>
    <x v="225"/>
    <x v="3"/>
    <s v="West Bengal"/>
    <x v="0"/>
    <x v="0"/>
    <n v="6"/>
    <n v="12204"/>
    <n v="8223.01"/>
    <n v="3980.99"/>
    <n v="0.32620370370370366"/>
    <x v="10"/>
    <x v="1"/>
  </r>
  <r>
    <s v="ORD00511"/>
    <d v="2024-07-04T00:00:00"/>
    <s v="CUST0291"/>
    <x v="211"/>
    <x v="2"/>
    <s v="Karnataka"/>
    <x v="3"/>
    <x v="7"/>
    <n v="10"/>
    <n v="23700"/>
    <n v="14416.66"/>
    <n v="9283.34"/>
    <n v="0.39170210970464137"/>
    <x v="11"/>
    <x v="0"/>
  </r>
  <r>
    <s v="ORD00512"/>
    <d v="2024-09-13T00:00:00"/>
    <s v="CUST0051"/>
    <x v="59"/>
    <x v="1"/>
    <s v="Rajasthan"/>
    <x v="2"/>
    <x v="5"/>
    <n v="2"/>
    <n v="5362"/>
    <n v="4029.57"/>
    <n v="1332.43"/>
    <n v="0.24849496456546066"/>
    <x v="1"/>
    <x v="0"/>
  </r>
  <r>
    <s v="ORD00513"/>
    <d v="2025-09-26T00:00:00"/>
    <s v="CUST0036"/>
    <x v="245"/>
    <x v="1"/>
    <s v="Gujarat"/>
    <x v="3"/>
    <x v="4"/>
    <n v="3"/>
    <n v="6663"/>
    <n v="3864.63"/>
    <n v="2798.37"/>
    <n v="0.41998649257091397"/>
    <x v="1"/>
    <x v="1"/>
  </r>
  <r>
    <s v="ORD00514"/>
    <d v="2024-06-05T00:00:00"/>
    <s v="CUST0290"/>
    <x v="121"/>
    <x v="3"/>
    <s v="Odisha"/>
    <x v="2"/>
    <x v="9"/>
    <n v="6"/>
    <n v="16824"/>
    <n v="12753.22"/>
    <n v="4070.78"/>
    <n v="0.24196267237280078"/>
    <x v="4"/>
    <x v="0"/>
  </r>
  <r>
    <s v="ORD00515"/>
    <d v="2024-08-14T00:00:00"/>
    <s v="CUST0224"/>
    <x v="107"/>
    <x v="3"/>
    <s v="Odisha"/>
    <x v="2"/>
    <x v="3"/>
    <n v="3"/>
    <n v="1017"/>
    <n v="654.91"/>
    <n v="362.09"/>
    <n v="0.35603736479842674"/>
    <x v="2"/>
    <x v="0"/>
  </r>
  <r>
    <s v="ORD00516"/>
    <d v="2025-01-02T00:00:00"/>
    <s v="CUST0157"/>
    <x v="24"/>
    <x v="3"/>
    <s v="West Bengal"/>
    <x v="0"/>
    <x v="2"/>
    <n v="6"/>
    <n v="25386"/>
    <n v="17487.259999999998"/>
    <n v="7898.74"/>
    <n v="0.31114551327503348"/>
    <x v="8"/>
    <x v="1"/>
  </r>
  <r>
    <s v="ORD00517"/>
    <d v="2024-05-23T00:00:00"/>
    <s v="CUST0276"/>
    <x v="197"/>
    <x v="0"/>
    <s v="Delhi"/>
    <x v="0"/>
    <x v="2"/>
    <n v="10"/>
    <n v="9710"/>
    <n v="7792.64"/>
    <n v="1917.36"/>
    <n v="0.19746240988671471"/>
    <x v="6"/>
    <x v="0"/>
  </r>
  <r>
    <s v="ORD00518"/>
    <d v="2025-06-03T00:00:00"/>
    <s v="CUST0016"/>
    <x v="152"/>
    <x v="3"/>
    <s v="Bihar"/>
    <x v="0"/>
    <x v="2"/>
    <n v="2"/>
    <n v="1834"/>
    <n v="1499.54"/>
    <n v="334.46"/>
    <n v="0.18236641221374045"/>
    <x v="4"/>
    <x v="1"/>
  </r>
  <r>
    <s v="ORD00519"/>
    <d v="2025-07-06T00:00:00"/>
    <s v="CUST0242"/>
    <x v="228"/>
    <x v="1"/>
    <s v="Rajasthan"/>
    <x v="3"/>
    <x v="7"/>
    <n v="1"/>
    <n v="4818"/>
    <n v="3026.59"/>
    <n v="1791.41"/>
    <n v="0.37181610626816108"/>
    <x v="11"/>
    <x v="1"/>
  </r>
  <r>
    <s v="ORD00520"/>
    <d v="2025-05-28T00:00:00"/>
    <s v="CUST0262"/>
    <x v="120"/>
    <x v="3"/>
    <s v="Odisha"/>
    <x v="3"/>
    <x v="7"/>
    <n v="10"/>
    <n v="26830"/>
    <n v="15834.11"/>
    <n v="10995.89"/>
    <n v="0.40983563175549753"/>
    <x v="6"/>
    <x v="1"/>
  </r>
  <r>
    <s v="ORD00521"/>
    <d v="2025-09-20T00:00:00"/>
    <s v="CUST0085"/>
    <x v="244"/>
    <x v="1"/>
    <s v="Gujarat"/>
    <x v="2"/>
    <x v="5"/>
    <n v="1"/>
    <n v="2256"/>
    <n v="1814.71"/>
    <n v="441.29"/>
    <n v="0.19560726950354612"/>
    <x v="1"/>
    <x v="1"/>
  </r>
  <r>
    <s v="ORD00522"/>
    <d v="2025-11-06T00:00:00"/>
    <s v="CUST0075"/>
    <x v="88"/>
    <x v="2"/>
    <s v="Tamil Nadu"/>
    <x v="1"/>
    <x v="11"/>
    <n v="3"/>
    <n v="14817"/>
    <n v="12366.47"/>
    <n v="2450.5300000000002"/>
    <n v="0.16538638050887494"/>
    <x v="5"/>
    <x v="1"/>
  </r>
  <r>
    <s v="ORD00523"/>
    <d v="2025-01-13T00:00:00"/>
    <s v="CUST0120"/>
    <x v="130"/>
    <x v="3"/>
    <s v="West Bengal"/>
    <x v="3"/>
    <x v="7"/>
    <n v="8"/>
    <n v="17584"/>
    <n v="10002.81"/>
    <n v="7581.19"/>
    <n v="0.43114137852593265"/>
    <x v="8"/>
    <x v="1"/>
  </r>
  <r>
    <s v="ORD00524"/>
    <d v="2024-02-17T00:00:00"/>
    <s v="CUST0021"/>
    <x v="78"/>
    <x v="2"/>
    <s v="Telangana"/>
    <x v="3"/>
    <x v="4"/>
    <n v="7"/>
    <n v="29029"/>
    <n v="23959.68"/>
    <n v="5069.32"/>
    <n v="0.17462950842261185"/>
    <x v="9"/>
    <x v="0"/>
  </r>
  <r>
    <s v="ORD00525"/>
    <d v="2025-08-06T00:00:00"/>
    <s v="CUST0090"/>
    <x v="246"/>
    <x v="0"/>
    <s v="Haryana"/>
    <x v="2"/>
    <x v="5"/>
    <n v="5"/>
    <n v="12285"/>
    <n v="8889.2999999999993"/>
    <n v="3395.7"/>
    <n v="0.27641025641025641"/>
    <x v="2"/>
    <x v="1"/>
  </r>
  <r>
    <s v="ORD00526"/>
    <d v="2024-08-16T00:00:00"/>
    <s v="CUST0265"/>
    <x v="55"/>
    <x v="1"/>
    <s v="Gujarat"/>
    <x v="0"/>
    <x v="8"/>
    <n v="2"/>
    <n v="9064"/>
    <n v="5669.31"/>
    <n v="3394.69"/>
    <n v="0.37452449249779346"/>
    <x v="2"/>
    <x v="0"/>
  </r>
  <r>
    <s v="ORD00527"/>
    <d v="2024-05-22T00:00:00"/>
    <s v="CUST0226"/>
    <x v="23"/>
    <x v="3"/>
    <s v="Odisha"/>
    <x v="2"/>
    <x v="9"/>
    <n v="8"/>
    <n v="2832"/>
    <n v="1983.96"/>
    <n v="848.04"/>
    <n v="0.29944915254237287"/>
    <x v="6"/>
    <x v="0"/>
  </r>
  <r>
    <s v="ORD00528"/>
    <d v="2024-06-10T00:00:00"/>
    <s v="CUST0186"/>
    <x v="235"/>
    <x v="2"/>
    <s v="Karnataka"/>
    <x v="2"/>
    <x v="5"/>
    <n v="5"/>
    <n v="10160"/>
    <n v="6045.93"/>
    <n v="4114.07"/>
    <n v="0.40492814960629919"/>
    <x v="4"/>
    <x v="0"/>
  </r>
  <r>
    <s v="ORD00529"/>
    <d v="2025-05-05T00:00:00"/>
    <s v="CUST0108"/>
    <x v="15"/>
    <x v="2"/>
    <s v="Tamil Nadu"/>
    <x v="3"/>
    <x v="4"/>
    <n v="2"/>
    <n v="8488"/>
    <n v="6387.8"/>
    <n v="2100.1999999999998"/>
    <n v="0.24743166823751175"/>
    <x v="6"/>
    <x v="1"/>
  </r>
  <r>
    <s v="ORD00530"/>
    <d v="2024-06-13T00:00:00"/>
    <s v="CUST0069"/>
    <x v="218"/>
    <x v="1"/>
    <s v="Maharashtra"/>
    <x v="3"/>
    <x v="7"/>
    <n v="1"/>
    <n v="1347"/>
    <n v="972.6"/>
    <n v="374.4"/>
    <n v="0.27795100222717145"/>
    <x v="4"/>
    <x v="0"/>
  </r>
  <r>
    <s v="ORD00531"/>
    <d v="2024-07-03T00:00:00"/>
    <s v="CUST0265"/>
    <x v="55"/>
    <x v="0"/>
    <s v="Haryana"/>
    <x v="1"/>
    <x v="11"/>
    <n v="1"/>
    <n v="1662"/>
    <n v="1042.8699999999999"/>
    <n v="619.13"/>
    <n v="0.37252105896510229"/>
    <x v="11"/>
    <x v="0"/>
  </r>
  <r>
    <s v="ORD00532"/>
    <d v="2025-09-13T00:00:00"/>
    <s v="CUST0242"/>
    <x v="236"/>
    <x v="0"/>
    <s v="Haryana"/>
    <x v="0"/>
    <x v="0"/>
    <n v="5"/>
    <n v="5010"/>
    <n v="3081.04"/>
    <n v="1928.96"/>
    <n v="0.38502195608782436"/>
    <x v="1"/>
    <x v="1"/>
  </r>
  <r>
    <s v="ORD00533"/>
    <d v="2024-07-05T00:00:00"/>
    <s v="CUST0262"/>
    <x v="102"/>
    <x v="2"/>
    <s v="Karnataka"/>
    <x v="2"/>
    <x v="3"/>
    <n v="10"/>
    <n v="14690"/>
    <n v="11581.37"/>
    <n v="3108.63"/>
    <n v="0.21161538461538462"/>
    <x v="11"/>
    <x v="0"/>
  </r>
  <r>
    <s v="ORD00534"/>
    <d v="2024-03-11T00:00:00"/>
    <s v="CUST0118"/>
    <x v="226"/>
    <x v="2"/>
    <s v="Telangana"/>
    <x v="0"/>
    <x v="2"/>
    <n v="6"/>
    <n v="24084"/>
    <n v="17556.27"/>
    <n v="6527.73"/>
    <n v="0.27104010961634278"/>
    <x v="7"/>
    <x v="0"/>
  </r>
  <r>
    <s v="ORD00535"/>
    <d v="2025-05-31T00:00:00"/>
    <s v="CUST0215"/>
    <x v="228"/>
    <x v="1"/>
    <s v="Maharashtra"/>
    <x v="1"/>
    <x v="6"/>
    <n v="1"/>
    <n v="1957"/>
    <n v="1383.23"/>
    <n v="573.77"/>
    <n v="0.29318855390904447"/>
    <x v="6"/>
    <x v="1"/>
  </r>
  <r>
    <s v="ORD00536"/>
    <d v="2025-06-28T00:00:00"/>
    <s v="CUST0258"/>
    <x v="235"/>
    <x v="0"/>
    <s v="Delhi"/>
    <x v="2"/>
    <x v="9"/>
    <n v="10"/>
    <n v="6190"/>
    <n v="5034.49"/>
    <n v="1155.51"/>
    <n v="0.18667366720516962"/>
    <x v="4"/>
    <x v="1"/>
  </r>
  <r>
    <s v="ORD00537"/>
    <d v="2025-11-25T00:00:00"/>
    <s v="CUST0221"/>
    <x v="27"/>
    <x v="0"/>
    <s v="Punjab"/>
    <x v="0"/>
    <x v="2"/>
    <n v="3"/>
    <n v="14151"/>
    <n v="11296.13"/>
    <n v="2854.87"/>
    <n v="0.20174333969330788"/>
    <x v="5"/>
    <x v="1"/>
  </r>
  <r>
    <s v="ORD00538"/>
    <d v="2025-05-08T00:00:00"/>
    <s v="CUST0196"/>
    <x v="134"/>
    <x v="1"/>
    <s v="Gujarat"/>
    <x v="1"/>
    <x v="1"/>
    <n v="9"/>
    <n v="34326"/>
    <n v="21242.5"/>
    <n v="13083.5"/>
    <n v="0.38115422711647146"/>
    <x v="6"/>
    <x v="1"/>
  </r>
  <r>
    <s v="ORD00539"/>
    <d v="2024-03-26T00:00:00"/>
    <s v="CUST0146"/>
    <x v="30"/>
    <x v="0"/>
    <s v="Punjab"/>
    <x v="1"/>
    <x v="11"/>
    <n v="5"/>
    <n v="21040"/>
    <n v="16406.099999999999"/>
    <n v="4633.8999999999996"/>
    <n v="0.22024239543726234"/>
    <x v="7"/>
    <x v="0"/>
  </r>
  <r>
    <s v="ORD00540"/>
    <d v="2024-04-30T00:00:00"/>
    <s v="CUST0267"/>
    <x v="2"/>
    <x v="1"/>
    <s v="Gujarat"/>
    <x v="3"/>
    <x v="7"/>
    <n v="1"/>
    <n v="358"/>
    <n v="258.98"/>
    <n v="99.02"/>
    <n v="0.27659217877094971"/>
    <x v="0"/>
    <x v="0"/>
  </r>
  <r>
    <s v="ORD00541"/>
    <d v="2024-06-07T00:00:00"/>
    <s v="CUST0219"/>
    <x v="53"/>
    <x v="1"/>
    <s v="Rajasthan"/>
    <x v="3"/>
    <x v="7"/>
    <n v="6"/>
    <n v="21894"/>
    <n v="14421.16"/>
    <n v="7472.84"/>
    <n v="0.3413190828537499"/>
    <x v="4"/>
    <x v="0"/>
  </r>
  <r>
    <s v="ORD00542"/>
    <d v="2024-10-09T00:00:00"/>
    <s v="CUST0204"/>
    <x v="155"/>
    <x v="3"/>
    <s v="Odisha"/>
    <x v="2"/>
    <x v="5"/>
    <n v="7"/>
    <n v="34475"/>
    <n v="22742.92"/>
    <n v="11732.08"/>
    <n v="0.34030688905003625"/>
    <x v="10"/>
    <x v="0"/>
  </r>
  <r>
    <s v="ORD00543"/>
    <d v="2025-07-22T00:00:00"/>
    <s v="CUST0248"/>
    <x v="186"/>
    <x v="1"/>
    <s v="Rajasthan"/>
    <x v="2"/>
    <x v="5"/>
    <n v="8"/>
    <n v="14112"/>
    <n v="9328.93"/>
    <n v="4783.07"/>
    <n v="0.33893636621315193"/>
    <x v="11"/>
    <x v="1"/>
  </r>
  <r>
    <s v="ORD00544"/>
    <d v="2025-11-06T00:00:00"/>
    <s v="CUST0061"/>
    <x v="8"/>
    <x v="3"/>
    <s v="Bihar"/>
    <x v="3"/>
    <x v="4"/>
    <n v="7"/>
    <n v="10017"/>
    <n v="8078.71"/>
    <n v="1938.29"/>
    <n v="0.19350004991514425"/>
    <x v="5"/>
    <x v="1"/>
  </r>
  <r>
    <s v="ORD00545"/>
    <d v="2024-12-12T00:00:00"/>
    <s v="CUST0282"/>
    <x v="83"/>
    <x v="1"/>
    <s v="Rajasthan"/>
    <x v="1"/>
    <x v="11"/>
    <n v="2"/>
    <n v="4112"/>
    <n v="2888.69"/>
    <n v="1223.31"/>
    <n v="0.29749756809338518"/>
    <x v="3"/>
    <x v="0"/>
  </r>
  <r>
    <s v="ORD00546"/>
    <d v="2025-04-27T00:00:00"/>
    <s v="CUST0223"/>
    <x v="194"/>
    <x v="2"/>
    <s v="Tamil Nadu"/>
    <x v="0"/>
    <x v="2"/>
    <n v="1"/>
    <n v="1046"/>
    <n v="833.64"/>
    <n v="212.36"/>
    <n v="0.20302103250478012"/>
    <x v="0"/>
    <x v="1"/>
  </r>
  <r>
    <s v="ORD00547"/>
    <d v="2025-01-28T00:00:00"/>
    <s v="CUST0206"/>
    <x v="234"/>
    <x v="0"/>
    <s v="Punjab"/>
    <x v="3"/>
    <x v="7"/>
    <n v="6"/>
    <n v="5730"/>
    <n v="4198.42"/>
    <n v="1531.58"/>
    <n v="0.26729144851657938"/>
    <x v="8"/>
    <x v="1"/>
  </r>
  <r>
    <s v="ORD00548"/>
    <d v="2025-03-25T00:00:00"/>
    <s v="CUST0006"/>
    <x v="222"/>
    <x v="3"/>
    <s v="Bihar"/>
    <x v="0"/>
    <x v="8"/>
    <n v="1"/>
    <n v="1735"/>
    <n v="1287.52"/>
    <n v="447.48"/>
    <n v="0.2579135446685879"/>
    <x v="7"/>
    <x v="1"/>
  </r>
  <r>
    <s v="ORD00549"/>
    <d v="2024-08-25T00:00:00"/>
    <s v="CUST0087"/>
    <x v="81"/>
    <x v="3"/>
    <s v="West Bengal"/>
    <x v="1"/>
    <x v="1"/>
    <n v="10"/>
    <n v="44820"/>
    <n v="31586.63"/>
    <n v="13233.37"/>
    <n v="0.2952559125390451"/>
    <x v="2"/>
    <x v="0"/>
  </r>
  <r>
    <s v="ORD00550"/>
    <d v="2024-10-09T00:00:00"/>
    <s v="CUST0205"/>
    <x v="247"/>
    <x v="3"/>
    <s v="West Bengal"/>
    <x v="0"/>
    <x v="2"/>
    <n v="1"/>
    <n v="1589"/>
    <n v="915.35"/>
    <n v="673.65"/>
    <n v="0.42394587791063559"/>
    <x v="10"/>
    <x v="0"/>
  </r>
  <r>
    <s v="ORD00551"/>
    <d v="2025-12-21T00:00:00"/>
    <s v="CUST0036"/>
    <x v="120"/>
    <x v="1"/>
    <s v="Gujarat"/>
    <x v="0"/>
    <x v="8"/>
    <n v="4"/>
    <n v="18164"/>
    <n v="10073.94"/>
    <n v="8090.06"/>
    <n v="0.44538978198634666"/>
    <x v="3"/>
    <x v="1"/>
  </r>
  <r>
    <s v="ORD00552"/>
    <d v="2024-10-10T00:00:00"/>
    <s v="CUST0116"/>
    <x v="245"/>
    <x v="3"/>
    <s v="Bihar"/>
    <x v="2"/>
    <x v="5"/>
    <n v="10"/>
    <n v="31510"/>
    <n v="20615.18"/>
    <n v="10894.82"/>
    <n v="0.34575753728974928"/>
    <x v="10"/>
    <x v="0"/>
  </r>
  <r>
    <s v="ORD00553"/>
    <d v="2025-06-02T00:00:00"/>
    <s v="CUST0055"/>
    <x v="49"/>
    <x v="1"/>
    <s v="Gujarat"/>
    <x v="0"/>
    <x v="8"/>
    <n v="1"/>
    <n v="2438"/>
    <n v="1468.92"/>
    <n v="969.08"/>
    <n v="0.39748974569319118"/>
    <x v="4"/>
    <x v="1"/>
  </r>
  <r>
    <s v="ORD00554"/>
    <d v="2024-09-20T00:00:00"/>
    <s v="CUST0276"/>
    <x v="97"/>
    <x v="0"/>
    <s v="Haryana"/>
    <x v="3"/>
    <x v="10"/>
    <n v="6"/>
    <n v="7548"/>
    <n v="5969.58"/>
    <n v="1578.42"/>
    <n v="0.20911764705882355"/>
    <x v="1"/>
    <x v="0"/>
  </r>
  <r>
    <s v="ORD00555"/>
    <d v="2024-09-06T00:00:00"/>
    <s v="CUST0174"/>
    <x v="28"/>
    <x v="3"/>
    <s v="Bihar"/>
    <x v="2"/>
    <x v="9"/>
    <n v="7"/>
    <n v="34391"/>
    <n v="23904.799999999999"/>
    <n v="10486.2"/>
    <n v="0.30491116861969703"/>
    <x v="1"/>
    <x v="0"/>
  </r>
  <r>
    <s v="ORD00556"/>
    <d v="2025-01-26T00:00:00"/>
    <s v="CUST0113"/>
    <x v="8"/>
    <x v="1"/>
    <s v="Rajasthan"/>
    <x v="1"/>
    <x v="1"/>
    <n v="8"/>
    <n v="10016"/>
    <n v="6283.5"/>
    <n v="3732.5"/>
    <n v="0.37265375399361023"/>
    <x v="8"/>
    <x v="1"/>
  </r>
  <r>
    <s v="ORD00557"/>
    <d v="2024-09-26T00:00:00"/>
    <s v="CUST0128"/>
    <x v="91"/>
    <x v="3"/>
    <s v="Odisha"/>
    <x v="3"/>
    <x v="4"/>
    <n v="9"/>
    <n v="42192"/>
    <n v="23328.67"/>
    <n v="18863.330000000002"/>
    <n v="0.44708309632157761"/>
    <x v="1"/>
    <x v="0"/>
  </r>
  <r>
    <s v="ORD00558"/>
    <d v="2024-07-01T00:00:00"/>
    <s v="CUST0244"/>
    <x v="25"/>
    <x v="0"/>
    <s v="Punjab"/>
    <x v="0"/>
    <x v="2"/>
    <n v="6"/>
    <n v="5532"/>
    <n v="3962.93"/>
    <n v="1569.07"/>
    <n v="0.28363521330441072"/>
    <x v="11"/>
    <x v="0"/>
  </r>
  <r>
    <s v="ORD00559"/>
    <d v="2025-11-30T00:00:00"/>
    <s v="CUST0098"/>
    <x v="184"/>
    <x v="3"/>
    <s v="West Bengal"/>
    <x v="0"/>
    <x v="8"/>
    <n v="5"/>
    <n v="8985"/>
    <n v="7494.71"/>
    <n v="1490.29"/>
    <n v="0.16586421814134669"/>
    <x v="5"/>
    <x v="1"/>
  </r>
  <r>
    <s v="ORD00560"/>
    <d v="2024-07-26T00:00:00"/>
    <s v="CUST0128"/>
    <x v="248"/>
    <x v="2"/>
    <s v="Karnataka"/>
    <x v="0"/>
    <x v="0"/>
    <n v="4"/>
    <n v="9896"/>
    <n v="6056.68"/>
    <n v="3839.32"/>
    <n v="0.38796685529506875"/>
    <x v="11"/>
    <x v="0"/>
  </r>
  <r>
    <s v="ORD00561"/>
    <d v="2025-07-08T00:00:00"/>
    <s v="CUST0022"/>
    <x v="236"/>
    <x v="2"/>
    <s v="Karnataka"/>
    <x v="1"/>
    <x v="6"/>
    <n v="2"/>
    <n v="8670"/>
    <n v="6365.06"/>
    <n v="2304.94"/>
    <n v="0.26585236447520183"/>
    <x v="11"/>
    <x v="1"/>
  </r>
  <r>
    <s v="ORD00562"/>
    <d v="2025-06-07T00:00:00"/>
    <s v="CUST0144"/>
    <x v="144"/>
    <x v="3"/>
    <s v="Bihar"/>
    <x v="3"/>
    <x v="4"/>
    <n v="8"/>
    <n v="20400"/>
    <n v="14223.73"/>
    <n v="6176.27"/>
    <n v="0.30275833333333335"/>
    <x v="4"/>
    <x v="1"/>
  </r>
  <r>
    <s v="ORD00563"/>
    <d v="2025-05-04T00:00:00"/>
    <s v="CUST0277"/>
    <x v="249"/>
    <x v="2"/>
    <s v="Telangana"/>
    <x v="1"/>
    <x v="11"/>
    <n v="1"/>
    <n v="4606"/>
    <n v="3637.73"/>
    <n v="968.27"/>
    <n v="0.21021927920104211"/>
    <x v="6"/>
    <x v="1"/>
  </r>
  <r>
    <s v="ORD00564"/>
    <d v="2025-12-16T00:00:00"/>
    <s v="CUST0266"/>
    <x v="179"/>
    <x v="3"/>
    <s v="Odisha"/>
    <x v="0"/>
    <x v="2"/>
    <n v="3"/>
    <n v="12135"/>
    <n v="10229.219999999999"/>
    <n v="1905.78"/>
    <n v="0.15704820766378244"/>
    <x v="3"/>
    <x v="1"/>
  </r>
  <r>
    <s v="ORD00565"/>
    <d v="2024-04-13T00:00:00"/>
    <s v="CUST0167"/>
    <x v="125"/>
    <x v="3"/>
    <s v="Bihar"/>
    <x v="1"/>
    <x v="1"/>
    <n v="1"/>
    <n v="2026"/>
    <n v="1344.92"/>
    <n v="681.08"/>
    <n v="0.3361697926949655"/>
    <x v="0"/>
    <x v="0"/>
  </r>
  <r>
    <s v="ORD00566"/>
    <d v="2025-09-19T00:00:00"/>
    <s v="CUST0176"/>
    <x v="100"/>
    <x v="3"/>
    <s v="West Bengal"/>
    <x v="2"/>
    <x v="5"/>
    <n v="5"/>
    <n v="11210"/>
    <n v="7071.52"/>
    <n v="4138.4799999999996"/>
    <n v="0.36917752007136484"/>
    <x v="1"/>
    <x v="1"/>
  </r>
  <r>
    <s v="ORD00567"/>
    <d v="2025-01-16T00:00:00"/>
    <s v="CUST0187"/>
    <x v="215"/>
    <x v="2"/>
    <s v="Tamil Nadu"/>
    <x v="2"/>
    <x v="3"/>
    <n v="4"/>
    <n v="14932"/>
    <n v="11351.51"/>
    <n v="3580.49"/>
    <n v="0.23978636485400481"/>
    <x v="8"/>
    <x v="1"/>
  </r>
  <r>
    <s v="ORD00568"/>
    <d v="2025-12-03T00:00:00"/>
    <s v="CUST0118"/>
    <x v="250"/>
    <x v="3"/>
    <s v="Odisha"/>
    <x v="1"/>
    <x v="11"/>
    <n v="10"/>
    <n v="13740"/>
    <n v="11593.56"/>
    <n v="2146.44"/>
    <n v="0.15621834061135373"/>
    <x v="3"/>
    <x v="1"/>
  </r>
  <r>
    <s v="ORD00569"/>
    <d v="2024-06-02T00:00:00"/>
    <s v="CUST0243"/>
    <x v="166"/>
    <x v="3"/>
    <s v="West Bengal"/>
    <x v="2"/>
    <x v="5"/>
    <n v="7"/>
    <n v="23940"/>
    <n v="14575.13"/>
    <n v="9364.8700000000008"/>
    <n v="0.39118086883876363"/>
    <x v="4"/>
    <x v="0"/>
  </r>
  <r>
    <s v="ORD00570"/>
    <d v="2024-11-19T00:00:00"/>
    <s v="CUST0250"/>
    <x v="251"/>
    <x v="2"/>
    <s v="Tamil Nadu"/>
    <x v="2"/>
    <x v="9"/>
    <n v="3"/>
    <n v="13605"/>
    <n v="9662.2000000000007"/>
    <n v="3942.8"/>
    <n v="0.28980521866960679"/>
    <x v="5"/>
    <x v="0"/>
  </r>
  <r>
    <s v="ORD00571"/>
    <d v="2024-06-16T00:00:00"/>
    <s v="CUST0031"/>
    <x v="252"/>
    <x v="3"/>
    <s v="Bihar"/>
    <x v="0"/>
    <x v="8"/>
    <n v="1"/>
    <n v="3563"/>
    <n v="2065.44"/>
    <n v="1497.56"/>
    <n v="0.42030872859949481"/>
    <x v="4"/>
    <x v="0"/>
  </r>
  <r>
    <s v="ORD00572"/>
    <d v="2024-09-23T00:00:00"/>
    <s v="CUST0185"/>
    <x v="208"/>
    <x v="3"/>
    <s v="Odisha"/>
    <x v="0"/>
    <x v="2"/>
    <n v="2"/>
    <n v="7970"/>
    <n v="6163.82"/>
    <n v="1806.18"/>
    <n v="0.2266223337515684"/>
    <x v="1"/>
    <x v="0"/>
  </r>
  <r>
    <s v="ORD00573"/>
    <d v="2025-11-26T00:00:00"/>
    <s v="CUST0102"/>
    <x v="79"/>
    <x v="3"/>
    <s v="Odisha"/>
    <x v="1"/>
    <x v="1"/>
    <n v="7"/>
    <n v="9051"/>
    <n v="5931.37"/>
    <n v="3119.63"/>
    <n v="0.34467241188818915"/>
    <x v="5"/>
    <x v="1"/>
  </r>
  <r>
    <s v="ORD00574"/>
    <d v="2025-04-02T00:00:00"/>
    <s v="CUST0041"/>
    <x v="243"/>
    <x v="2"/>
    <s v="Tamil Nadu"/>
    <x v="3"/>
    <x v="4"/>
    <n v="6"/>
    <n v="26886"/>
    <n v="18719.330000000002"/>
    <n v="8166.67"/>
    <n v="0.30375176671873838"/>
    <x v="0"/>
    <x v="1"/>
  </r>
  <r>
    <s v="ORD00575"/>
    <d v="2024-12-11T00:00:00"/>
    <s v="CUST0216"/>
    <x v="230"/>
    <x v="3"/>
    <s v="Odisha"/>
    <x v="0"/>
    <x v="2"/>
    <n v="3"/>
    <n v="5016"/>
    <n v="3722.75"/>
    <n v="1293.25"/>
    <n v="0.25782496012759171"/>
    <x v="3"/>
    <x v="0"/>
  </r>
  <r>
    <s v="ORD00576"/>
    <d v="2024-11-20T00:00:00"/>
    <s v="CUST0150"/>
    <x v="253"/>
    <x v="1"/>
    <s v="Maharashtra"/>
    <x v="1"/>
    <x v="6"/>
    <n v="3"/>
    <n v="9342"/>
    <n v="5777.7"/>
    <n v="3564.3"/>
    <n v="0.38153500321130379"/>
    <x v="5"/>
    <x v="0"/>
  </r>
  <r>
    <s v="ORD00577"/>
    <d v="2025-02-27T00:00:00"/>
    <s v="CUST0086"/>
    <x v="254"/>
    <x v="1"/>
    <s v="Gujarat"/>
    <x v="2"/>
    <x v="9"/>
    <n v="6"/>
    <n v="27402"/>
    <n v="23008.3"/>
    <n v="4393.7"/>
    <n v="0.160342310780235"/>
    <x v="9"/>
    <x v="1"/>
  </r>
  <r>
    <s v="ORD00578"/>
    <d v="2025-12-18T00:00:00"/>
    <s v="CUST0041"/>
    <x v="205"/>
    <x v="0"/>
    <s v="Delhi"/>
    <x v="0"/>
    <x v="0"/>
    <n v="4"/>
    <n v="9444"/>
    <n v="7858.65"/>
    <n v="1585.35"/>
    <n v="0.16786848792884371"/>
    <x v="3"/>
    <x v="1"/>
  </r>
  <r>
    <s v="ORD00579"/>
    <d v="2025-04-29T00:00:00"/>
    <s v="CUST0281"/>
    <x v="211"/>
    <x v="2"/>
    <s v="Tamil Nadu"/>
    <x v="1"/>
    <x v="6"/>
    <n v="2"/>
    <n v="1644"/>
    <n v="1366.23"/>
    <n v="277.77"/>
    <n v="0.16895985401459854"/>
    <x v="0"/>
    <x v="1"/>
  </r>
  <r>
    <s v="ORD00580"/>
    <d v="2024-06-08T00:00:00"/>
    <s v="CUST0044"/>
    <x v="241"/>
    <x v="0"/>
    <s v="Punjab"/>
    <x v="2"/>
    <x v="5"/>
    <n v="2"/>
    <n v="2302"/>
    <n v="1447.35"/>
    <n v="854.65"/>
    <n v="0.37126411815812338"/>
    <x v="4"/>
    <x v="0"/>
  </r>
  <r>
    <s v="ORD00581"/>
    <d v="2024-05-14T00:00:00"/>
    <s v="CUST0270"/>
    <x v="94"/>
    <x v="3"/>
    <s v="West Bengal"/>
    <x v="3"/>
    <x v="7"/>
    <n v="5"/>
    <n v="19650"/>
    <n v="14500.6"/>
    <n v="5149.3999999999996"/>
    <n v="0.26205597964376587"/>
    <x v="6"/>
    <x v="0"/>
  </r>
  <r>
    <s v="ORD00582"/>
    <d v="2025-04-23T00:00:00"/>
    <s v="CUST0277"/>
    <x v="145"/>
    <x v="0"/>
    <s v="Delhi"/>
    <x v="0"/>
    <x v="2"/>
    <n v="6"/>
    <n v="17784"/>
    <n v="14392.1"/>
    <n v="3391.9"/>
    <n v="0.19072762033288349"/>
    <x v="0"/>
    <x v="1"/>
  </r>
  <r>
    <s v="ORD00583"/>
    <d v="2025-04-12T00:00:00"/>
    <s v="CUST0289"/>
    <x v="62"/>
    <x v="1"/>
    <s v="Maharashtra"/>
    <x v="0"/>
    <x v="0"/>
    <n v="9"/>
    <n v="15750"/>
    <n v="11454.18"/>
    <n v="4295.82"/>
    <n v="0.27275047619047615"/>
    <x v="0"/>
    <x v="1"/>
  </r>
  <r>
    <s v="ORD00584"/>
    <d v="2025-03-28T00:00:00"/>
    <s v="CUST0158"/>
    <x v="100"/>
    <x v="3"/>
    <s v="Odisha"/>
    <x v="2"/>
    <x v="9"/>
    <n v="9"/>
    <n v="19440"/>
    <n v="15385.06"/>
    <n v="4054.94"/>
    <n v="0.20858744855967079"/>
    <x v="7"/>
    <x v="1"/>
  </r>
  <r>
    <s v="ORD00585"/>
    <d v="2024-05-19T00:00:00"/>
    <s v="CUST0177"/>
    <x v="156"/>
    <x v="1"/>
    <s v="Gujarat"/>
    <x v="1"/>
    <x v="11"/>
    <n v="5"/>
    <n v="1930"/>
    <n v="1061.55"/>
    <n v="868.45"/>
    <n v="0.44997409326424875"/>
    <x v="6"/>
    <x v="0"/>
  </r>
  <r>
    <s v="ORD00586"/>
    <d v="2025-03-16T00:00:00"/>
    <s v="CUST0150"/>
    <x v="95"/>
    <x v="1"/>
    <s v="Rajasthan"/>
    <x v="1"/>
    <x v="1"/>
    <n v="8"/>
    <n v="33664"/>
    <n v="21541.03"/>
    <n v="12122.97"/>
    <n v="0.36011674192015208"/>
    <x v="7"/>
    <x v="1"/>
  </r>
  <r>
    <s v="ORD00587"/>
    <d v="2025-03-23T00:00:00"/>
    <s v="CUST0203"/>
    <x v="22"/>
    <x v="0"/>
    <s v="Haryana"/>
    <x v="3"/>
    <x v="4"/>
    <n v="4"/>
    <n v="14688"/>
    <n v="11965.56"/>
    <n v="2722.44"/>
    <n v="0.18535130718954249"/>
    <x v="7"/>
    <x v="1"/>
  </r>
  <r>
    <s v="ORD00588"/>
    <d v="2024-03-22T00:00:00"/>
    <s v="CUST0217"/>
    <x v="16"/>
    <x v="2"/>
    <s v="Telangana"/>
    <x v="0"/>
    <x v="0"/>
    <n v="7"/>
    <n v="23793"/>
    <n v="14660.72"/>
    <n v="9132.2800000000007"/>
    <n v="0.38382213255999664"/>
    <x v="7"/>
    <x v="0"/>
  </r>
  <r>
    <s v="ORD00589"/>
    <d v="2024-03-11T00:00:00"/>
    <s v="CUST0094"/>
    <x v="176"/>
    <x v="3"/>
    <s v="Odisha"/>
    <x v="0"/>
    <x v="2"/>
    <n v="9"/>
    <n v="22518"/>
    <n v="15174.23"/>
    <n v="7343.77"/>
    <n v="0.32612887467803536"/>
    <x v="7"/>
    <x v="0"/>
  </r>
  <r>
    <s v="ORD00590"/>
    <d v="2025-09-29T00:00:00"/>
    <s v="CUST0252"/>
    <x v="255"/>
    <x v="3"/>
    <s v="West Bengal"/>
    <x v="0"/>
    <x v="2"/>
    <n v="8"/>
    <n v="32072"/>
    <n v="20257.97"/>
    <n v="11814.03"/>
    <n v="0.36835962833624347"/>
    <x v="1"/>
    <x v="1"/>
  </r>
  <r>
    <s v="ORD00591"/>
    <d v="2024-04-14T00:00:00"/>
    <s v="CUST0145"/>
    <x v="63"/>
    <x v="3"/>
    <s v="West Bengal"/>
    <x v="1"/>
    <x v="11"/>
    <n v="1"/>
    <n v="4682"/>
    <n v="2606.19"/>
    <n v="2075.81"/>
    <n v="0.4433596753524135"/>
    <x v="0"/>
    <x v="0"/>
  </r>
  <r>
    <s v="ORD00592"/>
    <d v="2024-01-16T00:00:00"/>
    <s v="CUST0253"/>
    <x v="172"/>
    <x v="2"/>
    <s v="Telangana"/>
    <x v="2"/>
    <x v="9"/>
    <n v="1"/>
    <n v="2207"/>
    <n v="1273.57"/>
    <n v="933.43"/>
    <n v="0.42294064340734028"/>
    <x v="8"/>
    <x v="0"/>
  </r>
  <r>
    <s v="ORD00593"/>
    <d v="2024-02-02T00:00:00"/>
    <s v="CUST0170"/>
    <x v="51"/>
    <x v="3"/>
    <s v="Odisha"/>
    <x v="3"/>
    <x v="10"/>
    <n v="8"/>
    <n v="26736"/>
    <n v="18423.919999999998"/>
    <n v="8312.08"/>
    <n v="0.31089467384799518"/>
    <x v="9"/>
    <x v="0"/>
  </r>
  <r>
    <s v="ORD00594"/>
    <d v="2024-07-04T00:00:00"/>
    <s v="CUST0099"/>
    <x v="256"/>
    <x v="2"/>
    <s v="Karnataka"/>
    <x v="3"/>
    <x v="10"/>
    <n v="7"/>
    <n v="6188"/>
    <n v="4411.78"/>
    <n v="1776.22"/>
    <n v="0.2870426632191338"/>
    <x v="11"/>
    <x v="0"/>
  </r>
  <r>
    <s v="ORD00595"/>
    <d v="2025-03-29T00:00:00"/>
    <s v="CUST0127"/>
    <x v="257"/>
    <x v="1"/>
    <s v="Maharashtra"/>
    <x v="1"/>
    <x v="6"/>
    <n v="4"/>
    <n v="13808"/>
    <n v="10789.12"/>
    <n v="3018.88"/>
    <n v="0.21863267670915412"/>
    <x v="7"/>
    <x v="1"/>
  </r>
  <r>
    <s v="ORD00596"/>
    <d v="2024-08-01T00:00:00"/>
    <s v="CUST0243"/>
    <x v="241"/>
    <x v="2"/>
    <s v="Tamil Nadu"/>
    <x v="0"/>
    <x v="0"/>
    <n v="2"/>
    <n v="9138"/>
    <n v="6851.69"/>
    <n v="2286.31"/>
    <n v="0.25019807397680016"/>
    <x v="2"/>
    <x v="0"/>
  </r>
  <r>
    <s v="ORD00597"/>
    <d v="2024-09-16T00:00:00"/>
    <s v="CUST0247"/>
    <x v="154"/>
    <x v="3"/>
    <s v="Odisha"/>
    <x v="1"/>
    <x v="11"/>
    <n v="1"/>
    <n v="4802"/>
    <n v="3391.55"/>
    <n v="1410.45"/>
    <n v="0.29372136609745941"/>
    <x v="1"/>
    <x v="0"/>
  </r>
  <r>
    <s v="ORD00598"/>
    <d v="2025-03-20T00:00:00"/>
    <s v="CUST0167"/>
    <x v="108"/>
    <x v="2"/>
    <s v="Tamil Nadu"/>
    <x v="1"/>
    <x v="1"/>
    <n v="4"/>
    <n v="4900"/>
    <n v="3041.87"/>
    <n v="1858.13"/>
    <n v="0.3792102040816327"/>
    <x v="7"/>
    <x v="1"/>
  </r>
  <r>
    <s v="ORD00599"/>
    <d v="2024-01-10T00:00:00"/>
    <s v="CUST0022"/>
    <x v="152"/>
    <x v="2"/>
    <s v="Tamil Nadu"/>
    <x v="0"/>
    <x v="8"/>
    <n v="2"/>
    <n v="7084"/>
    <n v="5573.29"/>
    <n v="1510.71"/>
    <n v="0.21325663466967815"/>
    <x v="8"/>
    <x v="0"/>
  </r>
  <r>
    <s v="ORD00600"/>
    <d v="2024-09-11T00:00:00"/>
    <s v="CUST0081"/>
    <x v="184"/>
    <x v="1"/>
    <s v="Rajasthan"/>
    <x v="0"/>
    <x v="8"/>
    <n v="3"/>
    <n v="10026"/>
    <n v="7832.7"/>
    <n v="2193.3000000000002"/>
    <n v="0.21876122082585281"/>
    <x v="1"/>
    <x v="0"/>
  </r>
  <r>
    <s v="ORD00601"/>
    <d v="2025-10-22T00:00:00"/>
    <s v="CUST0079"/>
    <x v="13"/>
    <x v="0"/>
    <s v="Haryana"/>
    <x v="0"/>
    <x v="8"/>
    <n v="6"/>
    <n v="4746"/>
    <n v="2695.41"/>
    <n v="2050.59"/>
    <n v="0.43206700379266755"/>
    <x v="10"/>
    <x v="1"/>
  </r>
  <r>
    <s v="ORD00602"/>
    <d v="2025-10-22T00:00:00"/>
    <s v="CUST0178"/>
    <x v="132"/>
    <x v="0"/>
    <s v="Delhi"/>
    <x v="2"/>
    <x v="9"/>
    <n v="4"/>
    <n v="11576"/>
    <n v="9775.9599999999991"/>
    <n v="1800.04"/>
    <n v="0.15549758120248791"/>
    <x v="10"/>
    <x v="1"/>
  </r>
  <r>
    <s v="ORD00603"/>
    <d v="2024-09-13T00:00:00"/>
    <s v="CUST0021"/>
    <x v="258"/>
    <x v="2"/>
    <s v="Karnataka"/>
    <x v="0"/>
    <x v="0"/>
    <n v="7"/>
    <n v="22638"/>
    <n v="17370.580000000002"/>
    <n v="5267.42"/>
    <n v="0.23268044880289779"/>
    <x v="1"/>
    <x v="0"/>
  </r>
  <r>
    <s v="ORD00604"/>
    <d v="2024-07-10T00:00:00"/>
    <s v="CUST0279"/>
    <x v="259"/>
    <x v="1"/>
    <s v="Rajasthan"/>
    <x v="3"/>
    <x v="10"/>
    <n v="9"/>
    <n v="38826"/>
    <n v="23564.77"/>
    <n v="15261.23"/>
    <n v="0.39306727450677381"/>
    <x v="11"/>
    <x v="0"/>
  </r>
  <r>
    <s v="ORD00605"/>
    <d v="2025-06-27T00:00:00"/>
    <s v="CUST0080"/>
    <x v="150"/>
    <x v="3"/>
    <s v="Bihar"/>
    <x v="2"/>
    <x v="9"/>
    <n v="5"/>
    <n v="24210"/>
    <n v="14480.07"/>
    <n v="9729.93"/>
    <n v="0.40189714993804215"/>
    <x v="4"/>
    <x v="1"/>
  </r>
  <r>
    <s v="ORD00606"/>
    <d v="2025-10-15T00:00:00"/>
    <s v="CUST0260"/>
    <x v="64"/>
    <x v="3"/>
    <s v="Odisha"/>
    <x v="2"/>
    <x v="5"/>
    <n v="6"/>
    <n v="24114"/>
    <n v="13267.91"/>
    <n v="10846.09"/>
    <n v="0.44978394293771251"/>
    <x v="10"/>
    <x v="1"/>
  </r>
  <r>
    <s v="ORD00607"/>
    <d v="2024-03-05T00:00:00"/>
    <s v="CUST0276"/>
    <x v="232"/>
    <x v="2"/>
    <s v="Karnataka"/>
    <x v="0"/>
    <x v="8"/>
    <n v="6"/>
    <n v="13536"/>
    <n v="8747.07"/>
    <n v="4788.93"/>
    <n v="0.35379210992907806"/>
    <x v="7"/>
    <x v="0"/>
  </r>
  <r>
    <s v="ORD00608"/>
    <d v="2024-10-16T00:00:00"/>
    <s v="CUST0166"/>
    <x v="133"/>
    <x v="2"/>
    <s v="Telangana"/>
    <x v="0"/>
    <x v="2"/>
    <n v="8"/>
    <n v="38536"/>
    <n v="22976.68"/>
    <n v="15559.32"/>
    <n v="0.40376063940211748"/>
    <x v="10"/>
    <x v="0"/>
  </r>
  <r>
    <s v="ORD00609"/>
    <d v="2024-05-12T00:00:00"/>
    <s v="CUST0092"/>
    <x v="249"/>
    <x v="3"/>
    <s v="West Bengal"/>
    <x v="1"/>
    <x v="6"/>
    <n v="9"/>
    <n v="7614"/>
    <n v="4287.7"/>
    <n v="3326.3"/>
    <n v="0.43686629892303652"/>
    <x v="6"/>
    <x v="0"/>
  </r>
  <r>
    <s v="ORD00610"/>
    <d v="2025-10-19T00:00:00"/>
    <s v="CUST0199"/>
    <x v="202"/>
    <x v="2"/>
    <s v="Karnataka"/>
    <x v="2"/>
    <x v="9"/>
    <n v="4"/>
    <n v="4432"/>
    <n v="2479.9"/>
    <n v="1952.1"/>
    <n v="0.44045577617328519"/>
    <x v="10"/>
    <x v="1"/>
  </r>
  <r>
    <s v="ORD00611"/>
    <d v="2024-08-01T00:00:00"/>
    <s v="CUST0252"/>
    <x v="147"/>
    <x v="3"/>
    <s v="West Bengal"/>
    <x v="3"/>
    <x v="4"/>
    <n v="4"/>
    <n v="3520"/>
    <n v="1949.82"/>
    <n v="1570.18"/>
    <n v="0.44607386363636364"/>
    <x v="2"/>
    <x v="0"/>
  </r>
  <r>
    <s v="ORD00612"/>
    <d v="2025-03-01T00:00:00"/>
    <s v="CUST0189"/>
    <x v="26"/>
    <x v="1"/>
    <s v="Rajasthan"/>
    <x v="1"/>
    <x v="1"/>
    <n v="6"/>
    <n v="29226"/>
    <n v="22592.959999999999"/>
    <n v="6633.04"/>
    <n v="0.22695681927051256"/>
    <x v="7"/>
    <x v="1"/>
  </r>
  <r>
    <s v="ORD00613"/>
    <d v="2024-08-09T00:00:00"/>
    <s v="CUST0266"/>
    <x v="116"/>
    <x v="3"/>
    <s v="Bihar"/>
    <x v="1"/>
    <x v="1"/>
    <n v="2"/>
    <n v="5578"/>
    <n v="3198.32"/>
    <n v="2379.6799999999998"/>
    <n v="0.4266188598063822"/>
    <x v="2"/>
    <x v="0"/>
  </r>
  <r>
    <s v="ORD00614"/>
    <d v="2025-06-22T00:00:00"/>
    <s v="CUST0128"/>
    <x v="239"/>
    <x v="0"/>
    <s v="Haryana"/>
    <x v="3"/>
    <x v="7"/>
    <n v="9"/>
    <n v="31104"/>
    <n v="18875.09"/>
    <n v="12228.91"/>
    <n v="0.39316197273662551"/>
    <x v="4"/>
    <x v="1"/>
  </r>
  <r>
    <s v="ORD00615"/>
    <d v="2025-10-15T00:00:00"/>
    <s v="CUST0296"/>
    <x v="93"/>
    <x v="2"/>
    <s v="Telangana"/>
    <x v="0"/>
    <x v="0"/>
    <n v="9"/>
    <n v="33309"/>
    <n v="25775.59"/>
    <n v="7533.41"/>
    <n v="0.22616740220360862"/>
    <x v="10"/>
    <x v="1"/>
  </r>
  <r>
    <s v="ORD00616"/>
    <d v="2024-07-03T00:00:00"/>
    <s v="CUST0282"/>
    <x v="215"/>
    <x v="1"/>
    <s v="Rajasthan"/>
    <x v="0"/>
    <x v="2"/>
    <n v="7"/>
    <n v="8064"/>
    <n v="4838.75"/>
    <n v="3225.25"/>
    <n v="0.39995659722222221"/>
    <x v="11"/>
    <x v="0"/>
  </r>
  <r>
    <s v="ORD00617"/>
    <d v="2024-11-18T00:00:00"/>
    <s v="CUST0282"/>
    <x v="260"/>
    <x v="3"/>
    <s v="Bihar"/>
    <x v="1"/>
    <x v="11"/>
    <n v="9"/>
    <n v="35361"/>
    <n v="29351.61"/>
    <n v="6009.39"/>
    <n v="0.16994400610842456"/>
    <x v="5"/>
    <x v="0"/>
  </r>
  <r>
    <s v="ORD00618"/>
    <d v="2025-07-30T00:00:00"/>
    <s v="CUST0280"/>
    <x v="29"/>
    <x v="3"/>
    <s v="Odisha"/>
    <x v="0"/>
    <x v="2"/>
    <n v="7"/>
    <n v="20643"/>
    <n v="15121.49"/>
    <n v="5521.51"/>
    <n v="0.26747614203361914"/>
    <x v="11"/>
    <x v="1"/>
  </r>
  <r>
    <s v="ORD00619"/>
    <d v="2025-04-03T00:00:00"/>
    <s v="CUST0204"/>
    <x v="82"/>
    <x v="1"/>
    <s v="Rajasthan"/>
    <x v="0"/>
    <x v="0"/>
    <n v="5"/>
    <n v="16245"/>
    <n v="13621.36"/>
    <n v="2623.64"/>
    <n v="0.16150446291166512"/>
    <x v="0"/>
    <x v="1"/>
  </r>
  <r>
    <s v="ORD00620"/>
    <d v="2024-11-05T00:00:00"/>
    <s v="CUST0004"/>
    <x v="251"/>
    <x v="0"/>
    <s v="Punjab"/>
    <x v="0"/>
    <x v="8"/>
    <n v="1"/>
    <n v="4540"/>
    <n v="2680.99"/>
    <n v="1859.01"/>
    <n v="0.40947356828193832"/>
    <x v="5"/>
    <x v="0"/>
  </r>
  <r>
    <s v="ORD00621"/>
    <d v="2025-06-07T00:00:00"/>
    <s v="CUST0285"/>
    <x v="230"/>
    <x v="2"/>
    <s v="Karnataka"/>
    <x v="3"/>
    <x v="4"/>
    <n v="1"/>
    <n v="2560"/>
    <n v="2113.88"/>
    <n v="446.12"/>
    <n v="0.17426562500000001"/>
    <x v="4"/>
    <x v="1"/>
  </r>
  <r>
    <s v="ORD00622"/>
    <d v="2024-09-28T00:00:00"/>
    <s v="CUST0188"/>
    <x v="261"/>
    <x v="2"/>
    <s v="Karnataka"/>
    <x v="1"/>
    <x v="1"/>
    <n v="8"/>
    <n v="25704"/>
    <n v="15340.97"/>
    <n v="10363.030000000001"/>
    <n v="0.40316798941798943"/>
    <x v="1"/>
    <x v="0"/>
  </r>
  <r>
    <s v="ORD00623"/>
    <d v="2025-08-05T00:00:00"/>
    <s v="CUST0112"/>
    <x v="173"/>
    <x v="2"/>
    <s v="Karnataka"/>
    <x v="3"/>
    <x v="10"/>
    <n v="5"/>
    <n v="5260"/>
    <n v="3793.23"/>
    <n v="1466.77"/>
    <n v="0.27885361216730037"/>
    <x v="2"/>
    <x v="1"/>
  </r>
  <r>
    <s v="ORD00624"/>
    <d v="2024-11-03T00:00:00"/>
    <s v="CUST0020"/>
    <x v="79"/>
    <x v="3"/>
    <s v="Odisha"/>
    <x v="1"/>
    <x v="11"/>
    <n v="8"/>
    <n v="8648"/>
    <n v="6300.67"/>
    <n v="2347.33"/>
    <n v="0.2714303885291397"/>
    <x v="5"/>
    <x v="0"/>
  </r>
  <r>
    <s v="ORD00625"/>
    <d v="2025-03-20T00:00:00"/>
    <s v="CUST0214"/>
    <x v="18"/>
    <x v="1"/>
    <s v="Maharashtra"/>
    <x v="1"/>
    <x v="1"/>
    <n v="6"/>
    <n v="18900"/>
    <n v="15383.42"/>
    <n v="3516.58"/>
    <n v="0.18606243386243385"/>
    <x v="7"/>
    <x v="1"/>
  </r>
  <r>
    <s v="ORD00626"/>
    <d v="2025-10-09T00:00:00"/>
    <s v="CUST0196"/>
    <x v="211"/>
    <x v="2"/>
    <s v="Telangana"/>
    <x v="0"/>
    <x v="2"/>
    <n v="10"/>
    <n v="3930"/>
    <n v="2908.85"/>
    <n v="1021.15"/>
    <n v="0.2598346055979644"/>
    <x v="10"/>
    <x v="1"/>
  </r>
  <r>
    <s v="ORD00627"/>
    <d v="2024-11-30T00:00:00"/>
    <s v="CUST0258"/>
    <x v="200"/>
    <x v="3"/>
    <s v="Bihar"/>
    <x v="1"/>
    <x v="1"/>
    <n v="6"/>
    <n v="28338"/>
    <n v="20388.45"/>
    <n v="7949.55"/>
    <n v="0.28052614863434261"/>
    <x v="5"/>
    <x v="0"/>
  </r>
  <r>
    <s v="ORD00628"/>
    <d v="2025-08-12T00:00:00"/>
    <s v="CUST0259"/>
    <x v="120"/>
    <x v="2"/>
    <s v="Karnataka"/>
    <x v="0"/>
    <x v="2"/>
    <n v="7"/>
    <n v="27650"/>
    <n v="21452.31"/>
    <n v="6197.69"/>
    <n v="0.22414792043399637"/>
    <x v="2"/>
    <x v="1"/>
  </r>
  <r>
    <s v="ORD00629"/>
    <d v="2024-03-25T00:00:00"/>
    <s v="CUST0244"/>
    <x v="230"/>
    <x v="2"/>
    <s v="Tamil Nadu"/>
    <x v="3"/>
    <x v="10"/>
    <n v="7"/>
    <n v="10584"/>
    <n v="6240.93"/>
    <n v="4343.07"/>
    <n v="0.41034297052154195"/>
    <x v="7"/>
    <x v="0"/>
  </r>
  <r>
    <s v="ORD00630"/>
    <d v="2025-03-20T00:00:00"/>
    <s v="CUST0067"/>
    <x v="176"/>
    <x v="0"/>
    <s v="Haryana"/>
    <x v="2"/>
    <x v="3"/>
    <n v="5"/>
    <n v="4980"/>
    <n v="3334.4"/>
    <n v="1645.6"/>
    <n v="0.33044176706827305"/>
    <x v="7"/>
    <x v="1"/>
  </r>
  <r>
    <s v="ORD00631"/>
    <d v="2024-07-19T00:00:00"/>
    <s v="CUST0288"/>
    <x v="167"/>
    <x v="1"/>
    <s v="Rajasthan"/>
    <x v="3"/>
    <x v="7"/>
    <n v="8"/>
    <n v="28304"/>
    <n v="21105.57"/>
    <n v="7198.43"/>
    <n v="0.25432553702656868"/>
    <x v="11"/>
    <x v="0"/>
  </r>
  <r>
    <s v="ORD00632"/>
    <d v="2025-08-12T00:00:00"/>
    <s v="CUST0046"/>
    <x v="238"/>
    <x v="2"/>
    <s v="Karnataka"/>
    <x v="1"/>
    <x v="6"/>
    <n v="5"/>
    <n v="19115"/>
    <n v="12367.85"/>
    <n v="6747.15"/>
    <n v="0.35297671985351814"/>
    <x v="2"/>
    <x v="1"/>
  </r>
  <r>
    <s v="ORD00633"/>
    <d v="2025-08-31T00:00:00"/>
    <s v="CUST0013"/>
    <x v="68"/>
    <x v="1"/>
    <s v="Gujarat"/>
    <x v="3"/>
    <x v="4"/>
    <n v="6"/>
    <n v="11160"/>
    <n v="7211.83"/>
    <n v="3948.17"/>
    <n v="0.35377867383512546"/>
    <x v="2"/>
    <x v="1"/>
  </r>
  <r>
    <s v="ORD00634"/>
    <d v="2024-08-27T00:00:00"/>
    <s v="CUST0103"/>
    <x v="115"/>
    <x v="2"/>
    <s v="Tamil Nadu"/>
    <x v="0"/>
    <x v="8"/>
    <n v="8"/>
    <n v="11952"/>
    <n v="8152.93"/>
    <n v="3799.07"/>
    <n v="0.31786060910307901"/>
    <x v="2"/>
    <x v="0"/>
  </r>
  <r>
    <s v="ORD00635"/>
    <d v="2025-09-27T00:00:00"/>
    <s v="CUST0076"/>
    <x v="91"/>
    <x v="2"/>
    <s v="Telangana"/>
    <x v="1"/>
    <x v="6"/>
    <n v="2"/>
    <n v="1492"/>
    <n v="929.39"/>
    <n v="562.61"/>
    <n v="0.37708445040214478"/>
    <x v="1"/>
    <x v="1"/>
  </r>
  <r>
    <s v="ORD00636"/>
    <d v="2024-01-24T00:00:00"/>
    <s v="CUST0170"/>
    <x v="205"/>
    <x v="0"/>
    <s v="Punjab"/>
    <x v="0"/>
    <x v="0"/>
    <n v="2"/>
    <n v="5598"/>
    <n v="3834.73"/>
    <n v="1763.27"/>
    <n v="0.31498213647731332"/>
    <x v="8"/>
    <x v="0"/>
  </r>
  <r>
    <s v="ORD00637"/>
    <d v="2025-09-29T00:00:00"/>
    <s v="CUST0073"/>
    <x v="123"/>
    <x v="2"/>
    <s v="Karnataka"/>
    <x v="2"/>
    <x v="5"/>
    <n v="9"/>
    <n v="21762"/>
    <n v="15552"/>
    <n v="6210"/>
    <n v="0.28535980148883372"/>
    <x v="1"/>
    <x v="1"/>
  </r>
  <r>
    <s v="ORD00638"/>
    <d v="2024-03-02T00:00:00"/>
    <s v="CUST0146"/>
    <x v="37"/>
    <x v="1"/>
    <s v="Rajasthan"/>
    <x v="0"/>
    <x v="2"/>
    <n v="9"/>
    <n v="5904"/>
    <n v="3699.66"/>
    <n v="2204.34"/>
    <n v="0.37336382113821143"/>
    <x v="7"/>
    <x v="0"/>
  </r>
  <r>
    <s v="ORD00639"/>
    <d v="2024-10-04T00:00:00"/>
    <s v="CUST0185"/>
    <x v="217"/>
    <x v="3"/>
    <s v="West Bengal"/>
    <x v="2"/>
    <x v="9"/>
    <n v="1"/>
    <n v="845"/>
    <n v="563.27"/>
    <n v="281.73"/>
    <n v="0.33340828402366868"/>
    <x v="10"/>
    <x v="0"/>
  </r>
  <r>
    <s v="ORD00640"/>
    <d v="2025-06-04T00:00:00"/>
    <s v="CUST0051"/>
    <x v="189"/>
    <x v="0"/>
    <s v="Punjab"/>
    <x v="0"/>
    <x v="2"/>
    <n v="7"/>
    <n v="15351"/>
    <n v="12955.29"/>
    <n v="2395.71"/>
    <n v="0.15606214578854799"/>
    <x v="4"/>
    <x v="1"/>
  </r>
  <r>
    <s v="ORD00641"/>
    <d v="2025-04-13T00:00:00"/>
    <s v="CUST0288"/>
    <x v="178"/>
    <x v="1"/>
    <s v="Rajasthan"/>
    <x v="2"/>
    <x v="5"/>
    <n v="2"/>
    <n v="3654"/>
    <n v="2227.71"/>
    <n v="1426.29"/>
    <n v="0.3903366174055829"/>
    <x v="0"/>
    <x v="1"/>
  </r>
  <r>
    <s v="ORD00642"/>
    <d v="2024-06-09T00:00:00"/>
    <s v="CUST0010"/>
    <x v="148"/>
    <x v="0"/>
    <s v="Delhi"/>
    <x v="2"/>
    <x v="5"/>
    <n v="5"/>
    <n v="15160"/>
    <n v="10566.21"/>
    <n v="4593.79"/>
    <n v="0.30302044854881266"/>
    <x v="4"/>
    <x v="0"/>
  </r>
  <r>
    <s v="ORD00643"/>
    <d v="2025-05-28T00:00:00"/>
    <s v="CUST0142"/>
    <x v="131"/>
    <x v="3"/>
    <s v="Odisha"/>
    <x v="0"/>
    <x v="2"/>
    <n v="5"/>
    <n v="11170"/>
    <n v="9481.08"/>
    <n v="1688.92"/>
    <n v="0.15120143240823636"/>
    <x v="6"/>
    <x v="1"/>
  </r>
  <r>
    <s v="ORD00644"/>
    <d v="2024-12-15T00:00:00"/>
    <s v="CUST0202"/>
    <x v="99"/>
    <x v="3"/>
    <s v="Odisha"/>
    <x v="1"/>
    <x v="1"/>
    <n v="9"/>
    <n v="23355"/>
    <n v="14425.8"/>
    <n v="8929.2000000000007"/>
    <n v="0.38232498394348108"/>
    <x v="3"/>
    <x v="0"/>
  </r>
  <r>
    <s v="ORD00645"/>
    <d v="2025-08-09T00:00:00"/>
    <s v="CUST0079"/>
    <x v="237"/>
    <x v="0"/>
    <s v="Haryana"/>
    <x v="2"/>
    <x v="3"/>
    <n v="9"/>
    <n v="19467"/>
    <n v="13144.12"/>
    <n v="6322.88"/>
    <n v="0.32479991780962653"/>
    <x v="2"/>
    <x v="1"/>
  </r>
  <r>
    <s v="ORD00646"/>
    <d v="2025-10-30T00:00:00"/>
    <s v="CUST0071"/>
    <x v="152"/>
    <x v="3"/>
    <s v="Bihar"/>
    <x v="3"/>
    <x v="4"/>
    <n v="8"/>
    <n v="37928"/>
    <n v="22359.759999999998"/>
    <n v="15568.24"/>
    <n v="0.41046825564226957"/>
    <x v="10"/>
    <x v="1"/>
  </r>
  <r>
    <s v="ORD00647"/>
    <d v="2024-05-28T00:00:00"/>
    <s v="CUST0290"/>
    <x v="74"/>
    <x v="2"/>
    <s v="Karnataka"/>
    <x v="3"/>
    <x v="10"/>
    <n v="9"/>
    <n v="12663"/>
    <n v="8598.42"/>
    <n v="4064.58"/>
    <n v="0.32098081023454156"/>
    <x v="6"/>
    <x v="0"/>
  </r>
  <r>
    <s v="ORD00648"/>
    <d v="2024-05-29T00:00:00"/>
    <s v="CUST0016"/>
    <x v="231"/>
    <x v="3"/>
    <s v="West Bengal"/>
    <x v="2"/>
    <x v="5"/>
    <n v="9"/>
    <n v="11421"/>
    <n v="6912.45"/>
    <n v="4508.55"/>
    <n v="0.39475965327029161"/>
    <x v="6"/>
    <x v="0"/>
  </r>
  <r>
    <s v="ORD00649"/>
    <d v="2024-07-11T00:00:00"/>
    <s v="CUST0055"/>
    <x v="262"/>
    <x v="1"/>
    <s v="Gujarat"/>
    <x v="3"/>
    <x v="10"/>
    <n v="8"/>
    <n v="20336"/>
    <n v="12111.86"/>
    <n v="8224.14"/>
    <n v="0.40441286388670333"/>
    <x v="11"/>
    <x v="0"/>
  </r>
  <r>
    <s v="ORD00650"/>
    <d v="2025-09-19T00:00:00"/>
    <s v="CUST0119"/>
    <x v="95"/>
    <x v="2"/>
    <s v="Karnataka"/>
    <x v="0"/>
    <x v="8"/>
    <n v="10"/>
    <n v="24860"/>
    <n v="18189.599999999999"/>
    <n v="6670.4"/>
    <n v="0.26831858407079645"/>
    <x v="1"/>
    <x v="1"/>
  </r>
  <r>
    <s v="ORD00651"/>
    <d v="2025-05-03T00:00:00"/>
    <s v="CUST0069"/>
    <x v="180"/>
    <x v="2"/>
    <s v="Telangana"/>
    <x v="1"/>
    <x v="1"/>
    <n v="6"/>
    <n v="5706"/>
    <n v="4316.26"/>
    <n v="1389.74"/>
    <n v="0.24355765860497722"/>
    <x v="6"/>
    <x v="1"/>
  </r>
  <r>
    <s v="ORD00652"/>
    <d v="2025-05-18T00:00:00"/>
    <s v="CUST0243"/>
    <x v="99"/>
    <x v="1"/>
    <s v="Rajasthan"/>
    <x v="0"/>
    <x v="2"/>
    <n v="6"/>
    <n v="10842"/>
    <n v="8734.74"/>
    <n v="2107.2600000000002"/>
    <n v="0.19436081903707805"/>
    <x v="6"/>
    <x v="1"/>
  </r>
  <r>
    <s v="ORD00653"/>
    <d v="2024-01-16T00:00:00"/>
    <s v="CUST0139"/>
    <x v="195"/>
    <x v="2"/>
    <s v="Karnataka"/>
    <x v="3"/>
    <x v="7"/>
    <n v="1"/>
    <n v="3647"/>
    <n v="2842.33"/>
    <n v="804.67"/>
    <n v="0.22063888127227857"/>
    <x v="8"/>
    <x v="0"/>
  </r>
  <r>
    <s v="ORD00654"/>
    <d v="2025-03-25T00:00:00"/>
    <s v="CUST0251"/>
    <x v="260"/>
    <x v="2"/>
    <s v="Telangana"/>
    <x v="0"/>
    <x v="2"/>
    <n v="4"/>
    <n v="7900"/>
    <n v="4501.74"/>
    <n v="3398.26"/>
    <n v="0.43015949367088613"/>
    <x v="7"/>
    <x v="1"/>
  </r>
  <r>
    <s v="ORD00655"/>
    <d v="2025-01-24T00:00:00"/>
    <s v="CUST0161"/>
    <x v="263"/>
    <x v="1"/>
    <s v="Maharashtra"/>
    <x v="2"/>
    <x v="3"/>
    <n v="7"/>
    <n v="4494"/>
    <n v="3291.31"/>
    <n v="1202.69"/>
    <n v="0.2676212728081887"/>
    <x v="8"/>
    <x v="1"/>
  </r>
  <r>
    <s v="ORD00656"/>
    <d v="2024-02-13T00:00:00"/>
    <s v="CUST0126"/>
    <x v="48"/>
    <x v="0"/>
    <s v="Haryana"/>
    <x v="1"/>
    <x v="6"/>
    <n v="8"/>
    <n v="32336"/>
    <n v="25807.46"/>
    <n v="6528.54"/>
    <n v="0.20189695695200396"/>
    <x v="9"/>
    <x v="0"/>
  </r>
  <r>
    <s v="ORD00657"/>
    <d v="2025-10-07T00:00:00"/>
    <s v="CUST0026"/>
    <x v="86"/>
    <x v="1"/>
    <s v="Rajasthan"/>
    <x v="1"/>
    <x v="1"/>
    <n v="9"/>
    <n v="31257"/>
    <n v="22031.119999999999"/>
    <n v="9225.8799999999992"/>
    <n v="0.29516204370221066"/>
    <x v="10"/>
    <x v="1"/>
  </r>
  <r>
    <s v="ORD00658"/>
    <d v="2025-03-08T00:00:00"/>
    <s v="CUST0151"/>
    <x v="211"/>
    <x v="3"/>
    <s v="Odisha"/>
    <x v="2"/>
    <x v="3"/>
    <n v="5"/>
    <n v="13210"/>
    <n v="9093.82"/>
    <n v="4116.18"/>
    <n v="0.31159576078728241"/>
    <x v="7"/>
    <x v="1"/>
  </r>
  <r>
    <s v="ORD00659"/>
    <d v="2024-04-25T00:00:00"/>
    <s v="CUST0093"/>
    <x v="53"/>
    <x v="2"/>
    <s v="Tamil Nadu"/>
    <x v="0"/>
    <x v="2"/>
    <n v="8"/>
    <n v="8320"/>
    <n v="6379.73"/>
    <n v="1940.27"/>
    <n v="0.23320552884615384"/>
    <x v="0"/>
    <x v="0"/>
  </r>
  <r>
    <s v="ORD00660"/>
    <d v="2025-04-09T00:00:00"/>
    <s v="CUST0104"/>
    <x v="264"/>
    <x v="2"/>
    <s v="Tamil Nadu"/>
    <x v="2"/>
    <x v="3"/>
    <n v="6"/>
    <n v="23958"/>
    <n v="13355.95"/>
    <n v="10602.05"/>
    <n v="0.44252650471658733"/>
    <x v="0"/>
    <x v="1"/>
  </r>
  <r>
    <s v="ORD00661"/>
    <d v="2025-12-24T00:00:00"/>
    <s v="CUST0231"/>
    <x v="125"/>
    <x v="0"/>
    <s v="Punjab"/>
    <x v="3"/>
    <x v="4"/>
    <n v="3"/>
    <n v="3936"/>
    <n v="2272.48"/>
    <n v="1663.52"/>
    <n v="0.4226422764227642"/>
    <x v="3"/>
    <x v="1"/>
  </r>
  <r>
    <s v="ORD00662"/>
    <d v="2024-06-12T00:00:00"/>
    <s v="CUST0194"/>
    <x v="221"/>
    <x v="0"/>
    <s v="Haryana"/>
    <x v="0"/>
    <x v="0"/>
    <n v="7"/>
    <n v="31437"/>
    <n v="23062.87"/>
    <n v="8374.1299999999992"/>
    <n v="0.26637815313166013"/>
    <x v="4"/>
    <x v="0"/>
  </r>
  <r>
    <s v="ORD00663"/>
    <d v="2024-06-02T00:00:00"/>
    <s v="CUST0084"/>
    <x v="138"/>
    <x v="1"/>
    <s v="Maharashtra"/>
    <x v="1"/>
    <x v="11"/>
    <n v="6"/>
    <n v="29592"/>
    <n v="24010.7"/>
    <n v="5581.3"/>
    <n v="0.18860840767775075"/>
    <x v="4"/>
    <x v="0"/>
  </r>
  <r>
    <s v="ORD00664"/>
    <d v="2025-04-01T00:00:00"/>
    <s v="CUST0148"/>
    <x v="119"/>
    <x v="2"/>
    <s v="Telangana"/>
    <x v="1"/>
    <x v="1"/>
    <n v="7"/>
    <n v="19761"/>
    <n v="12703.47"/>
    <n v="7057.53"/>
    <n v="0.35714437528465159"/>
    <x v="0"/>
    <x v="1"/>
  </r>
  <r>
    <s v="ORD00665"/>
    <d v="2025-05-24T00:00:00"/>
    <s v="CUST0256"/>
    <x v="30"/>
    <x v="0"/>
    <s v="Delhi"/>
    <x v="3"/>
    <x v="7"/>
    <n v="1"/>
    <n v="2373"/>
    <n v="1313.84"/>
    <n v="1059.1600000000001"/>
    <n v="0.44633796881584498"/>
    <x v="6"/>
    <x v="1"/>
  </r>
  <r>
    <s v="ORD00666"/>
    <d v="2025-05-02T00:00:00"/>
    <s v="CUST0233"/>
    <x v="133"/>
    <x v="0"/>
    <s v="Haryana"/>
    <x v="2"/>
    <x v="9"/>
    <n v="4"/>
    <n v="8304"/>
    <n v="6034.17"/>
    <n v="2269.83"/>
    <n v="0.27334176300578034"/>
    <x v="6"/>
    <x v="1"/>
  </r>
  <r>
    <s v="ORD00667"/>
    <d v="2025-07-14T00:00:00"/>
    <s v="CUST0143"/>
    <x v="163"/>
    <x v="1"/>
    <s v="Maharashtra"/>
    <x v="0"/>
    <x v="8"/>
    <n v="10"/>
    <n v="3530"/>
    <n v="2200.65"/>
    <n v="1329.35"/>
    <n v="0.37658640226628892"/>
    <x v="11"/>
    <x v="1"/>
  </r>
  <r>
    <s v="ORD00668"/>
    <d v="2024-02-07T00:00:00"/>
    <s v="CUST0075"/>
    <x v="249"/>
    <x v="2"/>
    <s v="Karnataka"/>
    <x v="1"/>
    <x v="11"/>
    <n v="3"/>
    <n v="2253"/>
    <n v="1680.7"/>
    <n v="572.29999999999995"/>
    <n v="0.25401686640035503"/>
    <x v="9"/>
    <x v="0"/>
  </r>
  <r>
    <s v="ORD00669"/>
    <d v="2024-07-01T00:00:00"/>
    <s v="CUST0083"/>
    <x v="70"/>
    <x v="3"/>
    <s v="Odisha"/>
    <x v="1"/>
    <x v="6"/>
    <n v="1"/>
    <n v="1192"/>
    <n v="804.7"/>
    <n v="387.3"/>
    <n v="0.32491610738255033"/>
    <x v="11"/>
    <x v="0"/>
  </r>
  <r>
    <s v="ORD00670"/>
    <d v="2024-04-05T00:00:00"/>
    <s v="CUST0154"/>
    <x v="78"/>
    <x v="2"/>
    <s v="Tamil Nadu"/>
    <x v="0"/>
    <x v="0"/>
    <n v="10"/>
    <n v="32500"/>
    <n v="26956.93"/>
    <n v="5543.07"/>
    <n v="0.17055599999999999"/>
    <x v="0"/>
    <x v="0"/>
  </r>
  <r>
    <s v="ORD00671"/>
    <d v="2025-04-27T00:00:00"/>
    <s v="CUST0069"/>
    <x v="84"/>
    <x v="3"/>
    <s v="Odisha"/>
    <x v="1"/>
    <x v="6"/>
    <n v="7"/>
    <n v="33663"/>
    <n v="19170.330000000002"/>
    <n v="14492.67"/>
    <n v="0.43052223509491133"/>
    <x v="0"/>
    <x v="1"/>
  </r>
  <r>
    <s v="ORD00672"/>
    <d v="2024-08-02T00:00:00"/>
    <s v="CUST0030"/>
    <x v="217"/>
    <x v="3"/>
    <s v="Odisha"/>
    <x v="2"/>
    <x v="5"/>
    <n v="7"/>
    <n v="32179"/>
    <n v="19724.23"/>
    <n v="12454.77"/>
    <n v="0.38704652102302745"/>
    <x v="2"/>
    <x v="0"/>
  </r>
  <r>
    <s v="ORD00673"/>
    <d v="2024-11-20T00:00:00"/>
    <s v="CUST0133"/>
    <x v="149"/>
    <x v="0"/>
    <s v="Punjab"/>
    <x v="0"/>
    <x v="0"/>
    <n v="10"/>
    <n v="26520"/>
    <n v="17983.64"/>
    <n v="8536.36"/>
    <n v="0.32188386123680246"/>
    <x v="5"/>
    <x v="0"/>
  </r>
  <r>
    <s v="ORD00674"/>
    <d v="2025-10-09T00:00:00"/>
    <s v="CUST0255"/>
    <x v="11"/>
    <x v="3"/>
    <s v="West Bengal"/>
    <x v="0"/>
    <x v="8"/>
    <n v="10"/>
    <n v="43660"/>
    <n v="30820.11"/>
    <n v="12839.89"/>
    <n v="0.2940881814017407"/>
    <x v="10"/>
    <x v="1"/>
  </r>
  <r>
    <s v="ORD00675"/>
    <d v="2024-01-25T00:00:00"/>
    <s v="CUST0239"/>
    <x v="235"/>
    <x v="2"/>
    <s v="Telangana"/>
    <x v="3"/>
    <x v="7"/>
    <n v="5"/>
    <n v="9425"/>
    <n v="5188.22"/>
    <n v="4236.78"/>
    <n v="0.44952572944297081"/>
    <x v="8"/>
    <x v="0"/>
  </r>
  <r>
    <s v="ORD00676"/>
    <d v="2025-07-27T00:00:00"/>
    <s v="CUST0109"/>
    <x v="199"/>
    <x v="2"/>
    <s v="Telangana"/>
    <x v="2"/>
    <x v="3"/>
    <n v="7"/>
    <n v="4704"/>
    <n v="3058.25"/>
    <n v="1645.75"/>
    <n v="0.34986181972789115"/>
    <x v="11"/>
    <x v="1"/>
  </r>
  <r>
    <s v="ORD00677"/>
    <d v="2025-06-02T00:00:00"/>
    <s v="CUST0282"/>
    <x v="78"/>
    <x v="2"/>
    <s v="Telangana"/>
    <x v="3"/>
    <x v="10"/>
    <n v="5"/>
    <n v="4275"/>
    <n v="2745.97"/>
    <n v="1529.03"/>
    <n v="0.35766783625730991"/>
    <x v="4"/>
    <x v="1"/>
  </r>
  <r>
    <s v="ORD00678"/>
    <d v="2025-08-05T00:00:00"/>
    <s v="CUST0015"/>
    <x v="265"/>
    <x v="0"/>
    <s v="Delhi"/>
    <x v="0"/>
    <x v="2"/>
    <n v="6"/>
    <n v="18576"/>
    <n v="12423.9"/>
    <n v="6152.1"/>
    <n v="0.3311854005167959"/>
    <x v="2"/>
    <x v="1"/>
  </r>
  <r>
    <s v="ORD00679"/>
    <d v="2025-10-23T00:00:00"/>
    <s v="CUST0070"/>
    <x v="236"/>
    <x v="2"/>
    <s v="Tamil Nadu"/>
    <x v="3"/>
    <x v="4"/>
    <n v="8"/>
    <n v="33496"/>
    <n v="26434.25"/>
    <n v="7061.75"/>
    <n v="0.21082368043945546"/>
    <x v="10"/>
    <x v="1"/>
  </r>
  <r>
    <s v="ORD00680"/>
    <d v="2025-02-27T00:00:00"/>
    <s v="CUST0029"/>
    <x v="234"/>
    <x v="2"/>
    <s v="Telangana"/>
    <x v="2"/>
    <x v="9"/>
    <n v="9"/>
    <n v="27405"/>
    <n v="18874.95"/>
    <n v="8530.0499999999993"/>
    <n v="0.31125889436234261"/>
    <x v="9"/>
    <x v="1"/>
  </r>
  <r>
    <s v="ORD00681"/>
    <d v="2024-08-01T00:00:00"/>
    <s v="CUST0296"/>
    <x v="242"/>
    <x v="3"/>
    <s v="Bihar"/>
    <x v="0"/>
    <x v="0"/>
    <n v="6"/>
    <n v="29088"/>
    <n v="20674.75"/>
    <n v="8413.25"/>
    <n v="0.28923439218921893"/>
    <x v="2"/>
    <x v="0"/>
  </r>
  <r>
    <s v="ORD00682"/>
    <d v="2025-01-19T00:00:00"/>
    <s v="CUST0274"/>
    <x v="23"/>
    <x v="3"/>
    <s v="West Bengal"/>
    <x v="1"/>
    <x v="11"/>
    <n v="5"/>
    <n v="2775"/>
    <n v="1808.59"/>
    <n v="966.41"/>
    <n v="0.34825585585585583"/>
    <x v="8"/>
    <x v="1"/>
  </r>
  <r>
    <s v="ORD00683"/>
    <d v="2024-11-18T00:00:00"/>
    <s v="CUST0017"/>
    <x v="145"/>
    <x v="1"/>
    <s v="Maharashtra"/>
    <x v="0"/>
    <x v="8"/>
    <n v="2"/>
    <n v="5650"/>
    <n v="4302.93"/>
    <n v="1347.07"/>
    <n v="0.23841946902654867"/>
    <x v="5"/>
    <x v="0"/>
  </r>
  <r>
    <s v="ORD00684"/>
    <d v="2024-11-05T00:00:00"/>
    <s v="CUST0111"/>
    <x v="167"/>
    <x v="1"/>
    <s v="Maharashtra"/>
    <x v="2"/>
    <x v="9"/>
    <n v="4"/>
    <n v="13376"/>
    <n v="9170.2099999999991"/>
    <n v="4205.79"/>
    <n v="0.31442808014354068"/>
    <x v="5"/>
    <x v="0"/>
  </r>
  <r>
    <s v="ORD00685"/>
    <d v="2024-04-04T00:00:00"/>
    <s v="CUST0228"/>
    <x v="42"/>
    <x v="3"/>
    <s v="West Bengal"/>
    <x v="1"/>
    <x v="6"/>
    <n v="6"/>
    <n v="3636"/>
    <n v="2848.21"/>
    <n v="787.79"/>
    <n v="0.21666391639163915"/>
    <x v="0"/>
    <x v="0"/>
  </r>
  <r>
    <s v="ORD00686"/>
    <d v="2025-05-10T00:00:00"/>
    <s v="CUST0269"/>
    <x v="266"/>
    <x v="0"/>
    <s v="Punjab"/>
    <x v="2"/>
    <x v="5"/>
    <n v="3"/>
    <n v="5574"/>
    <n v="3634.44"/>
    <n v="1939.56"/>
    <n v="0.34796555435952636"/>
    <x v="6"/>
    <x v="1"/>
  </r>
  <r>
    <s v="ORD00687"/>
    <d v="2024-02-07T00:00:00"/>
    <s v="CUST0236"/>
    <x v="232"/>
    <x v="3"/>
    <s v="West Bengal"/>
    <x v="1"/>
    <x v="6"/>
    <n v="9"/>
    <n v="12483"/>
    <n v="7634.06"/>
    <n v="4848.9399999999996"/>
    <n v="0.38844348313706639"/>
    <x v="9"/>
    <x v="0"/>
  </r>
  <r>
    <s v="ORD00688"/>
    <d v="2024-02-17T00:00:00"/>
    <s v="CUST0053"/>
    <x v="234"/>
    <x v="0"/>
    <s v="Delhi"/>
    <x v="3"/>
    <x v="10"/>
    <n v="1"/>
    <n v="1013"/>
    <n v="658.44"/>
    <n v="354.56"/>
    <n v="0.35000987166831193"/>
    <x v="9"/>
    <x v="0"/>
  </r>
  <r>
    <s v="ORD00689"/>
    <d v="2024-07-16T00:00:00"/>
    <s v="CUST0147"/>
    <x v="107"/>
    <x v="3"/>
    <s v="West Bengal"/>
    <x v="0"/>
    <x v="8"/>
    <n v="5"/>
    <n v="10095"/>
    <n v="6524.04"/>
    <n v="3570.96"/>
    <n v="0.35373551263001485"/>
    <x v="11"/>
    <x v="0"/>
  </r>
  <r>
    <s v="ORD00690"/>
    <d v="2024-10-07T00:00:00"/>
    <s v="CUST0059"/>
    <x v="108"/>
    <x v="3"/>
    <s v="Odisha"/>
    <x v="0"/>
    <x v="2"/>
    <n v="2"/>
    <n v="5066"/>
    <n v="3013.24"/>
    <n v="2052.7600000000002"/>
    <n v="0.40520331622581923"/>
    <x v="10"/>
    <x v="0"/>
  </r>
  <r>
    <s v="ORD00691"/>
    <d v="2024-05-24T00:00:00"/>
    <s v="CUST0146"/>
    <x v="267"/>
    <x v="0"/>
    <s v="Delhi"/>
    <x v="2"/>
    <x v="5"/>
    <n v="6"/>
    <n v="28800"/>
    <n v="18591.71"/>
    <n v="10208.290000000001"/>
    <n v="0.35445451388888893"/>
    <x v="6"/>
    <x v="0"/>
  </r>
  <r>
    <s v="ORD00692"/>
    <d v="2024-02-21T00:00:00"/>
    <s v="CUST0067"/>
    <x v="39"/>
    <x v="2"/>
    <s v="Karnataka"/>
    <x v="1"/>
    <x v="6"/>
    <n v="5"/>
    <n v="15370"/>
    <n v="10946.1"/>
    <n v="4423.8999999999996"/>
    <n v="0.28782693558880934"/>
    <x v="9"/>
    <x v="0"/>
  </r>
  <r>
    <s v="ORD00693"/>
    <d v="2025-03-12T00:00:00"/>
    <s v="CUST0201"/>
    <x v="240"/>
    <x v="1"/>
    <s v="Rajasthan"/>
    <x v="1"/>
    <x v="1"/>
    <n v="2"/>
    <n v="6884"/>
    <n v="3897.31"/>
    <n v="2986.69"/>
    <n v="0.43385967460778618"/>
    <x v="7"/>
    <x v="1"/>
  </r>
  <r>
    <s v="ORD00694"/>
    <d v="2025-12-31T00:00:00"/>
    <s v="CUST0274"/>
    <x v="147"/>
    <x v="1"/>
    <s v="Rajasthan"/>
    <x v="3"/>
    <x v="4"/>
    <n v="5"/>
    <n v="15110"/>
    <n v="12015.96"/>
    <n v="3094.04"/>
    <n v="0.20476770350761084"/>
    <x v="3"/>
    <x v="1"/>
  </r>
  <r>
    <s v="ORD00695"/>
    <d v="2024-11-13T00:00:00"/>
    <s v="CUST0239"/>
    <x v="268"/>
    <x v="1"/>
    <s v="Rajasthan"/>
    <x v="1"/>
    <x v="11"/>
    <n v="2"/>
    <n v="8272"/>
    <n v="4790.97"/>
    <n v="3481.03"/>
    <n v="0.42082084139264991"/>
    <x v="5"/>
    <x v="0"/>
  </r>
  <r>
    <s v="ORD00696"/>
    <d v="2025-02-05T00:00:00"/>
    <s v="CUST0094"/>
    <x v="242"/>
    <x v="2"/>
    <s v="Karnataka"/>
    <x v="1"/>
    <x v="11"/>
    <n v="10"/>
    <n v="24130"/>
    <n v="19879.71"/>
    <n v="4250.29"/>
    <n v="0.1761413178615831"/>
    <x v="9"/>
    <x v="1"/>
  </r>
  <r>
    <s v="ORD00697"/>
    <d v="2024-12-25T00:00:00"/>
    <s v="CUST0246"/>
    <x v="269"/>
    <x v="3"/>
    <s v="Odisha"/>
    <x v="2"/>
    <x v="9"/>
    <n v="1"/>
    <n v="835"/>
    <n v="578.32000000000005"/>
    <n v="256.68"/>
    <n v="0.30740119760479045"/>
    <x v="3"/>
    <x v="0"/>
  </r>
  <r>
    <s v="ORD00698"/>
    <d v="2025-02-19T00:00:00"/>
    <s v="CUST0055"/>
    <x v="260"/>
    <x v="2"/>
    <s v="Tamil Nadu"/>
    <x v="3"/>
    <x v="4"/>
    <n v="10"/>
    <n v="13430"/>
    <n v="9433.0300000000007"/>
    <n v="3996.97"/>
    <n v="0.2976150409530901"/>
    <x v="9"/>
    <x v="1"/>
  </r>
  <r>
    <s v="ORD00699"/>
    <d v="2024-09-01T00:00:00"/>
    <s v="CUST0125"/>
    <x v="112"/>
    <x v="0"/>
    <s v="Punjab"/>
    <x v="2"/>
    <x v="5"/>
    <n v="8"/>
    <n v="28664"/>
    <n v="20843.34"/>
    <n v="7820.66"/>
    <n v="0.27283910131174993"/>
    <x v="1"/>
    <x v="0"/>
  </r>
  <r>
    <s v="ORD00700"/>
    <d v="2025-12-11T00:00:00"/>
    <s v="CUST0221"/>
    <x v="62"/>
    <x v="2"/>
    <s v="Tamil Nadu"/>
    <x v="2"/>
    <x v="3"/>
    <n v="2"/>
    <n v="6182"/>
    <n v="3786.3"/>
    <n v="2395.6999999999998"/>
    <n v="0.3875283079909414"/>
    <x v="3"/>
    <x v="1"/>
  </r>
  <r>
    <s v="ORD00701"/>
    <d v="2024-03-20T00:00:00"/>
    <s v="CUST0294"/>
    <x v="24"/>
    <x v="3"/>
    <s v="Bihar"/>
    <x v="0"/>
    <x v="0"/>
    <n v="4"/>
    <n v="6868"/>
    <n v="5142.6499999999996"/>
    <n v="1725.35"/>
    <n v="0.25121578334304018"/>
    <x v="7"/>
    <x v="0"/>
  </r>
  <r>
    <s v="ORD00702"/>
    <d v="2025-03-31T00:00:00"/>
    <s v="CUST0091"/>
    <x v="175"/>
    <x v="0"/>
    <s v="Haryana"/>
    <x v="0"/>
    <x v="8"/>
    <n v="8"/>
    <n v="23720"/>
    <n v="16996"/>
    <n v="6724"/>
    <n v="0.28347386172006744"/>
    <x v="7"/>
    <x v="1"/>
  </r>
  <r>
    <s v="ORD00703"/>
    <d v="2025-10-22T00:00:00"/>
    <s v="CUST0032"/>
    <x v="120"/>
    <x v="1"/>
    <s v="Maharashtra"/>
    <x v="0"/>
    <x v="8"/>
    <n v="2"/>
    <n v="6808"/>
    <n v="4413.1000000000004"/>
    <n v="2394.9"/>
    <n v="0.35177732079905993"/>
    <x v="10"/>
    <x v="1"/>
  </r>
  <r>
    <s v="ORD00704"/>
    <d v="2025-04-08T00:00:00"/>
    <s v="CUST0273"/>
    <x v="85"/>
    <x v="2"/>
    <s v="Karnataka"/>
    <x v="0"/>
    <x v="8"/>
    <n v="1"/>
    <n v="1501"/>
    <n v="1123.1400000000001"/>
    <n v="377.86"/>
    <n v="0.25173884077281811"/>
    <x v="0"/>
    <x v="1"/>
  </r>
  <r>
    <s v="ORD00705"/>
    <d v="2024-11-20T00:00:00"/>
    <s v="CUST0154"/>
    <x v="239"/>
    <x v="1"/>
    <s v="Rajasthan"/>
    <x v="0"/>
    <x v="8"/>
    <n v="8"/>
    <n v="15216"/>
    <n v="9307.6"/>
    <n v="5908.4"/>
    <n v="0.3883017875920084"/>
    <x v="5"/>
    <x v="0"/>
  </r>
  <r>
    <s v="ORD00706"/>
    <d v="2025-09-18T00:00:00"/>
    <s v="CUST0262"/>
    <x v="77"/>
    <x v="3"/>
    <s v="Odisha"/>
    <x v="0"/>
    <x v="0"/>
    <n v="6"/>
    <n v="6186"/>
    <n v="4483.72"/>
    <n v="1702.28"/>
    <n v="0.27518267054639506"/>
    <x v="1"/>
    <x v="1"/>
  </r>
  <r>
    <s v="ORD00707"/>
    <d v="2024-01-01T00:00:00"/>
    <s v="CUST0287"/>
    <x v="93"/>
    <x v="2"/>
    <s v="Tamil Nadu"/>
    <x v="1"/>
    <x v="1"/>
    <n v="6"/>
    <n v="28776"/>
    <n v="24182.48"/>
    <n v="4593.5200000000004"/>
    <n v="0.15963024742841259"/>
    <x v="8"/>
    <x v="0"/>
  </r>
  <r>
    <s v="ORD00708"/>
    <d v="2025-02-07T00:00:00"/>
    <s v="CUST0163"/>
    <x v="243"/>
    <x v="0"/>
    <s v="Punjab"/>
    <x v="1"/>
    <x v="1"/>
    <n v="4"/>
    <n v="15344"/>
    <n v="11671.67"/>
    <n v="3672.33"/>
    <n v="0.23933328988529717"/>
    <x v="9"/>
    <x v="1"/>
  </r>
  <r>
    <s v="ORD00709"/>
    <d v="2025-05-01T00:00:00"/>
    <s v="CUST0072"/>
    <x v="255"/>
    <x v="1"/>
    <s v="Gujarat"/>
    <x v="2"/>
    <x v="3"/>
    <n v="9"/>
    <n v="18270"/>
    <n v="13679.59"/>
    <n v="4590.41"/>
    <n v="0.25125396825396823"/>
    <x v="6"/>
    <x v="1"/>
  </r>
  <r>
    <s v="ORD00710"/>
    <d v="2025-11-17T00:00:00"/>
    <s v="CUST0065"/>
    <x v="177"/>
    <x v="1"/>
    <s v="Gujarat"/>
    <x v="2"/>
    <x v="3"/>
    <n v="3"/>
    <n v="7989"/>
    <n v="6784.55"/>
    <n v="1204.45"/>
    <n v="0.15076354988108651"/>
    <x v="5"/>
    <x v="1"/>
  </r>
  <r>
    <s v="ORD00711"/>
    <d v="2025-05-13T00:00:00"/>
    <s v="CUST0224"/>
    <x v="176"/>
    <x v="0"/>
    <s v="Delhi"/>
    <x v="0"/>
    <x v="2"/>
    <n v="1"/>
    <n v="1479"/>
    <n v="1133.51"/>
    <n v="345.49"/>
    <n v="0.23359702501690333"/>
    <x v="6"/>
    <x v="1"/>
  </r>
  <r>
    <s v="ORD00712"/>
    <d v="2025-12-13T00:00:00"/>
    <s v="CUST0218"/>
    <x v="119"/>
    <x v="0"/>
    <s v="Delhi"/>
    <x v="0"/>
    <x v="2"/>
    <n v="7"/>
    <n v="28245"/>
    <n v="23106.52"/>
    <n v="5138.4799999999996"/>
    <n v="0.1819252965126571"/>
    <x v="3"/>
    <x v="1"/>
  </r>
  <r>
    <s v="ORD00713"/>
    <d v="2024-08-19T00:00:00"/>
    <s v="CUST0096"/>
    <x v="76"/>
    <x v="1"/>
    <s v="Rajasthan"/>
    <x v="2"/>
    <x v="3"/>
    <n v="9"/>
    <n v="35874"/>
    <n v="23871.08"/>
    <n v="12002.92"/>
    <n v="0.33458549367229751"/>
    <x v="2"/>
    <x v="0"/>
  </r>
  <r>
    <s v="ORD00714"/>
    <d v="2025-07-13T00:00:00"/>
    <s v="CUST0296"/>
    <x v="100"/>
    <x v="0"/>
    <s v="Haryana"/>
    <x v="2"/>
    <x v="9"/>
    <n v="4"/>
    <n v="17640"/>
    <n v="11126.87"/>
    <n v="6513.13"/>
    <n v="0.36922505668934241"/>
    <x v="11"/>
    <x v="1"/>
  </r>
  <r>
    <s v="ORD00715"/>
    <d v="2025-05-08T00:00:00"/>
    <s v="CUST0041"/>
    <x v="225"/>
    <x v="0"/>
    <s v="Delhi"/>
    <x v="0"/>
    <x v="8"/>
    <n v="8"/>
    <n v="26552"/>
    <n v="15505.02"/>
    <n v="11046.98"/>
    <n v="0.41605076830370591"/>
    <x v="6"/>
    <x v="1"/>
  </r>
  <r>
    <s v="ORD00716"/>
    <d v="2024-03-31T00:00:00"/>
    <s v="CUST0126"/>
    <x v="270"/>
    <x v="3"/>
    <s v="Odisha"/>
    <x v="2"/>
    <x v="5"/>
    <n v="2"/>
    <n v="9174"/>
    <n v="7494.93"/>
    <n v="1679.07"/>
    <n v="0.18302485284499673"/>
    <x v="7"/>
    <x v="0"/>
  </r>
  <r>
    <s v="ORD00717"/>
    <d v="2024-12-17T00:00:00"/>
    <s v="CUST0274"/>
    <x v="199"/>
    <x v="0"/>
    <s v="Haryana"/>
    <x v="0"/>
    <x v="2"/>
    <n v="9"/>
    <n v="25731"/>
    <n v="18884.28"/>
    <n v="6846.72"/>
    <n v="0.26608837588900547"/>
    <x v="3"/>
    <x v="0"/>
  </r>
  <r>
    <s v="ORD00718"/>
    <d v="2024-10-28T00:00:00"/>
    <s v="CUST0149"/>
    <x v="198"/>
    <x v="1"/>
    <s v="Gujarat"/>
    <x v="2"/>
    <x v="5"/>
    <n v="8"/>
    <n v="24120"/>
    <n v="16312.47"/>
    <n v="7807.53"/>
    <n v="0.32369527363184081"/>
    <x v="10"/>
    <x v="0"/>
  </r>
  <r>
    <s v="ORD00719"/>
    <d v="2025-10-06T00:00:00"/>
    <s v="CUST0243"/>
    <x v="271"/>
    <x v="0"/>
    <s v="Haryana"/>
    <x v="0"/>
    <x v="8"/>
    <n v="5"/>
    <n v="24585"/>
    <n v="15442.65"/>
    <n v="9142.35"/>
    <n v="0.37186699206833435"/>
    <x v="10"/>
    <x v="1"/>
  </r>
  <r>
    <s v="ORD00720"/>
    <d v="2024-03-25T00:00:00"/>
    <s v="CUST0065"/>
    <x v="185"/>
    <x v="2"/>
    <s v="Telangana"/>
    <x v="1"/>
    <x v="1"/>
    <n v="5"/>
    <n v="2615"/>
    <n v="1663.26"/>
    <n v="951.74"/>
    <n v="0.36395411089866159"/>
    <x v="7"/>
    <x v="0"/>
  </r>
  <r>
    <s v="ORD00721"/>
    <d v="2024-09-20T00:00:00"/>
    <s v="CUST0008"/>
    <x v="238"/>
    <x v="0"/>
    <s v="Punjab"/>
    <x v="3"/>
    <x v="10"/>
    <n v="3"/>
    <n v="7803"/>
    <n v="4935.91"/>
    <n v="2867.09"/>
    <n v="0.36743432013328209"/>
    <x v="1"/>
    <x v="0"/>
  </r>
  <r>
    <s v="ORD00722"/>
    <d v="2024-06-28T00:00:00"/>
    <s v="CUST0134"/>
    <x v="137"/>
    <x v="2"/>
    <s v="Telangana"/>
    <x v="0"/>
    <x v="0"/>
    <n v="3"/>
    <n v="11874"/>
    <n v="7847.88"/>
    <n v="4026.12"/>
    <n v="0.33907023749368365"/>
    <x v="4"/>
    <x v="0"/>
  </r>
  <r>
    <s v="ORD00723"/>
    <d v="2024-05-28T00:00:00"/>
    <s v="CUST0079"/>
    <x v="204"/>
    <x v="1"/>
    <s v="Maharashtra"/>
    <x v="2"/>
    <x v="5"/>
    <n v="1"/>
    <n v="3108"/>
    <n v="2626.95"/>
    <n v="481.05"/>
    <n v="0.15477799227799227"/>
    <x v="6"/>
    <x v="0"/>
  </r>
  <r>
    <s v="ORD00724"/>
    <d v="2024-12-19T00:00:00"/>
    <s v="CUST0028"/>
    <x v="102"/>
    <x v="1"/>
    <s v="Gujarat"/>
    <x v="3"/>
    <x v="7"/>
    <n v="8"/>
    <n v="13360"/>
    <n v="8193.11"/>
    <n v="5166.8900000000003"/>
    <n v="0.38674326347305393"/>
    <x v="3"/>
    <x v="0"/>
  </r>
  <r>
    <s v="ORD00725"/>
    <d v="2025-05-02T00:00:00"/>
    <s v="CUST0273"/>
    <x v="103"/>
    <x v="0"/>
    <s v="Delhi"/>
    <x v="1"/>
    <x v="11"/>
    <n v="8"/>
    <n v="28528"/>
    <n v="19766.18"/>
    <n v="8761.82"/>
    <n v="0.30713053841839594"/>
    <x v="6"/>
    <x v="1"/>
  </r>
  <r>
    <s v="ORD00726"/>
    <d v="2025-06-27T00:00:00"/>
    <s v="CUST0223"/>
    <x v="61"/>
    <x v="1"/>
    <s v="Rajasthan"/>
    <x v="0"/>
    <x v="0"/>
    <n v="7"/>
    <n v="29309"/>
    <n v="18429.13"/>
    <n v="10879.87"/>
    <n v="0.37121259681326557"/>
    <x v="4"/>
    <x v="1"/>
  </r>
  <r>
    <s v="ORD00727"/>
    <d v="2024-02-12T00:00:00"/>
    <s v="CUST0050"/>
    <x v="162"/>
    <x v="3"/>
    <s v="Odisha"/>
    <x v="2"/>
    <x v="3"/>
    <n v="6"/>
    <n v="27858"/>
    <n v="21028.97"/>
    <n v="6829.03"/>
    <n v="0.24513712398592863"/>
    <x v="9"/>
    <x v="0"/>
  </r>
  <r>
    <s v="ORD00728"/>
    <d v="2024-04-10T00:00:00"/>
    <s v="CUST0131"/>
    <x v="53"/>
    <x v="3"/>
    <s v="Odisha"/>
    <x v="0"/>
    <x v="8"/>
    <n v="5"/>
    <n v="15220"/>
    <n v="9605.31"/>
    <n v="5614.69"/>
    <n v="0.36890210249671485"/>
    <x v="0"/>
    <x v="0"/>
  </r>
  <r>
    <s v="ORD00729"/>
    <d v="2025-11-24T00:00:00"/>
    <s v="CUST0093"/>
    <x v="25"/>
    <x v="1"/>
    <s v="Gujarat"/>
    <x v="0"/>
    <x v="2"/>
    <n v="4"/>
    <n v="7584"/>
    <n v="5354.2"/>
    <n v="2229.8000000000002"/>
    <n v="0.29401371308016883"/>
    <x v="5"/>
    <x v="1"/>
  </r>
  <r>
    <s v="ORD00730"/>
    <d v="2025-06-21T00:00:00"/>
    <s v="CUST0054"/>
    <x v="169"/>
    <x v="0"/>
    <s v="Haryana"/>
    <x v="1"/>
    <x v="1"/>
    <n v="2"/>
    <n v="794"/>
    <n v="534.66"/>
    <n v="259.33999999999997"/>
    <n v="0.32662468513853898"/>
    <x v="4"/>
    <x v="1"/>
  </r>
  <r>
    <s v="ORD00731"/>
    <d v="2024-01-25T00:00:00"/>
    <s v="CUST0048"/>
    <x v="26"/>
    <x v="3"/>
    <s v="West Bengal"/>
    <x v="0"/>
    <x v="0"/>
    <n v="5"/>
    <n v="11815"/>
    <n v="7182.62"/>
    <n v="4632.38"/>
    <n v="0.39207617435463393"/>
    <x v="8"/>
    <x v="0"/>
  </r>
  <r>
    <s v="ORD00732"/>
    <d v="2025-09-11T00:00:00"/>
    <s v="CUST0067"/>
    <x v="246"/>
    <x v="2"/>
    <s v="Telangana"/>
    <x v="0"/>
    <x v="2"/>
    <n v="2"/>
    <n v="2564"/>
    <n v="1476.65"/>
    <n v="1087.3499999999999"/>
    <n v="0.42408346333853353"/>
    <x v="1"/>
    <x v="1"/>
  </r>
  <r>
    <s v="ORD00733"/>
    <d v="2025-11-07T00:00:00"/>
    <s v="CUST0039"/>
    <x v="264"/>
    <x v="2"/>
    <s v="Karnataka"/>
    <x v="0"/>
    <x v="0"/>
    <n v="3"/>
    <n v="7125"/>
    <n v="4548.3900000000003"/>
    <n v="2576.61"/>
    <n v="0.36162947368421056"/>
    <x v="5"/>
    <x v="1"/>
  </r>
  <r>
    <s v="ORD00734"/>
    <d v="2024-03-16T00:00:00"/>
    <s v="CUST0142"/>
    <x v="131"/>
    <x v="3"/>
    <s v="Odisha"/>
    <x v="0"/>
    <x v="0"/>
    <n v="6"/>
    <n v="14448"/>
    <n v="8648.43"/>
    <n v="5799.57"/>
    <n v="0.40140988372093023"/>
    <x v="7"/>
    <x v="0"/>
  </r>
  <r>
    <s v="ORD00735"/>
    <d v="2024-09-28T00:00:00"/>
    <s v="CUST0092"/>
    <x v="89"/>
    <x v="1"/>
    <s v="Gujarat"/>
    <x v="3"/>
    <x v="4"/>
    <n v="1"/>
    <n v="2415"/>
    <n v="2020.59"/>
    <n v="394.41"/>
    <n v="0.16331677018633542"/>
    <x v="1"/>
    <x v="0"/>
  </r>
  <r>
    <s v="ORD00736"/>
    <d v="2025-05-18T00:00:00"/>
    <s v="CUST0056"/>
    <x v="141"/>
    <x v="0"/>
    <s v="Punjab"/>
    <x v="3"/>
    <x v="7"/>
    <n v="10"/>
    <n v="35160"/>
    <n v="21220.21"/>
    <n v="13939.79"/>
    <n v="0.39646729237770195"/>
    <x v="6"/>
    <x v="1"/>
  </r>
  <r>
    <s v="ORD00737"/>
    <d v="2024-04-15T00:00:00"/>
    <s v="CUST0018"/>
    <x v="182"/>
    <x v="1"/>
    <s v="Maharashtra"/>
    <x v="0"/>
    <x v="8"/>
    <n v="2"/>
    <n v="7834"/>
    <n v="5990.03"/>
    <n v="1843.97"/>
    <n v="0.23538039315802911"/>
    <x v="0"/>
    <x v="0"/>
  </r>
  <r>
    <s v="ORD00738"/>
    <d v="2025-05-24T00:00:00"/>
    <s v="CUST0077"/>
    <x v="82"/>
    <x v="0"/>
    <s v="Haryana"/>
    <x v="0"/>
    <x v="0"/>
    <n v="5"/>
    <n v="19760"/>
    <n v="10979.24"/>
    <n v="8780.76"/>
    <n v="0.44437044534412956"/>
    <x v="6"/>
    <x v="1"/>
  </r>
  <r>
    <s v="ORD00739"/>
    <d v="2025-02-04T00:00:00"/>
    <s v="CUST0295"/>
    <x v="87"/>
    <x v="0"/>
    <s v="Haryana"/>
    <x v="2"/>
    <x v="3"/>
    <n v="5"/>
    <n v="7705"/>
    <n v="5855.93"/>
    <n v="1849.07"/>
    <n v="0.23998312783906553"/>
    <x v="9"/>
    <x v="1"/>
  </r>
  <r>
    <s v="ORD00740"/>
    <d v="2024-01-04T00:00:00"/>
    <s v="CUST0197"/>
    <x v="236"/>
    <x v="1"/>
    <s v="Gujarat"/>
    <x v="2"/>
    <x v="3"/>
    <n v="7"/>
    <n v="6118"/>
    <n v="4356.25"/>
    <n v="1761.75"/>
    <n v="0.28796175220660347"/>
    <x v="8"/>
    <x v="0"/>
  </r>
  <r>
    <s v="ORD00741"/>
    <d v="2025-02-14T00:00:00"/>
    <s v="CUST0029"/>
    <x v="120"/>
    <x v="0"/>
    <s v="Haryana"/>
    <x v="2"/>
    <x v="5"/>
    <n v="6"/>
    <n v="18186"/>
    <n v="13722.26"/>
    <n v="4463.74"/>
    <n v="0.24544924667326515"/>
    <x v="9"/>
    <x v="1"/>
  </r>
  <r>
    <s v="ORD00742"/>
    <d v="2024-10-23T00:00:00"/>
    <s v="CUST0104"/>
    <x v="272"/>
    <x v="3"/>
    <s v="Bihar"/>
    <x v="3"/>
    <x v="4"/>
    <n v="2"/>
    <n v="8130"/>
    <n v="6326.25"/>
    <n v="1803.75"/>
    <n v="0.22186346863468634"/>
    <x v="10"/>
    <x v="0"/>
  </r>
  <r>
    <s v="ORD00743"/>
    <d v="2024-04-19T00:00:00"/>
    <s v="CUST0184"/>
    <x v="24"/>
    <x v="0"/>
    <s v="Punjab"/>
    <x v="0"/>
    <x v="2"/>
    <n v="4"/>
    <n v="10992"/>
    <n v="8340.34"/>
    <n v="2651.66"/>
    <n v="0.24123544395924307"/>
    <x v="0"/>
    <x v="0"/>
  </r>
  <r>
    <s v="ORD00744"/>
    <d v="2024-01-26T00:00:00"/>
    <s v="CUST0123"/>
    <x v="202"/>
    <x v="0"/>
    <s v="Haryana"/>
    <x v="2"/>
    <x v="9"/>
    <n v="4"/>
    <n v="5784"/>
    <n v="3243.14"/>
    <n v="2540.86"/>
    <n v="0.4392911479944675"/>
    <x v="8"/>
    <x v="0"/>
  </r>
  <r>
    <s v="ORD00745"/>
    <d v="2025-04-05T00:00:00"/>
    <s v="CUST0009"/>
    <x v="81"/>
    <x v="1"/>
    <s v="Maharashtra"/>
    <x v="2"/>
    <x v="5"/>
    <n v="5"/>
    <n v="21965"/>
    <n v="15599.15"/>
    <n v="6365.85"/>
    <n v="0.2898178921010699"/>
    <x v="0"/>
    <x v="1"/>
  </r>
  <r>
    <s v="ORD00746"/>
    <d v="2025-10-31T00:00:00"/>
    <s v="CUST0268"/>
    <x v="28"/>
    <x v="3"/>
    <s v="West Bengal"/>
    <x v="3"/>
    <x v="4"/>
    <n v="1"/>
    <n v="3621"/>
    <n v="2119.94"/>
    <n v="1501.06"/>
    <n v="0.41454294393813862"/>
    <x v="10"/>
    <x v="1"/>
  </r>
  <r>
    <s v="ORD00747"/>
    <d v="2024-05-24T00:00:00"/>
    <s v="CUST0251"/>
    <x v="123"/>
    <x v="2"/>
    <s v="Telangana"/>
    <x v="0"/>
    <x v="8"/>
    <n v="4"/>
    <n v="3560"/>
    <n v="1997.39"/>
    <n v="1562.61"/>
    <n v="0.43893539325842695"/>
    <x v="6"/>
    <x v="0"/>
  </r>
  <r>
    <s v="ORD00748"/>
    <d v="2025-10-09T00:00:00"/>
    <s v="CUST0026"/>
    <x v="175"/>
    <x v="1"/>
    <s v="Rajasthan"/>
    <x v="1"/>
    <x v="1"/>
    <n v="4"/>
    <n v="5476"/>
    <n v="3035.4"/>
    <n v="2440.6"/>
    <n v="0.44569028487947404"/>
    <x v="10"/>
    <x v="1"/>
  </r>
  <r>
    <s v="ORD00749"/>
    <d v="2024-04-18T00:00:00"/>
    <s v="CUST0059"/>
    <x v="98"/>
    <x v="0"/>
    <s v="Punjab"/>
    <x v="0"/>
    <x v="8"/>
    <n v="3"/>
    <n v="2469"/>
    <n v="1963.69"/>
    <n v="505.31"/>
    <n v="0.20466180639935197"/>
    <x v="0"/>
    <x v="0"/>
  </r>
  <r>
    <s v="ORD00750"/>
    <d v="2025-11-25T00:00:00"/>
    <s v="CUST0206"/>
    <x v="260"/>
    <x v="2"/>
    <s v="Karnataka"/>
    <x v="3"/>
    <x v="7"/>
    <n v="7"/>
    <n v="21441"/>
    <n v="17012.5"/>
    <n v="4428.5"/>
    <n v="0.2065435380812462"/>
    <x v="5"/>
    <x v="1"/>
  </r>
  <r>
    <s v="ORD00751"/>
    <d v="2024-08-06T00:00:00"/>
    <s v="CUST0024"/>
    <x v="127"/>
    <x v="0"/>
    <s v="Haryana"/>
    <x v="0"/>
    <x v="8"/>
    <n v="9"/>
    <n v="12825"/>
    <n v="8291.07"/>
    <n v="4533.93"/>
    <n v="0.35352280701754391"/>
    <x v="2"/>
    <x v="0"/>
  </r>
  <r>
    <s v="ORD00752"/>
    <d v="2024-06-21T00:00:00"/>
    <s v="CUST0190"/>
    <x v="106"/>
    <x v="3"/>
    <s v="West Bengal"/>
    <x v="1"/>
    <x v="6"/>
    <n v="5"/>
    <n v="7285"/>
    <n v="5662.38"/>
    <n v="1622.62"/>
    <n v="0.22273438572409057"/>
    <x v="4"/>
    <x v="0"/>
  </r>
  <r>
    <s v="ORD00753"/>
    <d v="2025-10-09T00:00:00"/>
    <s v="CUST0193"/>
    <x v="74"/>
    <x v="2"/>
    <s v="Tamil Nadu"/>
    <x v="3"/>
    <x v="7"/>
    <n v="10"/>
    <n v="6330"/>
    <n v="3734.77"/>
    <n v="2595.23"/>
    <n v="0.40998894154818327"/>
    <x v="10"/>
    <x v="1"/>
  </r>
  <r>
    <s v="ORD00754"/>
    <d v="2024-04-01T00:00:00"/>
    <s v="CUST0146"/>
    <x v="165"/>
    <x v="0"/>
    <s v="Punjab"/>
    <x v="1"/>
    <x v="6"/>
    <n v="1"/>
    <n v="359"/>
    <n v="216.77"/>
    <n v="142.22999999999999"/>
    <n v="0.39618384401114204"/>
    <x v="0"/>
    <x v="0"/>
  </r>
  <r>
    <s v="ORD00755"/>
    <d v="2025-06-19T00:00:00"/>
    <s v="CUST0231"/>
    <x v="117"/>
    <x v="1"/>
    <s v="Rajasthan"/>
    <x v="1"/>
    <x v="11"/>
    <n v="4"/>
    <n v="5888"/>
    <n v="4368.59"/>
    <n v="1519.41"/>
    <n v="0.25805197010869568"/>
    <x v="4"/>
    <x v="1"/>
  </r>
  <r>
    <s v="ORD00756"/>
    <d v="2025-09-18T00:00:00"/>
    <s v="CUST0046"/>
    <x v="273"/>
    <x v="2"/>
    <s v="Karnataka"/>
    <x v="0"/>
    <x v="8"/>
    <n v="1"/>
    <n v="1774"/>
    <n v="1357.39"/>
    <n v="416.61"/>
    <n v="0.23484216459977453"/>
    <x v="1"/>
    <x v="1"/>
  </r>
  <r>
    <s v="ORD00757"/>
    <d v="2025-06-26T00:00:00"/>
    <s v="CUST0049"/>
    <x v="125"/>
    <x v="3"/>
    <s v="Odisha"/>
    <x v="1"/>
    <x v="1"/>
    <n v="9"/>
    <n v="20070"/>
    <n v="12193.95"/>
    <n v="7876.05"/>
    <n v="0.39242899850523172"/>
    <x v="4"/>
    <x v="1"/>
  </r>
  <r>
    <s v="ORD00758"/>
    <d v="2024-04-25T00:00:00"/>
    <s v="CUST0077"/>
    <x v="20"/>
    <x v="2"/>
    <s v="Tamil Nadu"/>
    <x v="0"/>
    <x v="2"/>
    <n v="4"/>
    <n v="10256"/>
    <n v="5804.08"/>
    <n v="4451.92"/>
    <n v="0.43407956318252733"/>
    <x v="0"/>
    <x v="0"/>
  </r>
  <r>
    <s v="ORD00759"/>
    <d v="2024-10-18T00:00:00"/>
    <s v="CUST0108"/>
    <x v="62"/>
    <x v="1"/>
    <s v="Maharashtra"/>
    <x v="1"/>
    <x v="11"/>
    <n v="1"/>
    <n v="742"/>
    <n v="551.65"/>
    <n v="190.35"/>
    <n v="0.25653638814016172"/>
    <x v="10"/>
    <x v="0"/>
  </r>
  <r>
    <s v="ORD00760"/>
    <d v="2024-02-23T00:00:00"/>
    <s v="CUST0276"/>
    <x v="272"/>
    <x v="3"/>
    <s v="Odisha"/>
    <x v="0"/>
    <x v="8"/>
    <n v="8"/>
    <n v="5232"/>
    <n v="3041.5"/>
    <n v="2190.5"/>
    <n v="0.41867354740061163"/>
    <x v="9"/>
    <x v="0"/>
  </r>
  <r>
    <s v="ORD00761"/>
    <d v="2024-08-28T00:00:00"/>
    <s v="CUST0228"/>
    <x v="271"/>
    <x v="2"/>
    <s v="Karnataka"/>
    <x v="2"/>
    <x v="9"/>
    <n v="9"/>
    <n v="11250"/>
    <n v="6426.65"/>
    <n v="4823.3500000000004"/>
    <n v="0.42874222222222225"/>
    <x v="2"/>
    <x v="0"/>
  </r>
  <r>
    <s v="ORD00762"/>
    <d v="2024-11-29T00:00:00"/>
    <s v="CUST0117"/>
    <x v="113"/>
    <x v="3"/>
    <s v="Odisha"/>
    <x v="3"/>
    <x v="7"/>
    <n v="6"/>
    <n v="13104"/>
    <n v="10269.51"/>
    <n v="2834.49"/>
    <n v="0.2163072344322344"/>
    <x v="5"/>
    <x v="0"/>
  </r>
  <r>
    <s v="ORD00763"/>
    <d v="2024-03-16T00:00:00"/>
    <s v="CUST0242"/>
    <x v="53"/>
    <x v="2"/>
    <s v="Telangana"/>
    <x v="2"/>
    <x v="3"/>
    <n v="4"/>
    <n v="13504"/>
    <n v="11038.3"/>
    <n v="2465.6999999999998"/>
    <n v="0.18259034360189572"/>
    <x v="7"/>
    <x v="0"/>
  </r>
  <r>
    <s v="ORD00764"/>
    <d v="2025-04-10T00:00:00"/>
    <s v="CUST0092"/>
    <x v="232"/>
    <x v="1"/>
    <s v="Maharashtra"/>
    <x v="2"/>
    <x v="3"/>
    <n v="3"/>
    <n v="6210"/>
    <n v="5144.1499999999996"/>
    <n v="1065.8499999999999"/>
    <n v="0.171634460547504"/>
    <x v="0"/>
    <x v="1"/>
  </r>
  <r>
    <s v="ORD00765"/>
    <d v="2024-07-26T00:00:00"/>
    <s v="CUST0172"/>
    <x v="274"/>
    <x v="3"/>
    <s v="West Bengal"/>
    <x v="2"/>
    <x v="9"/>
    <n v="4"/>
    <n v="12948"/>
    <n v="10910.85"/>
    <n v="2037.15"/>
    <n v="0.15733317886932346"/>
    <x v="11"/>
    <x v="0"/>
  </r>
  <r>
    <s v="ORD00766"/>
    <d v="2025-04-21T00:00:00"/>
    <s v="CUST0235"/>
    <x v="54"/>
    <x v="0"/>
    <s v="Haryana"/>
    <x v="0"/>
    <x v="8"/>
    <n v="1"/>
    <n v="2598"/>
    <n v="1535.29"/>
    <n v="1062.71"/>
    <n v="0.40904926866820635"/>
    <x v="0"/>
    <x v="1"/>
  </r>
  <r>
    <s v="ORD00767"/>
    <d v="2025-10-15T00:00:00"/>
    <s v="CUST0088"/>
    <x v="79"/>
    <x v="2"/>
    <s v="Tamil Nadu"/>
    <x v="3"/>
    <x v="7"/>
    <n v="5"/>
    <n v="7920"/>
    <n v="6231.96"/>
    <n v="1688.04"/>
    <n v="0.21313636363636362"/>
    <x v="10"/>
    <x v="1"/>
  </r>
  <r>
    <s v="ORD00768"/>
    <d v="2024-08-09T00:00:00"/>
    <s v="CUST0243"/>
    <x v="269"/>
    <x v="2"/>
    <s v="Karnataka"/>
    <x v="2"/>
    <x v="3"/>
    <n v="9"/>
    <n v="38763"/>
    <n v="31346.080000000002"/>
    <n v="7416.92"/>
    <n v="0.19134019554730025"/>
    <x v="2"/>
    <x v="0"/>
  </r>
  <r>
    <s v="ORD00769"/>
    <d v="2025-03-20T00:00:00"/>
    <s v="CUST0297"/>
    <x v="200"/>
    <x v="3"/>
    <s v="West Bengal"/>
    <x v="0"/>
    <x v="0"/>
    <n v="7"/>
    <n v="16240"/>
    <n v="10139.43"/>
    <n v="6100.57"/>
    <n v="0.37565086206896547"/>
    <x v="7"/>
    <x v="1"/>
  </r>
  <r>
    <s v="ORD00770"/>
    <d v="2025-04-26T00:00:00"/>
    <s v="CUST0259"/>
    <x v="257"/>
    <x v="2"/>
    <s v="Telangana"/>
    <x v="1"/>
    <x v="1"/>
    <n v="7"/>
    <n v="4634"/>
    <n v="2604.39"/>
    <n v="2029.61"/>
    <n v="0.43798230470435906"/>
    <x v="0"/>
    <x v="1"/>
  </r>
  <r>
    <s v="ORD00771"/>
    <d v="2024-09-03T00:00:00"/>
    <s v="CUST0043"/>
    <x v="163"/>
    <x v="1"/>
    <s v="Rajasthan"/>
    <x v="2"/>
    <x v="3"/>
    <n v="8"/>
    <n v="8816"/>
    <n v="6045.42"/>
    <n v="2770.58"/>
    <n v="0.31426724137931034"/>
    <x v="1"/>
    <x v="0"/>
  </r>
  <r>
    <s v="ORD00772"/>
    <d v="2024-10-29T00:00:00"/>
    <s v="CUST0123"/>
    <x v="120"/>
    <x v="0"/>
    <s v="Haryana"/>
    <x v="0"/>
    <x v="0"/>
    <n v="7"/>
    <n v="14595"/>
    <n v="8608.33"/>
    <n v="5986.67"/>
    <n v="0.41018636519355944"/>
    <x v="10"/>
    <x v="0"/>
  </r>
  <r>
    <s v="ORD00773"/>
    <d v="2025-08-07T00:00:00"/>
    <s v="CUST0299"/>
    <x v="275"/>
    <x v="0"/>
    <s v="Punjab"/>
    <x v="0"/>
    <x v="2"/>
    <n v="5"/>
    <n v="8125"/>
    <n v="6183.05"/>
    <n v="1941.95"/>
    <n v="0.23900923076923078"/>
    <x v="2"/>
    <x v="1"/>
  </r>
  <r>
    <s v="ORD00774"/>
    <d v="2025-01-14T00:00:00"/>
    <s v="CUST0238"/>
    <x v="82"/>
    <x v="1"/>
    <s v="Gujarat"/>
    <x v="1"/>
    <x v="11"/>
    <n v="7"/>
    <n v="12705"/>
    <n v="9998.2999999999993"/>
    <n v="2706.7"/>
    <n v="0.21304210940574575"/>
    <x v="8"/>
    <x v="1"/>
  </r>
  <r>
    <s v="ORD00775"/>
    <d v="2025-03-12T00:00:00"/>
    <s v="CUST0139"/>
    <x v="276"/>
    <x v="0"/>
    <s v="Punjab"/>
    <x v="0"/>
    <x v="0"/>
    <n v="6"/>
    <n v="27894"/>
    <n v="15615.46"/>
    <n v="12278.54"/>
    <n v="0.44018570301857035"/>
    <x v="7"/>
    <x v="1"/>
  </r>
  <r>
    <s v="ORD00776"/>
    <d v="2024-02-26T00:00:00"/>
    <s v="CUST0264"/>
    <x v="35"/>
    <x v="2"/>
    <s v="Telangana"/>
    <x v="1"/>
    <x v="6"/>
    <n v="10"/>
    <n v="30500"/>
    <n v="23507.21"/>
    <n v="6992.79"/>
    <n v="0.22927180327868851"/>
    <x v="9"/>
    <x v="0"/>
  </r>
  <r>
    <s v="ORD00777"/>
    <d v="2025-01-09T00:00:00"/>
    <s v="CUST0188"/>
    <x v="265"/>
    <x v="0"/>
    <s v="Delhi"/>
    <x v="2"/>
    <x v="3"/>
    <n v="6"/>
    <n v="24672"/>
    <n v="18152.18"/>
    <n v="6519.82"/>
    <n v="0.26425988975356679"/>
    <x v="8"/>
    <x v="1"/>
  </r>
  <r>
    <s v="ORD00778"/>
    <d v="2024-09-01T00:00:00"/>
    <s v="CUST0277"/>
    <x v="71"/>
    <x v="0"/>
    <s v="Haryana"/>
    <x v="0"/>
    <x v="0"/>
    <n v="4"/>
    <n v="5732"/>
    <n v="4839.96"/>
    <n v="892.04"/>
    <n v="0.15562456385205861"/>
    <x v="1"/>
    <x v="0"/>
  </r>
  <r>
    <s v="ORD00779"/>
    <d v="2024-09-30T00:00:00"/>
    <s v="CUST0258"/>
    <x v="21"/>
    <x v="1"/>
    <s v="Rajasthan"/>
    <x v="0"/>
    <x v="8"/>
    <n v="4"/>
    <n v="8584"/>
    <n v="5546.46"/>
    <n v="3037.54"/>
    <n v="0.3538606710158434"/>
    <x v="1"/>
    <x v="0"/>
  </r>
  <r>
    <s v="ORD00780"/>
    <d v="2025-05-28T00:00:00"/>
    <s v="CUST0270"/>
    <x v="84"/>
    <x v="3"/>
    <s v="West Bengal"/>
    <x v="1"/>
    <x v="6"/>
    <n v="6"/>
    <n v="18768"/>
    <n v="12869.65"/>
    <n v="5898.35"/>
    <n v="0.31427696078431372"/>
    <x v="6"/>
    <x v="1"/>
  </r>
  <r>
    <s v="ORD00781"/>
    <d v="2025-01-11T00:00:00"/>
    <s v="CUST0034"/>
    <x v="255"/>
    <x v="1"/>
    <s v="Rajasthan"/>
    <x v="2"/>
    <x v="5"/>
    <n v="9"/>
    <n v="24246"/>
    <n v="16622.900000000001"/>
    <n v="7623.1"/>
    <n v="0.31440650004124393"/>
    <x v="8"/>
    <x v="1"/>
  </r>
  <r>
    <s v="ORD00782"/>
    <d v="2024-03-19T00:00:00"/>
    <s v="CUST0056"/>
    <x v="23"/>
    <x v="1"/>
    <s v="Maharashtra"/>
    <x v="1"/>
    <x v="6"/>
    <n v="7"/>
    <n v="12348"/>
    <n v="7859.65"/>
    <n v="4488.3500000000004"/>
    <n v="0.36348801425332039"/>
    <x v="7"/>
    <x v="0"/>
  </r>
  <r>
    <s v="ORD00783"/>
    <d v="2024-07-28T00:00:00"/>
    <s v="CUST0267"/>
    <x v="178"/>
    <x v="3"/>
    <s v="West Bengal"/>
    <x v="0"/>
    <x v="0"/>
    <n v="3"/>
    <n v="13095"/>
    <n v="7793.48"/>
    <n v="5301.52"/>
    <n v="0.40485070637647963"/>
    <x v="11"/>
    <x v="0"/>
  </r>
  <r>
    <s v="ORD00784"/>
    <d v="2025-03-06T00:00:00"/>
    <s v="CUST0228"/>
    <x v="142"/>
    <x v="3"/>
    <s v="Odisha"/>
    <x v="0"/>
    <x v="2"/>
    <n v="9"/>
    <n v="12429"/>
    <n v="8603"/>
    <n v="3826"/>
    <n v="0.30782846568509131"/>
    <x v="7"/>
    <x v="1"/>
  </r>
  <r>
    <s v="ORD00785"/>
    <d v="2025-06-16T00:00:00"/>
    <s v="CUST0172"/>
    <x v="117"/>
    <x v="3"/>
    <s v="West Bengal"/>
    <x v="1"/>
    <x v="6"/>
    <n v="1"/>
    <n v="2203"/>
    <n v="1763.47"/>
    <n v="439.53"/>
    <n v="0.19951429868361326"/>
    <x v="4"/>
    <x v="1"/>
  </r>
  <r>
    <s v="ORD00786"/>
    <d v="2025-12-14T00:00:00"/>
    <s v="CUST0272"/>
    <x v="112"/>
    <x v="3"/>
    <s v="Bihar"/>
    <x v="0"/>
    <x v="2"/>
    <n v="6"/>
    <n v="25692"/>
    <n v="18703.96"/>
    <n v="6988.04"/>
    <n v="0.27199283823758369"/>
    <x v="3"/>
    <x v="1"/>
  </r>
  <r>
    <s v="ORD00787"/>
    <d v="2024-11-09T00:00:00"/>
    <s v="CUST0088"/>
    <x v="183"/>
    <x v="1"/>
    <s v="Gujarat"/>
    <x v="3"/>
    <x v="10"/>
    <n v="10"/>
    <n v="13800"/>
    <n v="11308.89"/>
    <n v="2491.11"/>
    <n v="0.18051521739130436"/>
    <x v="5"/>
    <x v="0"/>
  </r>
  <r>
    <s v="ORD00788"/>
    <d v="2024-10-18T00:00:00"/>
    <s v="CUST0234"/>
    <x v="198"/>
    <x v="2"/>
    <s v="Tamil Nadu"/>
    <x v="3"/>
    <x v="4"/>
    <n v="5"/>
    <n v="3435"/>
    <n v="2042.11"/>
    <n v="1392.89"/>
    <n v="0.40549927219796217"/>
    <x v="10"/>
    <x v="0"/>
  </r>
  <r>
    <s v="ORD00789"/>
    <d v="2025-12-26T00:00:00"/>
    <s v="CUST0079"/>
    <x v="15"/>
    <x v="2"/>
    <s v="Telangana"/>
    <x v="2"/>
    <x v="5"/>
    <n v="5"/>
    <n v="8965"/>
    <n v="7548.19"/>
    <n v="1416.81"/>
    <n v="0.15803792526491911"/>
    <x v="3"/>
    <x v="1"/>
  </r>
  <r>
    <s v="ORD00790"/>
    <d v="2025-01-13T00:00:00"/>
    <s v="CUST0095"/>
    <x v="201"/>
    <x v="2"/>
    <s v="Karnataka"/>
    <x v="1"/>
    <x v="1"/>
    <n v="6"/>
    <n v="8016"/>
    <n v="5469.05"/>
    <n v="2546.9499999999998"/>
    <n v="0.31773328343313373"/>
    <x v="8"/>
    <x v="1"/>
  </r>
  <r>
    <s v="ORD00791"/>
    <d v="2025-07-06T00:00:00"/>
    <s v="CUST0084"/>
    <x v="233"/>
    <x v="0"/>
    <s v="Haryana"/>
    <x v="3"/>
    <x v="4"/>
    <n v="6"/>
    <n v="9066"/>
    <n v="6000.55"/>
    <n v="3065.45"/>
    <n v="0.33812596514449589"/>
    <x v="11"/>
    <x v="1"/>
  </r>
  <r>
    <s v="ORD00792"/>
    <d v="2025-04-14T00:00:00"/>
    <s v="CUST0164"/>
    <x v="36"/>
    <x v="3"/>
    <s v="West Bengal"/>
    <x v="1"/>
    <x v="1"/>
    <n v="7"/>
    <n v="30737"/>
    <n v="23991.93"/>
    <n v="6745.07"/>
    <n v="0.21944464326381885"/>
    <x v="0"/>
    <x v="1"/>
  </r>
  <r>
    <s v="ORD00793"/>
    <d v="2024-10-29T00:00:00"/>
    <s v="CUST0243"/>
    <x v="124"/>
    <x v="0"/>
    <s v="Haryana"/>
    <x v="2"/>
    <x v="5"/>
    <n v="9"/>
    <n v="27117"/>
    <n v="20179.740000000002"/>
    <n v="6937.26"/>
    <n v="0.25582697201017812"/>
    <x v="10"/>
    <x v="0"/>
  </r>
  <r>
    <s v="ORD00794"/>
    <d v="2025-05-05T00:00:00"/>
    <s v="CUST0021"/>
    <x v="158"/>
    <x v="2"/>
    <s v="Telangana"/>
    <x v="0"/>
    <x v="0"/>
    <n v="8"/>
    <n v="24592"/>
    <n v="18609.849999999999"/>
    <n v="5982.15"/>
    <n v="0.24325593689004552"/>
    <x v="6"/>
    <x v="1"/>
  </r>
  <r>
    <s v="ORD00795"/>
    <d v="2024-04-04T00:00:00"/>
    <s v="CUST0168"/>
    <x v="174"/>
    <x v="0"/>
    <s v="Punjab"/>
    <x v="1"/>
    <x v="1"/>
    <n v="7"/>
    <n v="14735"/>
    <n v="10075.67"/>
    <n v="4659.33"/>
    <n v="0.31620834747200544"/>
    <x v="0"/>
    <x v="0"/>
  </r>
  <r>
    <s v="ORD00796"/>
    <d v="2024-03-26T00:00:00"/>
    <s v="CUST0276"/>
    <x v="169"/>
    <x v="2"/>
    <s v="Telangana"/>
    <x v="2"/>
    <x v="5"/>
    <n v="4"/>
    <n v="10304"/>
    <n v="6272.2"/>
    <n v="4031.8"/>
    <n v="0.39128493788819879"/>
    <x v="7"/>
    <x v="0"/>
  </r>
  <r>
    <s v="ORD00797"/>
    <d v="2025-09-11T00:00:00"/>
    <s v="CUST0262"/>
    <x v="174"/>
    <x v="0"/>
    <s v="Haryana"/>
    <x v="2"/>
    <x v="3"/>
    <n v="4"/>
    <n v="17268"/>
    <n v="11143.51"/>
    <n v="6124.49"/>
    <n v="0.35467280518878852"/>
    <x v="1"/>
    <x v="1"/>
  </r>
  <r>
    <s v="ORD00798"/>
    <d v="2024-01-13T00:00:00"/>
    <s v="CUST0146"/>
    <x v="40"/>
    <x v="3"/>
    <s v="Odisha"/>
    <x v="1"/>
    <x v="11"/>
    <n v="7"/>
    <n v="23296"/>
    <n v="15511.26"/>
    <n v="7784.74"/>
    <n v="0.33416638049450548"/>
    <x v="8"/>
    <x v="0"/>
  </r>
  <r>
    <s v="ORD00799"/>
    <d v="2025-03-30T00:00:00"/>
    <s v="CUST0213"/>
    <x v="33"/>
    <x v="3"/>
    <s v="Odisha"/>
    <x v="2"/>
    <x v="9"/>
    <n v="9"/>
    <n v="9153"/>
    <n v="5626.43"/>
    <n v="3526.57"/>
    <n v="0.38529116136785757"/>
    <x v="7"/>
    <x v="1"/>
  </r>
  <r>
    <s v="ORD00800"/>
    <d v="2025-08-24T00:00:00"/>
    <s v="CUST0045"/>
    <x v="141"/>
    <x v="3"/>
    <s v="West Bengal"/>
    <x v="0"/>
    <x v="0"/>
    <n v="7"/>
    <n v="25851"/>
    <n v="15300.44"/>
    <n v="10550.56"/>
    <n v="0.40812966616378477"/>
    <x v="2"/>
    <x v="1"/>
  </r>
  <r>
    <s v="ORD00801"/>
    <d v="2025-08-27T00:00:00"/>
    <s v="CUST0193"/>
    <x v="194"/>
    <x v="2"/>
    <s v="Tamil Nadu"/>
    <x v="2"/>
    <x v="9"/>
    <n v="9"/>
    <n v="27423"/>
    <n v="15626.58"/>
    <n v="11796.42"/>
    <n v="0.43016518980417895"/>
    <x v="2"/>
    <x v="1"/>
  </r>
  <r>
    <s v="ORD00802"/>
    <d v="2025-04-18T00:00:00"/>
    <s v="CUST0291"/>
    <x v="99"/>
    <x v="0"/>
    <s v="Punjab"/>
    <x v="0"/>
    <x v="2"/>
    <n v="5"/>
    <n v="18475"/>
    <n v="11130.59"/>
    <n v="7344.41"/>
    <n v="0.39753234100135315"/>
    <x v="0"/>
    <x v="1"/>
  </r>
  <r>
    <s v="ORD00803"/>
    <d v="2024-11-05T00:00:00"/>
    <s v="CUST0300"/>
    <x v="44"/>
    <x v="2"/>
    <s v="Karnataka"/>
    <x v="2"/>
    <x v="3"/>
    <n v="5"/>
    <n v="24185"/>
    <n v="16861.189999999999"/>
    <n v="7323.81"/>
    <n v="0.3028244779822204"/>
    <x v="5"/>
    <x v="0"/>
  </r>
  <r>
    <s v="ORD00804"/>
    <d v="2024-01-03T00:00:00"/>
    <s v="CUST0079"/>
    <x v="14"/>
    <x v="1"/>
    <s v="Rajasthan"/>
    <x v="0"/>
    <x v="0"/>
    <n v="8"/>
    <n v="17112"/>
    <n v="9549.39"/>
    <n v="7562.61"/>
    <n v="0.44194775596072927"/>
    <x v="8"/>
    <x v="0"/>
  </r>
  <r>
    <s v="ORD00805"/>
    <d v="2024-10-21T00:00:00"/>
    <s v="CUST0214"/>
    <x v="240"/>
    <x v="3"/>
    <s v="Bihar"/>
    <x v="0"/>
    <x v="2"/>
    <n v="8"/>
    <n v="10536"/>
    <n v="7861.37"/>
    <n v="2674.63"/>
    <n v="0.25385630220197419"/>
    <x v="10"/>
    <x v="0"/>
  </r>
  <r>
    <s v="ORD00806"/>
    <d v="2024-10-10T00:00:00"/>
    <s v="CUST0253"/>
    <x v="143"/>
    <x v="1"/>
    <s v="Rajasthan"/>
    <x v="0"/>
    <x v="2"/>
    <n v="4"/>
    <n v="2132"/>
    <n v="1248.94"/>
    <n v="883.06"/>
    <n v="0.41419324577861161"/>
    <x v="10"/>
    <x v="0"/>
  </r>
  <r>
    <s v="ORD00807"/>
    <d v="2025-10-05T00:00:00"/>
    <s v="CUST0244"/>
    <x v="18"/>
    <x v="3"/>
    <s v="Bihar"/>
    <x v="2"/>
    <x v="9"/>
    <n v="10"/>
    <n v="38720"/>
    <n v="31382.71"/>
    <n v="7337.29"/>
    <n v="0.18949612603305785"/>
    <x v="10"/>
    <x v="1"/>
  </r>
  <r>
    <s v="ORD00808"/>
    <d v="2024-06-15T00:00:00"/>
    <s v="CUST0298"/>
    <x v="26"/>
    <x v="3"/>
    <s v="Bihar"/>
    <x v="0"/>
    <x v="0"/>
    <n v="10"/>
    <n v="4430"/>
    <n v="3559.88"/>
    <n v="870.12"/>
    <n v="0.19641534988713319"/>
    <x v="4"/>
    <x v="0"/>
  </r>
  <r>
    <s v="ORD00809"/>
    <d v="2024-10-06T00:00:00"/>
    <s v="CUST0185"/>
    <x v="54"/>
    <x v="2"/>
    <s v="Tamil Nadu"/>
    <x v="2"/>
    <x v="9"/>
    <n v="3"/>
    <n v="9681"/>
    <n v="5798.85"/>
    <n v="3882.15"/>
    <n v="0.40100712736287575"/>
    <x v="10"/>
    <x v="0"/>
  </r>
  <r>
    <s v="ORD00810"/>
    <d v="2024-03-19T00:00:00"/>
    <s v="CUST0264"/>
    <x v="245"/>
    <x v="3"/>
    <s v="West Bengal"/>
    <x v="3"/>
    <x v="10"/>
    <n v="5"/>
    <n v="23190"/>
    <n v="17199.650000000001"/>
    <n v="5990.35"/>
    <n v="0.2583160845191893"/>
    <x v="7"/>
    <x v="0"/>
  </r>
  <r>
    <s v="ORD00811"/>
    <d v="2024-11-19T00:00:00"/>
    <s v="CUST0155"/>
    <x v="277"/>
    <x v="2"/>
    <s v="Karnataka"/>
    <x v="0"/>
    <x v="8"/>
    <n v="3"/>
    <n v="14262"/>
    <n v="9224.41"/>
    <n v="5037.59"/>
    <n v="0.35321764128453231"/>
    <x v="5"/>
    <x v="0"/>
  </r>
  <r>
    <s v="ORD00812"/>
    <d v="2024-01-14T00:00:00"/>
    <s v="CUST0071"/>
    <x v="48"/>
    <x v="3"/>
    <s v="West Bengal"/>
    <x v="2"/>
    <x v="5"/>
    <n v="10"/>
    <n v="31800"/>
    <n v="25344.42"/>
    <n v="6455.58"/>
    <n v="0.20300566037735848"/>
    <x v="8"/>
    <x v="0"/>
  </r>
  <r>
    <s v="ORD00813"/>
    <d v="2024-06-15T00:00:00"/>
    <s v="CUST0053"/>
    <x v="172"/>
    <x v="3"/>
    <s v="Odisha"/>
    <x v="2"/>
    <x v="9"/>
    <n v="7"/>
    <n v="21609"/>
    <n v="17854.919999999998"/>
    <n v="3754.08"/>
    <n v="0.17372761349437735"/>
    <x v="4"/>
    <x v="0"/>
  </r>
  <r>
    <s v="ORD00814"/>
    <d v="2025-06-22T00:00:00"/>
    <s v="CUST0273"/>
    <x v="188"/>
    <x v="2"/>
    <s v="Telangana"/>
    <x v="3"/>
    <x v="7"/>
    <n v="4"/>
    <n v="19504"/>
    <n v="14316.49"/>
    <n v="5187.51"/>
    <n v="0.2659715955701395"/>
    <x v="4"/>
    <x v="1"/>
  </r>
  <r>
    <s v="ORD00815"/>
    <d v="2024-01-18T00:00:00"/>
    <s v="CUST0246"/>
    <x v="259"/>
    <x v="0"/>
    <s v="Punjab"/>
    <x v="2"/>
    <x v="9"/>
    <n v="2"/>
    <n v="2508"/>
    <n v="1995.5"/>
    <n v="512.5"/>
    <n v="0.20434609250398725"/>
    <x v="8"/>
    <x v="0"/>
  </r>
  <r>
    <s v="ORD00816"/>
    <d v="2025-09-03T00:00:00"/>
    <s v="CUST0268"/>
    <x v="32"/>
    <x v="3"/>
    <s v="Bihar"/>
    <x v="3"/>
    <x v="4"/>
    <n v="3"/>
    <n v="11760"/>
    <n v="9606.9500000000007"/>
    <n v="2153.0500000000002"/>
    <n v="0.18308248299319729"/>
    <x v="1"/>
    <x v="1"/>
  </r>
  <r>
    <s v="ORD00817"/>
    <d v="2025-12-11T00:00:00"/>
    <s v="CUST0073"/>
    <x v="227"/>
    <x v="2"/>
    <s v="Telangana"/>
    <x v="3"/>
    <x v="10"/>
    <n v="1"/>
    <n v="1271"/>
    <n v="783.84"/>
    <n v="487.16"/>
    <n v="0.38328874901652243"/>
    <x v="3"/>
    <x v="1"/>
  </r>
  <r>
    <s v="ORD00818"/>
    <d v="2024-04-24T00:00:00"/>
    <s v="CUST0040"/>
    <x v="123"/>
    <x v="3"/>
    <s v="West Bengal"/>
    <x v="3"/>
    <x v="7"/>
    <n v="3"/>
    <n v="2829"/>
    <n v="1916.48"/>
    <n v="912.52"/>
    <n v="0.32255920820077766"/>
    <x v="0"/>
    <x v="0"/>
  </r>
  <r>
    <s v="ORD00819"/>
    <d v="2025-11-06T00:00:00"/>
    <s v="CUST0263"/>
    <x v="206"/>
    <x v="1"/>
    <s v="Gujarat"/>
    <x v="1"/>
    <x v="1"/>
    <n v="4"/>
    <n v="4732"/>
    <n v="2649.15"/>
    <n v="2082.85"/>
    <n v="0.44016272189349109"/>
    <x v="5"/>
    <x v="1"/>
  </r>
  <r>
    <s v="ORD00820"/>
    <d v="2024-01-11T00:00:00"/>
    <s v="CUST0050"/>
    <x v="4"/>
    <x v="1"/>
    <s v="Maharashtra"/>
    <x v="3"/>
    <x v="10"/>
    <n v="1"/>
    <n v="842"/>
    <n v="539.29999999999995"/>
    <n v="302.7"/>
    <n v="0.35950118764845607"/>
    <x v="8"/>
    <x v="0"/>
  </r>
  <r>
    <s v="ORD00821"/>
    <d v="2024-05-29T00:00:00"/>
    <s v="CUST0143"/>
    <x v="271"/>
    <x v="2"/>
    <s v="Telangana"/>
    <x v="3"/>
    <x v="7"/>
    <n v="3"/>
    <n v="9537"/>
    <n v="5329.06"/>
    <n v="4207.9399999999996"/>
    <n v="0.44122260668973468"/>
    <x v="6"/>
    <x v="0"/>
  </r>
  <r>
    <s v="ORD00822"/>
    <d v="2024-03-10T00:00:00"/>
    <s v="CUST0051"/>
    <x v="271"/>
    <x v="3"/>
    <s v="Odisha"/>
    <x v="1"/>
    <x v="11"/>
    <n v="9"/>
    <n v="20529"/>
    <n v="14400.53"/>
    <n v="6128.47"/>
    <n v="0.2985274489746213"/>
    <x v="7"/>
    <x v="0"/>
  </r>
  <r>
    <s v="ORD00823"/>
    <d v="2025-07-04T00:00:00"/>
    <s v="CUST0003"/>
    <x v="113"/>
    <x v="0"/>
    <s v="Haryana"/>
    <x v="3"/>
    <x v="7"/>
    <n v="4"/>
    <n v="10432"/>
    <n v="6275.18"/>
    <n v="4156.82"/>
    <n v="0.39846817484662572"/>
    <x v="11"/>
    <x v="1"/>
  </r>
  <r>
    <s v="ORD00824"/>
    <d v="2024-07-08T00:00:00"/>
    <s v="CUST0226"/>
    <x v="193"/>
    <x v="2"/>
    <s v="Telangana"/>
    <x v="0"/>
    <x v="0"/>
    <n v="8"/>
    <n v="26416"/>
    <n v="20061.36"/>
    <n v="6354.64"/>
    <n v="0.24056026650514842"/>
    <x v="11"/>
    <x v="0"/>
  </r>
  <r>
    <s v="ORD00825"/>
    <d v="2025-02-21T00:00:00"/>
    <s v="CUST0058"/>
    <x v="25"/>
    <x v="2"/>
    <s v="Tamil Nadu"/>
    <x v="2"/>
    <x v="3"/>
    <n v="7"/>
    <n v="14385"/>
    <n v="10131"/>
    <n v="4254"/>
    <n v="0.2957247132429614"/>
    <x v="9"/>
    <x v="1"/>
  </r>
  <r>
    <s v="ORD00826"/>
    <d v="2025-01-04T00:00:00"/>
    <s v="CUST0148"/>
    <x v="163"/>
    <x v="0"/>
    <s v="Punjab"/>
    <x v="1"/>
    <x v="6"/>
    <n v="9"/>
    <n v="12717"/>
    <n v="8885.94"/>
    <n v="3831.06"/>
    <n v="0.30125501297475821"/>
    <x v="8"/>
    <x v="1"/>
  </r>
  <r>
    <s v="ORD00827"/>
    <d v="2025-04-12T00:00:00"/>
    <s v="CUST0160"/>
    <x v="92"/>
    <x v="0"/>
    <s v="Delhi"/>
    <x v="3"/>
    <x v="4"/>
    <n v="8"/>
    <n v="9976"/>
    <n v="6638.37"/>
    <n v="3337.63"/>
    <n v="0.33456595829991981"/>
    <x v="0"/>
    <x v="1"/>
  </r>
  <r>
    <s v="ORD00828"/>
    <d v="2024-03-12T00:00:00"/>
    <s v="CUST0244"/>
    <x v="118"/>
    <x v="2"/>
    <s v="Telangana"/>
    <x v="2"/>
    <x v="3"/>
    <n v="5"/>
    <n v="19025"/>
    <n v="11541.24"/>
    <n v="7483.76"/>
    <n v="0.39336452036793695"/>
    <x v="7"/>
    <x v="0"/>
  </r>
  <r>
    <s v="ORD00829"/>
    <d v="2025-06-19T00:00:00"/>
    <s v="CUST0044"/>
    <x v="18"/>
    <x v="2"/>
    <s v="Karnataka"/>
    <x v="0"/>
    <x v="2"/>
    <n v="8"/>
    <n v="9288"/>
    <n v="6212.84"/>
    <n v="3075.16"/>
    <n v="0.33108957795004307"/>
    <x v="4"/>
    <x v="1"/>
  </r>
  <r>
    <s v="ORD00830"/>
    <d v="2024-06-21T00:00:00"/>
    <s v="CUST0034"/>
    <x v="35"/>
    <x v="2"/>
    <s v="Tamil Nadu"/>
    <x v="2"/>
    <x v="3"/>
    <n v="10"/>
    <n v="11330"/>
    <n v="8751.6299999999992"/>
    <n v="2578.37"/>
    <n v="0.22757016769638128"/>
    <x v="4"/>
    <x v="0"/>
  </r>
  <r>
    <s v="ORD00831"/>
    <d v="2025-03-10T00:00:00"/>
    <s v="CUST0256"/>
    <x v="278"/>
    <x v="2"/>
    <s v="Tamil Nadu"/>
    <x v="3"/>
    <x v="7"/>
    <n v="10"/>
    <n v="36110"/>
    <n v="21190.38"/>
    <n v="14919.62"/>
    <n v="0.41317142065909723"/>
    <x v="7"/>
    <x v="1"/>
  </r>
  <r>
    <s v="ORD00832"/>
    <d v="2025-02-18T00:00:00"/>
    <s v="CUST0249"/>
    <x v="45"/>
    <x v="3"/>
    <s v="Bihar"/>
    <x v="2"/>
    <x v="3"/>
    <n v="6"/>
    <n v="25182"/>
    <n v="18886.580000000002"/>
    <n v="6295.42"/>
    <n v="0.24999682312763086"/>
    <x v="9"/>
    <x v="1"/>
  </r>
  <r>
    <s v="ORD00833"/>
    <d v="2025-05-24T00:00:00"/>
    <s v="CUST0119"/>
    <x v="177"/>
    <x v="3"/>
    <s v="West Bengal"/>
    <x v="2"/>
    <x v="9"/>
    <n v="2"/>
    <n v="2600"/>
    <n v="1625.54"/>
    <n v="974.46"/>
    <n v="0.3747923076923077"/>
    <x v="6"/>
    <x v="1"/>
  </r>
  <r>
    <s v="ORD00834"/>
    <d v="2024-01-28T00:00:00"/>
    <s v="CUST0092"/>
    <x v="243"/>
    <x v="0"/>
    <s v="Delhi"/>
    <x v="0"/>
    <x v="0"/>
    <n v="1"/>
    <n v="858"/>
    <n v="600.12"/>
    <n v="257.88"/>
    <n v="0.30055944055944056"/>
    <x v="8"/>
    <x v="0"/>
  </r>
  <r>
    <s v="ORD00835"/>
    <d v="2025-11-07T00:00:00"/>
    <s v="CUST0267"/>
    <x v="11"/>
    <x v="3"/>
    <s v="West Bengal"/>
    <x v="3"/>
    <x v="10"/>
    <n v="10"/>
    <n v="10890"/>
    <n v="8472.98"/>
    <n v="2417.02"/>
    <n v="0.22194857667584941"/>
    <x v="5"/>
    <x v="1"/>
  </r>
  <r>
    <s v="ORD00836"/>
    <d v="2025-07-09T00:00:00"/>
    <s v="CUST0176"/>
    <x v="136"/>
    <x v="1"/>
    <s v="Maharashtra"/>
    <x v="3"/>
    <x v="10"/>
    <n v="8"/>
    <n v="34528"/>
    <n v="24219.27"/>
    <n v="10308.73"/>
    <n v="0.29856145736793327"/>
    <x v="11"/>
    <x v="1"/>
  </r>
  <r>
    <s v="ORD00837"/>
    <d v="2025-01-20T00:00:00"/>
    <s v="CUST0227"/>
    <x v="179"/>
    <x v="0"/>
    <s v="Delhi"/>
    <x v="2"/>
    <x v="3"/>
    <n v="2"/>
    <n v="6884"/>
    <n v="4715.78"/>
    <n v="2168.2199999999998"/>
    <n v="0.31496513654851827"/>
    <x v="8"/>
    <x v="1"/>
  </r>
  <r>
    <s v="ORD00838"/>
    <d v="2024-06-17T00:00:00"/>
    <s v="CUST0252"/>
    <x v="279"/>
    <x v="0"/>
    <s v="Delhi"/>
    <x v="1"/>
    <x v="11"/>
    <n v="9"/>
    <n v="25038"/>
    <n v="20416.240000000002"/>
    <n v="4621.76"/>
    <n v="0.18458982346832814"/>
    <x v="4"/>
    <x v="0"/>
  </r>
  <r>
    <s v="ORD00839"/>
    <d v="2025-08-05T00:00:00"/>
    <s v="CUST0252"/>
    <x v="106"/>
    <x v="2"/>
    <s v="Tamil Nadu"/>
    <x v="0"/>
    <x v="0"/>
    <n v="7"/>
    <n v="30051"/>
    <n v="23415.84"/>
    <n v="6635.16"/>
    <n v="0.22079664570230609"/>
    <x v="2"/>
    <x v="1"/>
  </r>
  <r>
    <s v="ORD00840"/>
    <d v="2024-09-26T00:00:00"/>
    <s v="CUST0254"/>
    <x v="226"/>
    <x v="1"/>
    <s v="Gujarat"/>
    <x v="2"/>
    <x v="5"/>
    <n v="3"/>
    <n v="13350"/>
    <n v="7565.73"/>
    <n v="5784.27"/>
    <n v="0.43327865168539331"/>
    <x v="1"/>
    <x v="0"/>
  </r>
  <r>
    <s v="ORD00841"/>
    <d v="2024-05-11T00:00:00"/>
    <s v="CUST0188"/>
    <x v="259"/>
    <x v="3"/>
    <s v="Odisha"/>
    <x v="3"/>
    <x v="4"/>
    <n v="1"/>
    <n v="530"/>
    <n v="385.38"/>
    <n v="144.62"/>
    <n v="0.27286792452830189"/>
    <x v="6"/>
    <x v="0"/>
  </r>
  <r>
    <s v="ORD00842"/>
    <d v="2024-12-31T00:00:00"/>
    <s v="CUST0211"/>
    <x v="134"/>
    <x v="0"/>
    <s v="Haryana"/>
    <x v="3"/>
    <x v="4"/>
    <n v="7"/>
    <n v="7679"/>
    <n v="5209.7700000000004"/>
    <n v="2469.23"/>
    <n v="0.32155619221252768"/>
    <x v="3"/>
    <x v="0"/>
  </r>
  <r>
    <s v="ORD00843"/>
    <d v="2025-08-29T00:00:00"/>
    <s v="CUST0044"/>
    <x v="219"/>
    <x v="0"/>
    <s v="Haryana"/>
    <x v="3"/>
    <x v="7"/>
    <n v="4"/>
    <n v="8888"/>
    <n v="6616.45"/>
    <n v="2271.5500000000002"/>
    <n v="0.25557493249324936"/>
    <x v="2"/>
    <x v="1"/>
  </r>
  <r>
    <s v="ORD00844"/>
    <d v="2024-02-08T00:00:00"/>
    <s v="CUST0236"/>
    <x v="21"/>
    <x v="3"/>
    <s v="West Bengal"/>
    <x v="3"/>
    <x v="4"/>
    <n v="3"/>
    <n v="1383"/>
    <n v="984.04"/>
    <n v="398.96"/>
    <n v="0.2884743311641359"/>
    <x v="9"/>
    <x v="0"/>
  </r>
  <r>
    <s v="ORD00845"/>
    <d v="2025-01-21T00:00:00"/>
    <s v="CUST0293"/>
    <x v="241"/>
    <x v="1"/>
    <s v="Gujarat"/>
    <x v="1"/>
    <x v="1"/>
    <n v="8"/>
    <n v="3856"/>
    <n v="3261.13"/>
    <n v="594.87"/>
    <n v="0.15427126556016599"/>
    <x v="8"/>
    <x v="1"/>
  </r>
  <r>
    <s v="ORD00846"/>
    <d v="2024-07-29T00:00:00"/>
    <s v="CUST0173"/>
    <x v="98"/>
    <x v="3"/>
    <s v="Bihar"/>
    <x v="1"/>
    <x v="6"/>
    <n v="8"/>
    <n v="8952"/>
    <n v="6778.98"/>
    <n v="2173.02"/>
    <n v="0.24274128686327079"/>
    <x v="11"/>
    <x v="0"/>
  </r>
  <r>
    <s v="ORD00847"/>
    <d v="2024-07-25T00:00:00"/>
    <s v="CUST0255"/>
    <x v="90"/>
    <x v="3"/>
    <s v="West Bengal"/>
    <x v="0"/>
    <x v="8"/>
    <n v="5"/>
    <n v="16380"/>
    <n v="13772.77"/>
    <n v="2607.23"/>
    <n v="0.15917155067155067"/>
    <x v="11"/>
    <x v="0"/>
  </r>
  <r>
    <s v="ORD00848"/>
    <d v="2025-02-15T00:00:00"/>
    <s v="CUST0116"/>
    <x v="3"/>
    <x v="2"/>
    <s v="Tamil Nadu"/>
    <x v="3"/>
    <x v="10"/>
    <n v="1"/>
    <n v="2735"/>
    <n v="2321.65"/>
    <n v="413.35"/>
    <n v="0.15113345521023766"/>
    <x v="9"/>
    <x v="1"/>
  </r>
  <r>
    <s v="ORD00849"/>
    <d v="2025-06-27T00:00:00"/>
    <s v="CUST0244"/>
    <x v="237"/>
    <x v="0"/>
    <s v="Haryana"/>
    <x v="3"/>
    <x v="4"/>
    <n v="5"/>
    <n v="4255"/>
    <n v="3063.3"/>
    <n v="1191.7"/>
    <n v="0.28007050528789662"/>
    <x v="4"/>
    <x v="1"/>
  </r>
  <r>
    <s v="ORD00850"/>
    <d v="2025-03-19T00:00:00"/>
    <s v="CUST0277"/>
    <x v="25"/>
    <x v="2"/>
    <s v="Tamil Nadu"/>
    <x v="1"/>
    <x v="6"/>
    <n v="5"/>
    <n v="22170"/>
    <n v="17541.75"/>
    <n v="4628.25"/>
    <n v="0.20876184032476319"/>
    <x v="7"/>
    <x v="1"/>
  </r>
  <r>
    <s v="ORD00851"/>
    <d v="2025-07-14T00:00:00"/>
    <s v="CUST0093"/>
    <x v="123"/>
    <x v="2"/>
    <s v="Tamil Nadu"/>
    <x v="2"/>
    <x v="3"/>
    <n v="5"/>
    <n v="22605"/>
    <n v="15506.32"/>
    <n v="7098.68"/>
    <n v="0.31403140898031412"/>
    <x v="11"/>
    <x v="1"/>
  </r>
  <r>
    <s v="ORD00852"/>
    <d v="2025-10-15T00:00:00"/>
    <s v="CUST0273"/>
    <x v="62"/>
    <x v="2"/>
    <s v="Telangana"/>
    <x v="2"/>
    <x v="9"/>
    <n v="4"/>
    <n v="16512"/>
    <n v="10408.85"/>
    <n v="6103.15"/>
    <n v="0.36961906492248059"/>
    <x v="10"/>
    <x v="1"/>
  </r>
  <r>
    <s v="ORD00853"/>
    <d v="2024-06-03T00:00:00"/>
    <s v="CUST0154"/>
    <x v="62"/>
    <x v="0"/>
    <s v="Haryana"/>
    <x v="3"/>
    <x v="7"/>
    <n v="6"/>
    <n v="24528"/>
    <n v="14577.56"/>
    <n v="9950.44"/>
    <n v="0.40567677756033921"/>
    <x v="4"/>
    <x v="0"/>
  </r>
  <r>
    <s v="ORD00854"/>
    <d v="2024-10-20T00:00:00"/>
    <s v="CUST0083"/>
    <x v="280"/>
    <x v="1"/>
    <s v="Gujarat"/>
    <x v="1"/>
    <x v="6"/>
    <n v="4"/>
    <n v="14712"/>
    <n v="9269.74"/>
    <n v="5442.26"/>
    <n v="0.36991979336595976"/>
    <x v="10"/>
    <x v="0"/>
  </r>
  <r>
    <s v="ORD00855"/>
    <d v="2024-09-08T00:00:00"/>
    <s v="CUST0159"/>
    <x v="104"/>
    <x v="2"/>
    <s v="Tamil Nadu"/>
    <x v="3"/>
    <x v="7"/>
    <n v="2"/>
    <n v="3056"/>
    <n v="1856.75"/>
    <n v="1199.25"/>
    <n v="0.39242473821989526"/>
    <x v="1"/>
    <x v="0"/>
  </r>
  <r>
    <s v="ORD00856"/>
    <d v="2024-10-06T00:00:00"/>
    <s v="CUST0070"/>
    <x v="39"/>
    <x v="1"/>
    <s v="Rajasthan"/>
    <x v="2"/>
    <x v="3"/>
    <n v="7"/>
    <n v="4221"/>
    <n v="2577.33"/>
    <n v="1643.67"/>
    <n v="0.3894029850746269"/>
    <x v="10"/>
    <x v="0"/>
  </r>
  <r>
    <s v="ORD00857"/>
    <d v="2024-02-13T00:00:00"/>
    <s v="CUST0249"/>
    <x v="142"/>
    <x v="3"/>
    <s v="Odisha"/>
    <x v="0"/>
    <x v="2"/>
    <n v="9"/>
    <n v="15669"/>
    <n v="11646.58"/>
    <n v="4022.42"/>
    <n v="0.25671197906694748"/>
    <x v="9"/>
    <x v="0"/>
  </r>
  <r>
    <s v="ORD00858"/>
    <d v="2025-02-20T00:00:00"/>
    <s v="CUST0187"/>
    <x v="120"/>
    <x v="0"/>
    <s v="Delhi"/>
    <x v="3"/>
    <x v="4"/>
    <n v="10"/>
    <n v="27410"/>
    <n v="22206.25"/>
    <n v="5203.75"/>
    <n v="0.18984859540313753"/>
    <x v="9"/>
    <x v="1"/>
  </r>
  <r>
    <s v="ORD00859"/>
    <d v="2025-05-27T00:00:00"/>
    <s v="CUST0062"/>
    <x v="27"/>
    <x v="1"/>
    <s v="Rajasthan"/>
    <x v="1"/>
    <x v="11"/>
    <n v="4"/>
    <n v="4864"/>
    <n v="3508.36"/>
    <n v="1355.64"/>
    <n v="0.27870888157894741"/>
    <x v="6"/>
    <x v="1"/>
  </r>
  <r>
    <s v="ORD00860"/>
    <d v="2024-11-16T00:00:00"/>
    <s v="CUST0169"/>
    <x v="53"/>
    <x v="3"/>
    <s v="Odisha"/>
    <x v="1"/>
    <x v="6"/>
    <n v="4"/>
    <n v="5204"/>
    <n v="4069.31"/>
    <n v="1134.69"/>
    <n v="0.21804189085318987"/>
    <x v="5"/>
    <x v="0"/>
  </r>
  <r>
    <s v="ORD00861"/>
    <d v="2024-04-19T00:00:00"/>
    <s v="CUST0090"/>
    <x v="29"/>
    <x v="1"/>
    <s v="Rajasthan"/>
    <x v="0"/>
    <x v="0"/>
    <n v="4"/>
    <n v="15056"/>
    <n v="9265.5"/>
    <n v="5790.5"/>
    <n v="0.38459750265674814"/>
    <x v="0"/>
    <x v="0"/>
  </r>
  <r>
    <s v="ORD00862"/>
    <d v="2025-01-18T00:00:00"/>
    <s v="CUST0058"/>
    <x v="281"/>
    <x v="3"/>
    <s v="Odisha"/>
    <x v="2"/>
    <x v="3"/>
    <n v="5"/>
    <n v="3790"/>
    <n v="2642.04"/>
    <n v="1147.96"/>
    <n v="0.30289182058047492"/>
    <x v="8"/>
    <x v="1"/>
  </r>
  <r>
    <s v="ORD00863"/>
    <d v="2024-05-28T00:00:00"/>
    <s v="CUST0186"/>
    <x v="46"/>
    <x v="1"/>
    <s v="Gujarat"/>
    <x v="0"/>
    <x v="2"/>
    <n v="4"/>
    <n v="10300"/>
    <n v="8382.4500000000007"/>
    <n v="1917.55"/>
    <n v="0.18616990291262137"/>
    <x v="6"/>
    <x v="0"/>
  </r>
  <r>
    <s v="ORD00864"/>
    <d v="2025-11-09T00:00:00"/>
    <s v="CUST0028"/>
    <x v="16"/>
    <x v="3"/>
    <s v="Odisha"/>
    <x v="1"/>
    <x v="1"/>
    <n v="10"/>
    <n v="5850"/>
    <n v="4694.29"/>
    <n v="1155.71"/>
    <n v="0.19755726495726497"/>
    <x v="5"/>
    <x v="1"/>
  </r>
  <r>
    <s v="ORD00865"/>
    <d v="2025-12-02T00:00:00"/>
    <s v="CUST0063"/>
    <x v="233"/>
    <x v="3"/>
    <s v="Bihar"/>
    <x v="2"/>
    <x v="3"/>
    <n v="5"/>
    <n v="16360"/>
    <n v="13430.7"/>
    <n v="2929.3"/>
    <n v="0.17905256723716381"/>
    <x v="3"/>
    <x v="1"/>
  </r>
  <r>
    <s v="ORD00866"/>
    <d v="2024-09-18T00:00:00"/>
    <s v="CUST0155"/>
    <x v="120"/>
    <x v="2"/>
    <s v="Tamil Nadu"/>
    <x v="2"/>
    <x v="3"/>
    <n v="1"/>
    <n v="3519"/>
    <n v="2914.62"/>
    <n v="604.38"/>
    <n v="0.17174765558397273"/>
    <x v="1"/>
    <x v="0"/>
  </r>
  <r>
    <s v="ORD00867"/>
    <d v="2025-10-21T00:00:00"/>
    <s v="CUST0209"/>
    <x v="257"/>
    <x v="2"/>
    <s v="Tamil Nadu"/>
    <x v="3"/>
    <x v="7"/>
    <n v="3"/>
    <n v="11685"/>
    <n v="8639.9599999999991"/>
    <n v="3045.04"/>
    <n v="0.26059392383397517"/>
    <x v="10"/>
    <x v="1"/>
  </r>
  <r>
    <s v="ORD00868"/>
    <d v="2024-12-06T00:00:00"/>
    <s v="CUST0217"/>
    <x v="250"/>
    <x v="3"/>
    <s v="West Bengal"/>
    <x v="2"/>
    <x v="9"/>
    <n v="8"/>
    <n v="29456"/>
    <n v="24388.07"/>
    <n v="5067.93"/>
    <n v="0.17205085551330798"/>
    <x v="3"/>
    <x v="0"/>
  </r>
  <r>
    <s v="ORD00869"/>
    <d v="2025-09-08T00:00:00"/>
    <s v="CUST0281"/>
    <x v="57"/>
    <x v="2"/>
    <s v="Telangana"/>
    <x v="3"/>
    <x v="10"/>
    <n v="9"/>
    <n v="7587"/>
    <n v="4973.71"/>
    <n v="2613.29"/>
    <n v="0.3444431264004218"/>
    <x v="1"/>
    <x v="1"/>
  </r>
  <r>
    <s v="ORD00870"/>
    <d v="2025-10-18T00:00:00"/>
    <s v="CUST0070"/>
    <x v="87"/>
    <x v="1"/>
    <s v="Rajasthan"/>
    <x v="1"/>
    <x v="1"/>
    <n v="1"/>
    <n v="1805"/>
    <n v="1333.98"/>
    <n v="471.02"/>
    <n v="0.26095290858725761"/>
    <x v="10"/>
    <x v="1"/>
  </r>
  <r>
    <s v="ORD00871"/>
    <d v="2024-04-23T00:00:00"/>
    <s v="CUST0081"/>
    <x v="22"/>
    <x v="1"/>
    <s v="Maharashtra"/>
    <x v="0"/>
    <x v="2"/>
    <n v="5"/>
    <n v="14350"/>
    <n v="10371.36"/>
    <n v="3978.64"/>
    <n v="0.27725714285714287"/>
    <x v="0"/>
    <x v="0"/>
  </r>
  <r>
    <s v="ORD00872"/>
    <d v="2024-05-16T00:00:00"/>
    <s v="CUST0134"/>
    <x v="127"/>
    <x v="2"/>
    <s v="Telangana"/>
    <x v="0"/>
    <x v="2"/>
    <n v="7"/>
    <n v="20412"/>
    <n v="13991.34"/>
    <n v="6420.66"/>
    <n v="0.31455320399764841"/>
    <x v="6"/>
    <x v="0"/>
  </r>
  <r>
    <s v="ORD00873"/>
    <d v="2025-02-06T00:00:00"/>
    <s v="CUST0194"/>
    <x v="230"/>
    <x v="3"/>
    <s v="Odisha"/>
    <x v="3"/>
    <x v="7"/>
    <n v="2"/>
    <n v="7390"/>
    <n v="4879.47"/>
    <n v="2510.5300000000002"/>
    <n v="0.33971989174560219"/>
    <x v="9"/>
    <x v="1"/>
  </r>
  <r>
    <s v="ORD00874"/>
    <d v="2025-04-18T00:00:00"/>
    <s v="CUST0102"/>
    <x v="14"/>
    <x v="2"/>
    <s v="Karnataka"/>
    <x v="1"/>
    <x v="1"/>
    <n v="9"/>
    <n v="19557"/>
    <n v="16076.9"/>
    <n v="3480.1"/>
    <n v="0.17794651531420974"/>
    <x v="0"/>
    <x v="1"/>
  </r>
  <r>
    <s v="ORD00875"/>
    <d v="2024-06-01T00:00:00"/>
    <s v="CUST0046"/>
    <x v="118"/>
    <x v="2"/>
    <s v="Karnataka"/>
    <x v="2"/>
    <x v="3"/>
    <n v="10"/>
    <n v="38130"/>
    <n v="27839.39"/>
    <n v="10290.61"/>
    <n v="0.26988224495148178"/>
    <x v="4"/>
    <x v="0"/>
  </r>
  <r>
    <s v="ORD00876"/>
    <d v="2025-04-09T00:00:00"/>
    <s v="CUST0254"/>
    <x v="235"/>
    <x v="2"/>
    <s v="Telangana"/>
    <x v="1"/>
    <x v="6"/>
    <n v="1"/>
    <n v="4607"/>
    <n v="3135.28"/>
    <n v="1471.72"/>
    <n v="0.31945300629476886"/>
    <x v="0"/>
    <x v="1"/>
  </r>
  <r>
    <s v="ORD00877"/>
    <d v="2025-05-21T00:00:00"/>
    <s v="CUST0196"/>
    <x v="151"/>
    <x v="2"/>
    <s v="Telangana"/>
    <x v="3"/>
    <x v="7"/>
    <n v="4"/>
    <n v="9920"/>
    <n v="6312.97"/>
    <n v="3607.03"/>
    <n v="0.36361189516129033"/>
    <x v="6"/>
    <x v="1"/>
  </r>
  <r>
    <s v="ORD00878"/>
    <d v="2024-07-12T00:00:00"/>
    <s v="CUST0215"/>
    <x v="119"/>
    <x v="1"/>
    <s v="Maharashtra"/>
    <x v="0"/>
    <x v="8"/>
    <n v="4"/>
    <n v="10472"/>
    <n v="8042.63"/>
    <n v="2429.37"/>
    <n v="0.23198720397249809"/>
    <x v="11"/>
    <x v="0"/>
  </r>
  <r>
    <s v="ORD00879"/>
    <d v="2025-04-06T00:00:00"/>
    <s v="CUST0128"/>
    <x v="105"/>
    <x v="1"/>
    <s v="Maharashtra"/>
    <x v="1"/>
    <x v="1"/>
    <n v="5"/>
    <n v="12220"/>
    <n v="7584.29"/>
    <n v="4635.71"/>
    <n v="0.37935433715220951"/>
    <x v="0"/>
    <x v="1"/>
  </r>
  <r>
    <s v="ORD00880"/>
    <d v="2025-12-10T00:00:00"/>
    <s v="CUST0204"/>
    <x v="9"/>
    <x v="1"/>
    <s v="Maharashtra"/>
    <x v="1"/>
    <x v="1"/>
    <n v="8"/>
    <n v="11128"/>
    <n v="9029.6299999999992"/>
    <n v="2098.37"/>
    <n v="0.18856667864845433"/>
    <x v="3"/>
    <x v="1"/>
  </r>
  <r>
    <s v="ORD00881"/>
    <d v="2025-07-24T00:00:00"/>
    <s v="CUST0031"/>
    <x v="83"/>
    <x v="1"/>
    <s v="Rajasthan"/>
    <x v="2"/>
    <x v="3"/>
    <n v="10"/>
    <n v="23990"/>
    <n v="13720.28"/>
    <n v="10269.719999999999"/>
    <n v="0.42808336807002917"/>
    <x v="11"/>
    <x v="1"/>
  </r>
  <r>
    <s v="ORD00882"/>
    <d v="2025-05-31T00:00:00"/>
    <s v="CUST0196"/>
    <x v="273"/>
    <x v="3"/>
    <s v="West Bengal"/>
    <x v="2"/>
    <x v="9"/>
    <n v="6"/>
    <n v="4032"/>
    <n v="2224.08"/>
    <n v="1807.92"/>
    <n v="0.44839285714285715"/>
    <x v="6"/>
    <x v="1"/>
  </r>
  <r>
    <s v="ORD00883"/>
    <d v="2024-07-02T00:00:00"/>
    <s v="CUST0134"/>
    <x v="196"/>
    <x v="1"/>
    <s v="Rajasthan"/>
    <x v="3"/>
    <x v="4"/>
    <n v="3"/>
    <n v="14649"/>
    <n v="8237.68"/>
    <n v="6411.32"/>
    <n v="0.43766263908799236"/>
    <x v="11"/>
    <x v="0"/>
  </r>
  <r>
    <s v="ORD00884"/>
    <d v="2025-06-27T00:00:00"/>
    <s v="CUST0222"/>
    <x v="225"/>
    <x v="1"/>
    <s v="Gujarat"/>
    <x v="2"/>
    <x v="9"/>
    <n v="3"/>
    <n v="3102"/>
    <n v="2001.4"/>
    <n v="1100.5999999999999"/>
    <n v="0.35480335267569307"/>
    <x v="4"/>
    <x v="1"/>
  </r>
  <r>
    <s v="ORD00885"/>
    <d v="2024-10-14T00:00:00"/>
    <s v="CUST0185"/>
    <x v="279"/>
    <x v="3"/>
    <s v="West Bengal"/>
    <x v="3"/>
    <x v="4"/>
    <n v="1"/>
    <n v="1347"/>
    <n v="942.58"/>
    <n v="404.42"/>
    <n v="0.30023756495916853"/>
    <x v="10"/>
    <x v="0"/>
  </r>
  <r>
    <s v="ORD00886"/>
    <d v="2024-06-17T00:00:00"/>
    <s v="CUST0162"/>
    <x v="216"/>
    <x v="3"/>
    <s v="Odisha"/>
    <x v="0"/>
    <x v="8"/>
    <n v="5"/>
    <n v="22675"/>
    <n v="14600.5"/>
    <n v="8074.5"/>
    <n v="0.35609702315325248"/>
    <x v="4"/>
    <x v="0"/>
  </r>
  <r>
    <s v="ORD00887"/>
    <d v="2024-02-25T00:00:00"/>
    <s v="CUST0118"/>
    <x v="282"/>
    <x v="2"/>
    <s v="Telangana"/>
    <x v="0"/>
    <x v="2"/>
    <n v="8"/>
    <n v="5880"/>
    <n v="3567.25"/>
    <n v="2312.75"/>
    <n v="0.39332482993197276"/>
    <x v="9"/>
    <x v="0"/>
  </r>
  <r>
    <s v="ORD00888"/>
    <d v="2025-05-21T00:00:00"/>
    <s v="CUST0021"/>
    <x v="33"/>
    <x v="0"/>
    <s v="Punjab"/>
    <x v="3"/>
    <x v="10"/>
    <n v="3"/>
    <n v="12378"/>
    <n v="8428.5400000000009"/>
    <n v="3949.46"/>
    <n v="0.31907093229924061"/>
    <x v="6"/>
    <x v="1"/>
  </r>
  <r>
    <s v="ORD00889"/>
    <d v="2024-05-31T00:00:00"/>
    <s v="CUST0064"/>
    <x v="259"/>
    <x v="3"/>
    <s v="Bihar"/>
    <x v="2"/>
    <x v="5"/>
    <n v="8"/>
    <n v="32392"/>
    <n v="22606.27"/>
    <n v="9785.73"/>
    <n v="0.30210329711039763"/>
    <x v="6"/>
    <x v="0"/>
  </r>
  <r>
    <s v="ORD00890"/>
    <d v="2024-10-06T00:00:00"/>
    <s v="CUST0289"/>
    <x v="53"/>
    <x v="0"/>
    <s v="Delhi"/>
    <x v="3"/>
    <x v="10"/>
    <n v="3"/>
    <n v="5034"/>
    <n v="3901.25"/>
    <n v="1132.75"/>
    <n v="0.22501986491855383"/>
    <x v="10"/>
    <x v="0"/>
  </r>
  <r>
    <s v="ORD00891"/>
    <d v="2024-03-19T00:00:00"/>
    <s v="CUST0127"/>
    <x v="184"/>
    <x v="2"/>
    <s v="Telangana"/>
    <x v="1"/>
    <x v="1"/>
    <n v="9"/>
    <n v="44775"/>
    <n v="27051.74"/>
    <n v="17723.259999999998"/>
    <n v="0.39582936906756"/>
    <x v="7"/>
    <x v="0"/>
  </r>
  <r>
    <s v="ORD00892"/>
    <d v="2025-08-27T00:00:00"/>
    <s v="CUST0055"/>
    <x v="78"/>
    <x v="0"/>
    <s v="Punjab"/>
    <x v="1"/>
    <x v="1"/>
    <n v="5"/>
    <n v="6495"/>
    <n v="4340.29"/>
    <n v="2154.71"/>
    <n v="0.33174903772132408"/>
    <x v="2"/>
    <x v="1"/>
  </r>
  <r>
    <s v="ORD00893"/>
    <d v="2024-10-02T00:00:00"/>
    <s v="CUST0003"/>
    <x v="38"/>
    <x v="2"/>
    <s v="Karnataka"/>
    <x v="1"/>
    <x v="6"/>
    <n v="8"/>
    <n v="33840"/>
    <n v="23221.57"/>
    <n v="10618.43"/>
    <n v="0.31378339243498821"/>
    <x v="10"/>
    <x v="0"/>
  </r>
  <r>
    <s v="ORD00894"/>
    <d v="2025-08-05T00:00:00"/>
    <s v="CUST0067"/>
    <x v="9"/>
    <x v="0"/>
    <s v="Haryana"/>
    <x v="0"/>
    <x v="8"/>
    <n v="8"/>
    <n v="23688"/>
    <n v="19761.13"/>
    <n v="3926.87"/>
    <n v="0.16577465383316448"/>
    <x v="2"/>
    <x v="1"/>
  </r>
  <r>
    <s v="ORD00895"/>
    <d v="2025-07-14T00:00:00"/>
    <s v="CUST0196"/>
    <x v="3"/>
    <x v="0"/>
    <s v="Haryana"/>
    <x v="3"/>
    <x v="10"/>
    <n v="6"/>
    <n v="4524"/>
    <n v="3497.69"/>
    <n v="1026.31"/>
    <n v="0.22685897435897434"/>
    <x v="11"/>
    <x v="1"/>
  </r>
  <r>
    <s v="ORD00896"/>
    <d v="2024-08-01T00:00:00"/>
    <s v="CUST0084"/>
    <x v="232"/>
    <x v="1"/>
    <s v="Gujarat"/>
    <x v="1"/>
    <x v="11"/>
    <n v="4"/>
    <n v="14268"/>
    <n v="8229.16"/>
    <n v="6038.84"/>
    <n v="0.42324362209139332"/>
    <x v="2"/>
    <x v="0"/>
  </r>
  <r>
    <s v="ORD00897"/>
    <d v="2025-03-18T00:00:00"/>
    <s v="CUST0159"/>
    <x v="262"/>
    <x v="1"/>
    <s v="Gujarat"/>
    <x v="0"/>
    <x v="2"/>
    <n v="3"/>
    <n v="3861"/>
    <n v="2469.36"/>
    <n v="1391.64"/>
    <n v="0.36043512043512044"/>
    <x v="7"/>
    <x v="1"/>
  </r>
  <r>
    <s v="ORD00898"/>
    <d v="2025-04-01T00:00:00"/>
    <s v="CUST0199"/>
    <x v="46"/>
    <x v="3"/>
    <s v="Bihar"/>
    <x v="1"/>
    <x v="6"/>
    <n v="6"/>
    <n v="26994"/>
    <n v="16465.3"/>
    <n v="10528.7"/>
    <n v="0.3900385270800919"/>
    <x v="0"/>
    <x v="1"/>
  </r>
  <r>
    <s v="ORD00899"/>
    <d v="2025-01-12T00:00:00"/>
    <s v="CUST0096"/>
    <x v="62"/>
    <x v="3"/>
    <s v="Bihar"/>
    <x v="0"/>
    <x v="8"/>
    <n v="7"/>
    <n v="7273"/>
    <n v="5650.74"/>
    <n v="1622.26"/>
    <n v="0.22305238553554241"/>
    <x v="8"/>
    <x v="1"/>
  </r>
  <r>
    <s v="ORD00900"/>
    <d v="2025-11-23T00:00:00"/>
    <s v="CUST0115"/>
    <x v="36"/>
    <x v="1"/>
    <s v="Maharashtra"/>
    <x v="1"/>
    <x v="1"/>
    <n v="9"/>
    <n v="27891"/>
    <n v="23483.71"/>
    <n v="4407.29"/>
    <n v="0.15801835717615001"/>
    <x v="5"/>
    <x v="1"/>
  </r>
  <r>
    <s v="ORD00901"/>
    <d v="2025-03-23T00:00:00"/>
    <s v="CUST0041"/>
    <x v="210"/>
    <x v="1"/>
    <s v="Rajasthan"/>
    <x v="0"/>
    <x v="2"/>
    <n v="9"/>
    <n v="8883"/>
    <n v="5660.34"/>
    <n v="3222.66"/>
    <n v="0.362789598108747"/>
    <x v="7"/>
    <x v="1"/>
  </r>
  <r>
    <s v="ORD00902"/>
    <d v="2024-10-29T00:00:00"/>
    <s v="CUST0292"/>
    <x v="207"/>
    <x v="3"/>
    <s v="West Bengal"/>
    <x v="1"/>
    <x v="11"/>
    <n v="5"/>
    <n v="11680"/>
    <n v="8256.91"/>
    <n v="3423.09"/>
    <n v="0.29307277397260273"/>
    <x v="10"/>
    <x v="0"/>
  </r>
  <r>
    <s v="ORD00903"/>
    <d v="2024-04-06T00:00:00"/>
    <s v="CUST0238"/>
    <x v="239"/>
    <x v="0"/>
    <s v="Delhi"/>
    <x v="2"/>
    <x v="5"/>
    <n v="2"/>
    <n v="8966"/>
    <n v="6074.23"/>
    <n v="2891.77"/>
    <n v="0.32252621012714699"/>
    <x v="0"/>
    <x v="0"/>
  </r>
  <r>
    <s v="ORD00904"/>
    <d v="2024-01-17T00:00:00"/>
    <s v="CUST0059"/>
    <x v="269"/>
    <x v="3"/>
    <s v="Odisha"/>
    <x v="3"/>
    <x v="10"/>
    <n v="10"/>
    <n v="9690"/>
    <n v="7563.96"/>
    <n v="2126.04"/>
    <n v="0.21940557275541794"/>
    <x v="8"/>
    <x v="0"/>
  </r>
  <r>
    <s v="ORD00905"/>
    <d v="2025-12-22T00:00:00"/>
    <s v="CUST0153"/>
    <x v="25"/>
    <x v="2"/>
    <s v="Karnataka"/>
    <x v="2"/>
    <x v="3"/>
    <n v="1"/>
    <n v="982"/>
    <n v="662.73"/>
    <n v="319.27"/>
    <n v="0.32512219959266803"/>
    <x v="3"/>
    <x v="1"/>
  </r>
  <r>
    <s v="ORD00906"/>
    <d v="2024-07-10T00:00:00"/>
    <s v="CUST0109"/>
    <x v="254"/>
    <x v="1"/>
    <s v="Rajasthan"/>
    <x v="2"/>
    <x v="9"/>
    <n v="10"/>
    <n v="24710"/>
    <n v="16120.81"/>
    <n v="8589.19"/>
    <n v="0.34759975718332659"/>
    <x v="11"/>
    <x v="0"/>
  </r>
  <r>
    <s v="ORD00907"/>
    <d v="2024-01-19T00:00:00"/>
    <s v="CUST0003"/>
    <x v="126"/>
    <x v="0"/>
    <s v="Haryana"/>
    <x v="0"/>
    <x v="8"/>
    <n v="5"/>
    <n v="5855"/>
    <n v="3982.22"/>
    <n v="1872.78"/>
    <n v="0.31985994876174212"/>
    <x v="8"/>
    <x v="0"/>
  </r>
  <r>
    <s v="ORD00908"/>
    <d v="2025-11-04T00:00:00"/>
    <s v="CUST0250"/>
    <x v="44"/>
    <x v="0"/>
    <s v="Delhi"/>
    <x v="1"/>
    <x v="11"/>
    <n v="8"/>
    <n v="32552"/>
    <n v="24659.5"/>
    <n v="7892.5"/>
    <n v="0.24245822069304498"/>
    <x v="5"/>
    <x v="1"/>
  </r>
  <r>
    <s v="ORD00909"/>
    <d v="2024-05-18T00:00:00"/>
    <s v="CUST0008"/>
    <x v="86"/>
    <x v="3"/>
    <s v="Bihar"/>
    <x v="0"/>
    <x v="2"/>
    <n v="7"/>
    <n v="19453"/>
    <n v="11210.58"/>
    <n v="8242.42"/>
    <n v="0.42370945355472162"/>
    <x v="6"/>
    <x v="0"/>
  </r>
  <r>
    <s v="ORD00910"/>
    <d v="2025-10-26T00:00:00"/>
    <s v="CUST0075"/>
    <x v="66"/>
    <x v="0"/>
    <s v="Delhi"/>
    <x v="0"/>
    <x v="0"/>
    <n v="4"/>
    <n v="2076"/>
    <n v="1272.1099999999999"/>
    <n v="803.89"/>
    <n v="0.38723025048169557"/>
    <x v="10"/>
    <x v="1"/>
  </r>
  <r>
    <s v="ORD00911"/>
    <d v="2025-04-19T00:00:00"/>
    <s v="CUST0076"/>
    <x v="20"/>
    <x v="1"/>
    <s v="Rajasthan"/>
    <x v="2"/>
    <x v="5"/>
    <n v="4"/>
    <n v="4020"/>
    <n v="2573.91"/>
    <n v="1446.09"/>
    <n v="0.35972388059701488"/>
    <x v="0"/>
    <x v="1"/>
  </r>
  <r>
    <s v="ORD00912"/>
    <d v="2025-03-31T00:00:00"/>
    <s v="CUST0249"/>
    <x v="270"/>
    <x v="1"/>
    <s v="Maharashtra"/>
    <x v="1"/>
    <x v="6"/>
    <n v="3"/>
    <n v="4644"/>
    <n v="3583.47"/>
    <n v="1060.53"/>
    <n v="0.2283656330749354"/>
    <x v="7"/>
    <x v="1"/>
  </r>
  <r>
    <s v="ORD00913"/>
    <d v="2025-02-05T00:00:00"/>
    <s v="CUST0027"/>
    <x v="283"/>
    <x v="0"/>
    <s v="Punjab"/>
    <x v="0"/>
    <x v="8"/>
    <n v="4"/>
    <n v="7796"/>
    <n v="4977.3500000000004"/>
    <n v="2818.65"/>
    <n v="0.36155079527963058"/>
    <x v="9"/>
    <x v="1"/>
  </r>
  <r>
    <s v="ORD00914"/>
    <d v="2025-08-15T00:00:00"/>
    <s v="CUST0284"/>
    <x v="124"/>
    <x v="0"/>
    <s v="Delhi"/>
    <x v="0"/>
    <x v="2"/>
    <n v="7"/>
    <n v="25935"/>
    <n v="20866.91"/>
    <n v="5068.09"/>
    <n v="0.19541507615191828"/>
    <x v="2"/>
    <x v="1"/>
  </r>
  <r>
    <s v="ORD00915"/>
    <d v="2025-09-18T00:00:00"/>
    <s v="CUST0250"/>
    <x v="95"/>
    <x v="0"/>
    <s v="Punjab"/>
    <x v="2"/>
    <x v="3"/>
    <n v="8"/>
    <n v="36040"/>
    <n v="26212.32"/>
    <n v="9827.68"/>
    <n v="0.27268812430632633"/>
    <x v="1"/>
    <x v="1"/>
  </r>
  <r>
    <s v="ORD00916"/>
    <d v="2024-10-01T00:00:00"/>
    <s v="CUST0214"/>
    <x v="20"/>
    <x v="0"/>
    <s v="Haryana"/>
    <x v="1"/>
    <x v="1"/>
    <n v="7"/>
    <n v="20209"/>
    <n v="14469.17"/>
    <n v="5739.83"/>
    <n v="0.28402345489633329"/>
    <x v="10"/>
    <x v="0"/>
  </r>
  <r>
    <s v="ORD00917"/>
    <d v="2024-01-22T00:00:00"/>
    <s v="CUST0083"/>
    <x v="91"/>
    <x v="0"/>
    <s v="Punjab"/>
    <x v="0"/>
    <x v="8"/>
    <n v="6"/>
    <n v="23832"/>
    <n v="18094.55"/>
    <n v="5737.45"/>
    <n v="0.24074563611950317"/>
    <x v="8"/>
    <x v="0"/>
  </r>
  <r>
    <s v="ORD00918"/>
    <d v="2025-08-24T00:00:00"/>
    <s v="CUST0174"/>
    <x v="101"/>
    <x v="2"/>
    <s v="Tamil Nadu"/>
    <x v="3"/>
    <x v="4"/>
    <n v="8"/>
    <n v="17608"/>
    <n v="12365.94"/>
    <n v="5242.0600000000004"/>
    <n v="0.29770899591094957"/>
    <x v="2"/>
    <x v="1"/>
  </r>
  <r>
    <s v="ORD00919"/>
    <d v="2025-11-20T00:00:00"/>
    <s v="CUST0185"/>
    <x v="270"/>
    <x v="2"/>
    <s v="Tamil Nadu"/>
    <x v="0"/>
    <x v="0"/>
    <n v="7"/>
    <n v="25998"/>
    <n v="20796.43"/>
    <n v="5201.57"/>
    <n v="0.20007577505961996"/>
    <x v="5"/>
    <x v="1"/>
  </r>
  <r>
    <s v="ORD00920"/>
    <d v="2024-05-12T00:00:00"/>
    <s v="CUST0089"/>
    <x v="37"/>
    <x v="2"/>
    <s v="Telangana"/>
    <x v="3"/>
    <x v="7"/>
    <n v="5"/>
    <n v="5030"/>
    <n v="3773.09"/>
    <n v="1256.9100000000001"/>
    <n v="0.24988270377733601"/>
    <x v="6"/>
    <x v="0"/>
  </r>
  <r>
    <s v="ORD00921"/>
    <d v="2025-05-20T00:00:00"/>
    <s v="CUST0156"/>
    <x v="137"/>
    <x v="2"/>
    <s v="Telangana"/>
    <x v="2"/>
    <x v="9"/>
    <n v="2"/>
    <n v="7414"/>
    <n v="6175.24"/>
    <n v="1238.76"/>
    <n v="0.16708389533315349"/>
    <x v="6"/>
    <x v="1"/>
  </r>
  <r>
    <s v="ORD00922"/>
    <d v="2024-12-31T00:00:00"/>
    <s v="CUST0082"/>
    <x v="265"/>
    <x v="2"/>
    <s v="Telangana"/>
    <x v="1"/>
    <x v="1"/>
    <n v="1"/>
    <n v="3239"/>
    <n v="2637.43"/>
    <n v="601.57000000000005"/>
    <n v="0.18572707625810436"/>
    <x v="3"/>
    <x v="0"/>
  </r>
  <r>
    <s v="ORD00923"/>
    <d v="2024-05-03T00:00:00"/>
    <s v="CUST0288"/>
    <x v="223"/>
    <x v="0"/>
    <s v="Delhi"/>
    <x v="3"/>
    <x v="4"/>
    <n v="7"/>
    <n v="8631"/>
    <n v="6346.11"/>
    <n v="2284.89"/>
    <n v="0.26473062217587762"/>
    <x v="6"/>
    <x v="0"/>
  </r>
  <r>
    <s v="ORD00924"/>
    <d v="2025-07-24T00:00:00"/>
    <s v="CUST0137"/>
    <x v="161"/>
    <x v="1"/>
    <s v="Gujarat"/>
    <x v="3"/>
    <x v="4"/>
    <n v="6"/>
    <n v="4092"/>
    <n v="3195.97"/>
    <n v="896.03"/>
    <n v="0.21897116324535679"/>
    <x v="11"/>
    <x v="1"/>
  </r>
  <r>
    <s v="ORD00925"/>
    <d v="2024-04-23T00:00:00"/>
    <s v="CUST0055"/>
    <x v="284"/>
    <x v="0"/>
    <s v="Haryana"/>
    <x v="1"/>
    <x v="1"/>
    <n v="8"/>
    <n v="32352"/>
    <n v="27136.67"/>
    <n v="5215.33"/>
    <n v="0.16120579871414442"/>
    <x v="0"/>
    <x v="0"/>
  </r>
  <r>
    <s v="ORD00926"/>
    <d v="2025-01-05T00:00:00"/>
    <s v="CUST0081"/>
    <x v="85"/>
    <x v="0"/>
    <s v="Haryana"/>
    <x v="1"/>
    <x v="6"/>
    <n v="3"/>
    <n v="3801"/>
    <n v="3083.6"/>
    <n v="717.4"/>
    <n v="0.18873980531439094"/>
    <x v="8"/>
    <x v="1"/>
  </r>
  <r>
    <s v="ORD00927"/>
    <d v="2024-12-08T00:00:00"/>
    <s v="CUST0071"/>
    <x v="84"/>
    <x v="1"/>
    <s v="Rajasthan"/>
    <x v="2"/>
    <x v="9"/>
    <n v="2"/>
    <n v="3126"/>
    <n v="2326.14"/>
    <n v="799.86"/>
    <n v="0.25587332053742801"/>
    <x v="3"/>
    <x v="0"/>
  </r>
  <r>
    <s v="ORD00928"/>
    <d v="2025-04-30T00:00:00"/>
    <s v="CUST0175"/>
    <x v="156"/>
    <x v="2"/>
    <s v="Tamil Nadu"/>
    <x v="2"/>
    <x v="3"/>
    <n v="1"/>
    <n v="2309"/>
    <n v="1848.23"/>
    <n v="460.77"/>
    <n v="0.19955391944564746"/>
    <x v="0"/>
    <x v="1"/>
  </r>
  <r>
    <s v="ORD00929"/>
    <d v="2025-11-11T00:00:00"/>
    <s v="CUST0126"/>
    <x v="161"/>
    <x v="2"/>
    <s v="Karnataka"/>
    <x v="3"/>
    <x v="10"/>
    <n v="6"/>
    <n v="22194"/>
    <n v="14607.94"/>
    <n v="7586.06"/>
    <n v="0.34180679462917907"/>
    <x v="5"/>
    <x v="1"/>
  </r>
  <r>
    <s v="ORD00930"/>
    <d v="2025-04-14T00:00:00"/>
    <s v="CUST0265"/>
    <x v="125"/>
    <x v="1"/>
    <s v="Maharashtra"/>
    <x v="1"/>
    <x v="11"/>
    <n v="7"/>
    <n v="25802"/>
    <n v="21297.13"/>
    <n v="4504.87"/>
    <n v="0.17459382993566389"/>
    <x v="0"/>
    <x v="1"/>
  </r>
  <r>
    <s v="ORD00931"/>
    <d v="2024-03-27T00:00:00"/>
    <s v="CUST0174"/>
    <x v="189"/>
    <x v="0"/>
    <s v="Punjab"/>
    <x v="1"/>
    <x v="11"/>
    <n v="1"/>
    <n v="4538"/>
    <n v="3780.58"/>
    <n v="757.42"/>
    <n v="0.16690612604671662"/>
    <x v="7"/>
    <x v="0"/>
  </r>
  <r>
    <s v="ORD00932"/>
    <d v="2025-11-07T00:00:00"/>
    <s v="CUST0078"/>
    <x v="97"/>
    <x v="1"/>
    <s v="Maharashtra"/>
    <x v="2"/>
    <x v="3"/>
    <n v="1"/>
    <n v="3521"/>
    <n v="2738.48"/>
    <n v="782.52"/>
    <n v="0.22224368077250781"/>
    <x v="5"/>
    <x v="1"/>
  </r>
  <r>
    <s v="ORD00933"/>
    <d v="2025-11-28T00:00:00"/>
    <s v="CUST0284"/>
    <x v="44"/>
    <x v="0"/>
    <s v="Haryana"/>
    <x v="0"/>
    <x v="0"/>
    <n v="9"/>
    <n v="24498"/>
    <n v="16555.54"/>
    <n v="7942.46"/>
    <n v="0.32420850681688301"/>
    <x v="5"/>
    <x v="1"/>
  </r>
  <r>
    <s v="ORD00934"/>
    <d v="2024-05-30T00:00:00"/>
    <s v="CUST0207"/>
    <x v="169"/>
    <x v="3"/>
    <s v="Odisha"/>
    <x v="1"/>
    <x v="1"/>
    <n v="5"/>
    <n v="23115"/>
    <n v="16946.080000000002"/>
    <n v="6168.92"/>
    <n v="0.26687951546614752"/>
    <x v="6"/>
    <x v="0"/>
  </r>
  <r>
    <s v="ORD00935"/>
    <d v="2025-10-26T00:00:00"/>
    <s v="CUST0208"/>
    <x v="59"/>
    <x v="2"/>
    <s v="Telangana"/>
    <x v="0"/>
    <x v="8"/>
    <n v="10"/>
    <n v="39220"/>
    <n v="29777.439999999999"/>
    <n v="9442.56"/>
    <n v="0.24075879653238141"/>
    <x v="10"/>
    <x v="1"/>
  </r>
  <r>
    <s v="ORD00936"/>
    <d v="2024-05-09T00:00:00"/>
    <s v="CUST0267"/>
    <x v="136"/>
    <x v="3"/>
    <s v="West Bengal"/>
    <x v="1"/>
    <x v="1"/>
    <n v="9"/>
    <n v="27360"/>
    <n v="18249.07"/>
    <n v="9110.93"/>
    <n v="0.33300182748538015"/>
    <x v="6"/>
    <x v="0"/>
  </r>
  <r>
    <s v="ORD00937"/>
    <d v="2024-12-14T00:00:00"/>
    <s v="CUST0082"/>
    <x v="178"/>
    <x v="3"/>
    <s v="West Bengal"/>
    <x v="1"/>
    <x v="6"/>
    <n v="9"/>
    <n v="43380"/>
    <n v="27922.65"/>
    <n v="15457.35"/>
    <n v="0.35632434301521437"/>
    <x v="3"/>
    <x v="0"/>
  </r>
  <r>
    <s v="ORD00938"/>
    <d v="2024-11-07T00:00:00"/>
    <s v="CUST0217"/>
    <x v="185"/>
    <x v="0"/>
    <s v="Haryana"/>
    <x v="0"/>
    <x v="8"/>
    <n v="5"/>
    <n v="11385"/>
    <n v="9104.23"/>
    <n v="2280.77"/>
    <n v="0.20033113746157225"/>
    <x v="5"/>
    <x v="0"/>
  </r>
  <r>
    <s v="ORD00939"/>
    <d v="2024-12-28T00:00:00"/>
    <s v="CUST0064"/>
    <x v="207"/>
    <x v="0"/>
    <s v="Haryana"/>
    <x v="1"/>
    <x v="1"/>
    <n v="6"/>
    <n v="14562"/>
    <n v="10748.17"/>
    <n v="3813.83"/>
    <n v="0.2619028979535778"/>
    <x v="3"/>
    <x v="0"/>
  </r>
  <r>
    <s v="ORD00940"/>
    <d v="2024-08-29T00:00:00"/>
    <s v="CUST0298"/>
    <x v="60"/>
    <x v="0"/>
    <s v="Punjab"/>
    <x v="3"/>
    <x v="10"/>
    <n v="10"/>
    <n v="3420"/>
    <n v="2345.9299999999998"/>
    <n v="1074.07"/>
    <n v="0.31405555555555553"/>
    <x v="2"/>
    <x v="0"/>
  </r>
  <r>
    <s v="ORD00941"/>
    <d v="2025-01-21T00:00:00"/>
    <s v="CUST0267"/>
    <x v="285"/>
    <x v="2"/>
    <s v="Tamil Nadu"/>
    <x v="3"/>
    <x v="10"/>
    <n v="5"/>
    <n v="24960"/>
    <n v="18763.18"/>
    <n v="6196.82"/>
    <n v="0.24827003205128204"/>
    <x v="8"/>
    <x v="1"/>
  </r>
  <r>
    <s v="ORD00942"/>
    <d v="2025-01-04T00:00:00"/>
    <s v="CUST0233"/>
    <x v="113"/>
    <x v="0"/>
    <s v="Punjab"/>
    <x v="2"/>
    <x v="5"/>
    <n v="10"/>
    <n v="18770"/>
    <n v="14956.93"/>
    <n v="3813.07"/>
    <n v="0.20314704315396911"/>
    <x v="8"/>
    <x v="1"/>
  </r>
  <r>
    <s v="ORD00943"/>
    <d v="2025-03-11T00:00:00"/>
    <s v="CUST0067"/>
    <x v="46"/>
    <x v="2"/>
    <s v="Telangana"/>
    <x v="2"/>
    <x v="3"/>
    <n v="7"/>
    <n v="6797"/>
    <n v="3926.45"/>
    <n v="2870.55"/>
    <n v="0.42232602618802417"/>
    <x v="7"/>
    <x v="1"/>
  </r>
  <r>
    <s v="ORD00944"/>
    <d v="2025-07-26T00:00:00"/>
    <s v="CUST0266"/>
    <x v="126"/>
    <x v="2"/>
    <s v="Tamil Nadu"/>
    <x v="1"/>
    <x v="6"/>
    <n v="6"/>
    <n v="27666"/>
    <n v="18559.080000000002"/>
    <n v="9106.92"/>
    <n v="0.32917371502927784"/>
    <x v="11"/>
    <x v="1"/>
  </r>
  <r>
    <s v="ORD00945"/>
    <d v="2025-05-16T00:00:00"/>
    <s v="CUST0214"/>
    <x v="6"/>
    <x v="3"/>
    <s v="Bihar"/>
    <x v="2"/>
    <x v="9"/>
    <n v="7"/>
    <n v="27335"/>
    <n v="20684.54"/>
    <n v="6650.46"/>
    <n v="0.24329467715383207"/>
    <x v="6"/>
    <x v="1"/>
  </r>
  <r>
    <s v="ORD00946"/>
    <d v="2025-12-22T00:00:00"/>
    <s v="CUST0263"/>
    <x v="212"/>
    <x v="2"/>
    <s v="Telangana"/>
    <x v="1"/>
    <x v="11"/>
    <n v="8"/>
    <n v="32392"/>
    <n v="19072.91"/>
    <n v="13319.09"/>
    <n v="0.41118455174117069"/>
    <x v="3"/>
    <x v="1"/>
  </r>
  <r>
    <s v="ORD00947"/>
    <d v="2024-06-09T00:00:00"/>
    <s v="CUST0287"/>
    <x v="105"/>
    <x v="0"/>
    <s v="Haryana"/>
    <x v="3"/>
    <x v="7"/>
    <n v="8"/>
    <n v="33416"/>
    <n v="18705.68"/>
    <n v="14710.32"/>
    <n v="0.44021785970792432"/>
    <x v="4"/>
    <x v="0"/>
  </r>
  <r>
    <s v="ORD00948"/>
    <d v="2024-10-23T00:00:00"/>
    <s v="CUST0021"/>
    <x v="27"/>
    <x v="0"/>
    <s v="Haryana"/>
    <x v="2"/>
    <x v="3"/>
    <n v="2"/>
    <n v="2580"/>
    <n v="1705.06"/>
    <n v="874.94"/>
    <n v="0.33912403100775196"/>
    <x v="10"/>
    <x v="0"/>
  </r>
  <r>
    <s v="ORD00949"/>
    <d v="2025-05-12T00:00:00"/>
    <s v="CUST0015"/>
    <x v="141"/>
    <x v="2"/>
    <s v="Karnataka"/>
    <x v="3"/>
    <x v="4"/>
    <n v="5"/>
    <n v="16835"/>
    <n v="10790.87"/>
    <n v="6044.13"/>
    <n v="0.35902168102168103"/>
    <x v="6"/>
    <x v="1"/>
  </r>
  <r>
    <s v="ORD00950"/>
    <d v="2024-08-08T00:00:00"/>
    <s v="CUST0094"/>
    <x v="202"/>
    <x v="2"/>
    <s v="Telangana"/>
    <x v="2"/>
    <x v="3"/>
    <n v="1"/>
    <n v="2799"/>
    <n v="2285.9899999999998"/>
    <n v="513.01"/>
    <n v="0.18328331546981064"/>
    <x v="2"/>
    <x v="0"/>
  </r>
  <r>
    <s v="ORD00951"/>
    <d v="2025-03-03T00:00:00"/>
    <s v="CUST0247"/>
    <x v="267"/>
    <x v="0"/>
    <s v="Delhi"/>
    <x v="2"/>
    <x v="5"/>
    <n v="6"/>
    <n v="5118"/>
    <n v="4151.3500000000004"/>
    <n v="966.65"/>
    <n v="0.18887260648690896"/>
    <x v="7"/>
    <x v="1"/>
  </r>
  <r>
    <s v="ORD00952"/>
    <d v="2025-09-12T00:00:00"/>
    <s v="CUST0068"/>
    <x v="99"/>
    <x v="3"/>
    <s v="Bihar"/>
    <x v="2"/>
    <x v="9"/>
    <n v="6"/>
    <n v="20340"/>
    <n v="14086.84"/>
    <n v="6253.16"/>
    <n v="0.30743166175024583"/>
    <x v="1"/>
    <x v="1"/>
  </r>
  <r>
    <s v="ORD00953"/>
    <d v="2024-11-29T00:00:00"/>
    <s v="CUST0046"/>
    <x v="133"/>
    <x v="1"/>
    <s v="Gujarat"/>
    <x v="0"/>
    <x v="2"/>
    <n v="8"/>
    <n v="12160"/>
    <n v="9848.43"/>
    <n v="2311.5700000000002"/>
    <n v="0.19009621710526317"/>
    <x v="5"/>
    <x v="0"/>
  </r>
  <r>
    <s v="ORD00954"/>
    <d v="2025-11-17T00:00:00"/>
    <s v="CUST0227"/>
    <x v="278"/>
    <x v="1"/>
    <s v="Maharashtra"/>
    <x v="2"/>
    <x v="3"/>
    <n v="6"/>
    <n v="28386"/>
    <n v="16002.49"/>
    <n v="12383.51"/>
    <n v="0.43625413936447544"/>
    <x v="5"/>
    <x v="1"/>
  </r>
  <r>
    <s v="ORD00955"/>
    <d v="2025-12-25T00:00:00"/>
    <s v="CUST0159"/>
    <x v="1"/>
    <x v="0"/>
    <s v="Delhi"/>
    <x v="0"/>
    <x v="0"/>
    <n v="1"/>
    <n v="4985"/>
    <n v="3684.08"/>
    <n v="1300.92"/>
    <n v="0.26096690070210632"/>
    <x v="3"/>
    <x v="1"/>
  </r>
  <r>
    <s v="ORD00956"/>
    <d v="2025-07-08T00:00:00"/>
    <s v="CUST0296"/>
    <x v="211"/>
    <x v="0"/>
    <s v="Haryana"/>
    <x v="2"/>
    <x v="5"/>
    <n v="2"/>
    <n v="3752"/>
    <n v="3138.74"/>
    <n v="613.26"/>
    <n v="0.16344882729211088"/>
    <x v="11"/>
    <x v="1"/>
  </r>
  <r>
    <s v="ORD00957"/>
    <d v="2025-06-28T00:00:00"/>
    <s v="CUST0093"/>
    <x v="123"/>
    <x v="2"/>
    <s v="Tamil Nadu"/>
    <x v="2"/>
    <x v="5"/>
    <n v="1"/>
    <n v="1285"/>
    <n v="960.51"/>
    <n v="324.49"/>
    <n v="0.25252140077821011"/>
    <x v="4"/>
    <x v="1"/>
  </r>
  <r>
    <s v="ORD00958"/>
    <d v="2025-06-30T00:00:00"/>
    <s v="CUST0165"/>
    <x v="215"/>
    <x v="3"/>
    <s v="West Bengal"/>
    <x v="3"/>
    <x v="7"/>
    <n v="10"/>
    <n v="39390"/>
    <n v="22664.78"/>
    <n v="16725.22"/>
    <n v="0.42460573749682662"/>
    <x v="4"/>
    <x v="1"/>
  </r>
  <r>
    <s v="ORD00959"/>
    <d v="2024-01-25T00:00:00"/>
    <s v="CUST0271"/>
    <x v="281"/>
    <x v="0"/>
    <s v="Punjab"/>
    <x v="1"/>
    <x v="1"/>
    <n v="6"/>
    <n v="23280"/>
    <n v="14064.67"/>
    <n v="9215.33"/>
    <n v="0.39584750859106527"/>
    <x v="8"/>
    <x v="0"/>
  </r>
  <r>
    <s v="ORD00960"/>
    <d v="2024-10-19T00:00:00"/>
    <s v="CUST0074"/>
    <x v="282"/>
    <x v="1"/>
    <s v="Gujarat"/>
    <x v="1"/>
    <x v="6"/>
    <n v="2"/>
    <n v="2226"/>
    <n v="1586.1"/>
    <n v="639.9"/>
    <n v="0.28746630727762801"/>
    <x v="10"/>
    <x v="0"/>
  </r>
  <r>
    <s v="ORD00961"/>
    <d v="2024-03-01T00:00:00"/>
    <s v="CUST0167"/>
    <x v="119"/>
    <x v="3"/>
    <s v="West Bengal"/>
    <x v="1"/>
    <x v="11"/>
    <n v="5"/>
    <n v="18180"/>
    <n v="13700.13"/>
    <n v="4479.87"/>
    <n v="0.24641749174917491"/>
    <x v="7"/>
    <x v="0"/>
  </r>
  <r>
    <s v="ORD00962"/>
    <d v="2024-05-25T00:00:00"/>
    <s v="CUST0212"/>
    <x v="78"/>
    <x v="0"/>
    <s v="Haryana"/>
    <x v="1"/>
    <x v="1"/>
    <n v="5"/>
    <n v="17470"/>
    <n v="10126.02"/>
    <n v="7343.98"/>
    <n v="0.42037664567830563"/>
    <x v="6"/>
    <x v="0"/>
  </r>
  <r>
    <s v="ORD00963"/>
    <d v="2025-09-03T00:00:00"/>
    <s v="CUST0122"/>
    <x v="11"/>
    <x v="3"/>
    <s v="Odisha"/>
    <x v="1"/>
    <x v="6"/>
    <n v="1"/>
    <n v="1959"/>
    <n v="1218.28"/>
    <n v="740.72"/>
    <n v="0.378111281265952"/>
    <x v="1"/>
    <x v="1"/>
  </r>
  <r>
    <s v="ORD00964"/>
    <d v="2025-02-20T00:00:00"/>
    <s v="CUST0034"/>
    <x v="88"/>
    <x v="1"/>
    <s v="Maharashtra"/>
    <x v="3"/>
    <x v="10"/>
    <n v="1"/>
    <n v="2907"/>
    <n v="2004.22"/>
    <n v="902.78"/>
    <n v="0.31055383556931543"/>
    <x v="9"/>
    <x v="1"/>
  </r>
  <r>
    <s v="ORD00965"/>
    <d v="2025-08-23T00:00:00"/>
    <s v="CUST0052"/>
    <x v="285"/>
    <x v="0"/>
    <s v="Punjab"/>
    <x v="0"/>
    <x v="2"/>
    <n v="4"/>
    <n v="1808"/>
    <n v="1140.3900000000001"/>
    <n v="667.61"/>
    <n v="0.36925331858407079"/>
    <x v="2"/>
    <x v="1"/>
  </r>
  <r>
    <s v="ORD00966"/>
    <d v="2025-10-13T00:00:00"/>
    <s v="CUST0257"/>
    <x v="155"/>
    <x v="2"/>
    <s v="Tamil Nadu"/>
    <x v="0"/>
    <x v="8"/>
    <n v="7"/>
    <n v="27671"/>
    <n v="15915.6"/>
    <n v="11755.4"/>
    <n v="0.42482743666654621"/>
    <x v="10"/>
    <x v="1"/>
  </r>
  <r>
    <s v="ORD00967"/>
    <d v="2025-03-09T00:00:00"/>
    <s v="CUST0285"/>
    <x v="110"/>
    <x v="2"/>
    <s v="Tamil Nadu"/>
    <x v="2"/>
    <x v="5"/>
    <n v="3"/>
    <n v="6924"/>
    <n v="4924.7700000000004"/>
    <n v="1999.23"/>
    <n v="0.28873916811091854"/>
    <x v="7"/>
    <x v="1"/>
  </r>
  <r>
    <s v="ORD00968"/>
    <d v="2024-06-20T00:00:00"/>
    <s v="CUST0001"/>
    <x v="206"/>
    <x v="0"/>
    <s v="Delhi"/>
    <x v="2"/>
    <x v="9"/>
    <n v="10"/>
    <n v="26690"/>
    <n v="19908.54"/>
    <n v="6781.46"/>
    <n v="0.25408242787560886"/>
    <x v="4"/>
    <x v="0"/>
  </r>
  <r>
    <s v="ORD00969"/>
    <d v="2025-10-09T00:00:00"/>
    <s v="CUST0109"/>
    <x v="53"/>
    <x v="1"/>
    <s v="Gujarat"/>
    <x v="0"/>
    <x v="8"/>
    <n v="5"/>
    <n v="17070"/>
    <n v="14505.62"/>
    <n v="2564.38"/>
    <n v="0.15022729935559462"/>
    <x v="10"/>
    <x v="1"/>
  </r>
  <r>
    <s v="ORD00970"/>
    <d v="2024-04-01T00:00:00"/>
    <s v="CUST0203"/>
    <x v="84"/>
    <x v="3"/>
    <s v="West Bengal"/>
    <x v="1"/>
    <x v="11"/>
    <n v="9"/>
    <n v="44208"/>
    <n v="25241.91"/>
    <n v="18966.09"/>
    <n v="0.4290194082519001"/>
    <x v="0"/>
    <x v="0"/>
  </r>
  <r>
    <s v="ORD00971"/>
    <d v="2025-05-31T00:00:00"/>
    <s v="CUST0163"/>
    <x v="32"/>
    <x v="2"/>
    <s v="Telangana"/>
    <x v="2"/>
    <x v="5"/>
    <n v="5"/>
    <n v="19190"/>
    <n v="11768.36"/>
    <n v="7421.64"/>
    <n v="0.38674517978113604"/>
    <x v="6"/>
    <x v="1"/>
  </r>
  <r>
    <s v="ORD00972"/>
    <d v="2024-11-25T00:00:00"/>
    <s v="CUST0175"/>
    <x v="205"/>
    <x v="3"/>
    <s v="Bihar"/>
    <x v="2"/>
    <x v="9"/>
    <n v="5"/>
    <n v="11570"/>
    <n v="8662.26"/>
    <n v="2907.74"/>
    <n v="0.25131719965427829"/>
    <x v="5"/>
    <x v="0"/>
  </r>
  <r>
    <s v="ORD00973"/>
    <d v="2024-01-03T00:00:00"/>
    <s v="CUST0244"/>
    <x v="139"/>
    <x v="1"/>
    <s v="Rajasthan"/>
    <x v="3"/>
    <x v="4"/>
    <n v="1"/>
    <n v="1395"/>
    <n v="1037.79"/>
    <n v="357.21"/>
    <n v="0.25606451612903225"/>
    <x v="8"/>
    <x v="0"/>
  </r>
  <r>
    <s v="ORD00974"/>
    <d v="2025-12-21T00:00:00"/>
    <s v="CUST0251"/>
    <x v="263"/>
    <x v="0"/>
    <s v="Haryana"/>
    <x v="1"/>
    <x v="11"/>
    <n v="7"/>
    <n v="33971"/>
    <n v="27808"/>
    <n v="6163"/>
    <n v="0.18141944599805718"/>
    <x v="3"/>
    <x v="1"/>
  </r>
  <r>
    <s v="ORD00975"/>
    <d v="2025-11-18T00:00:00"/>
    <s v="CUST0228"/>
    <x v="4"/>
    <x v="0"/>
    <s v="Haryana"/>
    <x v="0"/>
    <x v="2"/>
    <n v="2"/>
    <n v="9424"/>
    <n v="5270.69"/>
    <n v="4153.3100000000004"/>
    <n v="0.44071625636672329"/>
    <x v="5"/>
    <x v="1"/>
  </r>
  <r>
    <s v="ORD00976"/>
    <d v="2025-12-14T00:00:00"/>
    <s v="CUST0005"/>
    <x v="4"/>
    <x v="3"/>
    <s v="Odisha"/>
    <x v="0"/>
    <x v="8"/>
    <n v="6"/>
    <n v="20808"/>
    <n v="12550.47"/>
    <n v="8257.5300000000007"/>
    <n v="0.39684400230680511"/>
    <x v="3"/>
    <x v="1"/>
  </r>
  <r>
    <s v="ORD00977"/>
    <d v="2024-01-21T00:00:00"/>
    <s v="CUST0144"/>
    <x v="93"/>
    <x v="1"/>
    <s v="Gujarat"/>
    <x v="3"/>
    <x v="7"/>
    <n v="8"/>
    <n v="3008"/>
    <n v="1854.3"/>
    <n v="1153.7"/>
    <n v="0.38354388297872344"/>
    <x v="8"/>
    <x v="0"/>
  </r>
  <r>
    <s v="ORD00978"/>
    <d v="2025-05-20T00:00:00"/>
    <s v="CUST0186"/>
    <x v="81"/>
    <x v="2"/>
    <s v="Karnataka"/>
    <x v="0"/>
    <x v="8"/>
    <n v="5"/>
    <n v="10555"/>
    <n v="6547.03"/>
    <n v="4007.97"/>
    <n v="0.37972240644244432"/>
    <x v="6"/>
    <x v="1"/>
  </r>
  <r>
    <s v="ORD00979"/>
    <d v="2025-10-15T00:00:00"/>
    <s v="CUST0203"/>
    <x v="159"/>
    <x v="3"/>
    <s v="Odisha"/>
    <x v="0"/>
    <x v="0"/>
    <n v="10"/>
    <n v="20120"/>
    <n v="11109.07"/>
    <n v="9010.93"/>
    <n v="0.44785934393638172"/>
    <x v="10"/>
    <x v="1"/>
  </r>
  <r>
    <s v="ORD00980"/>
    <d v="2025-11-06T00:00:00"/>
    <s v="CUST0290"/>
    <x v="60"/>
    <x v="3"/>
    <s v="Bihar"/>
    <x v="2"/>
    <x v="5"/>
    <n v="8"/>
    <n v="13568"/>
    <n v="9708.39"/>
    <n v="3859.61"/>
    <n v="0.28446418042452831"/>
    <x v="5"/>
    <x v="1"/>
  </r>
  <r>
    <s v="ORD00981"/>
    <d v="2025-08-06T00:00:00"/>
    <s v="CUST0117"/>
    <x v="27"/>
    <x v="2"/>
    <s v="Karnataka"/>
    <x v="0"/>
    <x v="8"/>
    <n v="3"/>
    <n v="2496"/>
    <n v="1468.22"/>
    <n v="1027.78"/>
    <n v="0.41177083333333331"/>
    <x v="2"/>
    <x v="1"/>
  </r>
  <r>
    <s v="ORD00982"/>
    <d v="2025-11-28T00:00:00"/>
    <s v="CUST0287"/>
    <x v="264"/>
    <x v="3"/>
    <s v="West Bengal"/>
    <x v="0"/>
    <x v="2"/>
    <n v="1"/>
    <n v="4665"/>
    <n v="3425.68"/>
    <n v="1239.32"/>
    <n v="0.26566345123258306"/>
    <x v="5"/>
    <x v="1"/>
  </r>
  <r>
    <s v="ORD00983"/>
    <d v="2025-02-20T00:00:00"/>
    <s v="CUST0141"/>
    <x v="84"/>
    <x v="0"/>
    <s v="Punjab"/>
    <x v="0"/>
    <x v="2"/>
    <n v="1"/>
    <n v="2946"/>
    <n v="2002.59"/>
    <n v="943.41"/>
    <n v="0.32023421588594703"/>
    <x v="9"/>
    <x v="1"/>
  </r>
  <r>
    <s v="ORD00984"/>
    <d v="2024-08-17T00:00:00"/>
    <s v="CUST0025"/>
    <x v="278"/>
    <x v="1"/>
    <s v="Gujarat"/>
    <x v="3"/>
    <x v="4"/>
    <n v="9"/>
    <n v="5904"/>
    <n v="4812.59"/>
    <n v="1091.4100000000001"/>
    <n v="0.18485941734417347"/>
    <x v="2"/>
    <x v="0"/>
  </r>
  <r>
    <s v="ORD00985"/>
    <d v="2024-12-08T00:00:00"/>
    <s v="CUST0042"/>
    <x v="230"/>
    <x v="1"/>
    <s v="Rajasthan"/>
    <x v="2"/>
    <x v="9"/>
    <n v="6"/>
    <n v="2052"/>
    <n v="1369.83"/>
    <n v="682.17"/>
    <n v="0.33244152046783626"/>
    <x v="3"/>
    <x v="0"/>
  </r>
  <r>
    <s v="ORD00986"/>
    <d v="2024-07-20T00:00:00"/>
    <s v="CUST0085"/>
    <x v="38"/>
    <x v="0"/>
    <s v="Haryana"/>
    <x v="3"/>
    <x v="7"/>
    <n v="7"/>
    <n v="6363"/>
    <n v="5250.1"/>
    <n v="1112.9000000000001"/>
    <n v="0.17490177589187492"/>
    <x v="11"/>
    <x v="0"/>
  </r>
  <r>
    <s v="ORD00987"/>
    <d v="2024-01-25T00:00:00"/>
    <s v="CUST0172"/>
    <x v="256"/>
    <x v="3"/>
    <s v="West Bengal"/>
    <x v="0"/>
    <x v="2"/>
    <n v="2"/>
    <n v="1056"/>
    <n v="732.85"/>
    <n v="323.14999999999998"/>
    <n v="0.30601325757575754"/>
    <x v="8"/>
    <x v="0"/>
  </r>
  <r>
    <s v="ORD00988"/>
    <d v="2024-12-07T00:00:00"/>
    <s v="CUST0267"/>
    <x v="181"/>
    <x v="2"/>
    <s v="Karnataka"/>
    <x v="2"/>
    <x v="9"/>
    <n v="4"/>
    <n v="12364"/>
    <n v="9888.17"/>
    <n v="2475.83"/>
    <n v="0.20024506632157876"/>
    <x v="3"/>
    <x v="0"/>
  </r>
  <r>
    <s v="ORD00989"/>
    <d v="2025-08-15T00:00:00"/>
    <s v="CUST0064"/>
    <x v="72"/>
    <x v="0"/>
    <s v="Haryana"/>
    <x v="0"/>
    <x v="8"/>
    <n v="8"/>
    <n v="8664"/>
    <n v="6390.61"/>
    <n v="2273.39"/>
    <n v="0.26239496768236381"/>
    <x v="2"/>
    <x v="1"/>
  </r>
  <r>
    <s v="ORD00990"/>
    <d v="2024-03-04T00:00:00"/>
    <s v="CUST0227"/>
    <x v="174"/>
    <x v="0"/>
    <s v="Delhi"/>
    <x v="2"/>
    <x v="3"/>
    <n v="6"/>
    <n v="4992"/>
    <n v="3917.69"/>
    <n v="1074.31"/>
    <n v="0.21520633012820511"/>
    <x v="7"/>
    <x v="0"/>
  </r>
  <r>
    <s v="ORD00991"/>
    <d v="2024-02-27T00:00:00"/>
    <s v="CUST0287"/>
    <x v="83"/>
    <x v="3"/>
    <s v="Bihar"/>
    <x v="0"/>
    <x v="2"/>
    <n v="7"/>
    <n v="5866"/>
    <n v="3405.5"/>
    <n v="2460.5"/>
    <n v="0.41945107398568021"/>
    <x v="9"/>
    <x v="0"/>
  </r>
  <r>
    <s v="ORD00992"/>
    <d v="2025-09-05T00:00:00"/>
    <s v="CUST0006"/>
    <x v="264"/>
    <x v="3"/>
    <s v="Odisha"/>
    <x v="2"/>
    <x v="3"/>
    <n v="2"/>
    <n v="7334"/>
    <n v="4546.59"/>
    <n v="2787.41"/>
    <n v="0.38006681210799015"/>
    <x v="1"/>
    <x v="1"/>
  </r>
  <r>
    <s v="ORD00993"/>
    <d v="2025-11-22T00:00:00"/>
    <s v="CUST0014"/>
    <x v="264"/>
    <x v="1"/>
    <s v="Gujarat"/>
    <x v="2"/>
    <x v="3"/>
    <n v="10"/>
    <n v="11290"/>
    <n v="7359.78"/>
    <n v="3930.22"/>
    <n v="0.34811514614703276"/>
    <x v="5"/>
    <x v="1"/>
  </r>
  <r>
    <s v="ORD00994"/>
    <d v="2025-12-31T00:00:00"/>
    <s v="CUST0035"/>
    <x v="245"/>
    <x v="3"/>
    <s v="Bihar"/>
    <x v="3"/>
    <x v="7"/>
    <n v="2"/>
    <n v="2282"/>
    <n v="1263.51"/>
    <n v="1018.49"/>
    <n v="0.44631463628396145"/>
    <x v="3"/>
    <x v="1"/>
  </r>
  <r>
    <s v="ORD00995"/>
    <d v="2025-09-27T00:00:00"/>
    <s v="CUST0228"/>
    <x v="146"/>
    <x v="2"/>
    <s v="Telangana"/>
    <x v="2"/>
    <x v="5"/>
    <n v="5"/>
    <n v="16055"/>
    <n v="10858.03"/>
    <n v="5196.97"/>
    <n v="0.32369791342260978"/>
    <x v="1"/>
    <x v="1"/>
  </r>
  <r>
    <s v="ORD00996"/>
    <d v="2025-03-22T00:00:00"/>
    <s v="CUST0263"/>
    <x v="93"/>
    <x v="2"/>
    <s v="Karnataka"/>
    <x v="1"/>
    <x v="1"/>
    <n v="1"/>
    <n v="1345"/>
    <n v="865.51"/>
    <n v="479.49"/>
    <n v="0.35649814126394053"/>
    <x v="7"/>
    <x v="1"/>
  </r>
  <r>
    <s v="ORD00997"/>
    <d v="2025-09-09T00:00:00"/>
    <s v="CUST0176"/>
    <x v="85"/>
    <x v="3"/>
    <s v="Bihar"/>
    <x v="2"/>
    <x v="5"/>
    <n v="3"/>
    <n v="4521"/>
    <n v="3123.37"/>
    <n v="1397.63"/>
    <n v="0.30914178279141785"/>
    <x v="1"/>
    <x v="1"/>
  </r>
  <r>
    <s v="ORD00998"/>
    <d v="2025-06-03T00:00:00"/>
    <s v="CUST0287"/>
    <x v="211"/>
    <x v="3"/>
    <s v="West Bengal"/>
    <x v="2"/>
    <x v="5"/>
    <n v="10"/>
    <n v="14840"/>
    <n v="8417.18"/>
    <n v="6422.82"/>
    <n v="0.43280458221024259"/>
    <x v="4"/>
    <x v="1"/>
  </r>
  <r>
    <s v="ORD00999"/>
    <d v="2024-12-15T00:00:00"/>
    <s v="CUST0097"/>
    <x v="46"/>
    <x v="1"/>
    <s v="Gujarat"/>
    <x v="3"/>
    <x v="7"/>
    <n v="4"/>
    <n v="7792"/>
    <n v="6121.23"/>
    <n v="1670.77"/>
    <n v="0.21442120123203284"/>
    <x v="3"/>
    <x v="0"/>
  </r>
  <r>
    <s v="ORD01000"/>
    <d v="2025-09-22T00:00:00"/>
    <s v="CUST0154"/>
    <x v="54"/>
    <x v="1"/>
    <s v="Rajasthan"/>
    <x v="0"/>
    <x v="0"/>
    <n v="6"/>
    <n v="29622"/>
    <n v="24850.47"/>
    <n v="4771.53"/>
    <n v="0.16108061575855781"/>
    <x v="1"/>
    <x v="1"/>
  </r>
  <r>
    <s v="ORD01001"/>
    <d v="2024-01-04T00:00:00"/>
    <s v="CUST0115"/>
    <x v="8"/>
    <x v="3"/>
    <s v="West Bengal"/>
    <x v="1"/>
    <x v="6"/>
    <n v="8"/>
    <n v="5160"/>
    <n v="3605.7"/>
    <n v="1554.3"/>
    <n v="0.30122093023255814"/>
    <x v="8"/>
    <x v="0"/>
  </r>
  <r>
    <s v="ORD01002"/>
    <d v="2024-12-05T00:00:00"/>
    <s v="CUST0193"/>
    <x v="201"/>
    <x v="1"/>
    <s v="Rajasthan"/>
    <x v="3"/>
    <x v="7"/>
    <n v="4"/>
    <n v="16952"/>
    <n v="13059.41"/>
    <n v="3892.59"/>
    <n v="0.22962423312883437"/>
    <x v="3"/>
    <x v="0"/>
  </r>
  <r>
    <s v="ORD01003"/>
    <d v="2024-01-31T00:00:00"/>
    <s v="CUST0285"/>
    <x v="71"/>
    <x v="1"/>
    <s v="Maharashtra"/>
    <x v="1"/>
    <x v="1"/>
    <n v="6"/>
    <n v="2286"/>
    <n v="1307.8599999999999"/>
    <n v="978.14"/>
    <n v="0.42788276465441821"/>
    <x v="8"/>
    <x v="0"/>
  </r>
  <r>
    <s v="ORD01004"/>
    <d v="2024-01-31T00:00:00"/>
    <s v="CUST0102"/>
    <x v="59"/>
    <x v="2"/>
    <s v="Tamil Nadu"/>
    <x v="2"/>
    <x v="9"/>
    <n v="4"/>
    <n v="12992"/>
    <n v="7316.72"/>
    <n v="5675.28"/>
    <n v="0.43682881773399013"/>
    <x v="8"/>
    <x v="0"/>
  </r>
  <r>
    <s v="ORD01005"/>
    <d v="2025-07-21T00:00:00"/>
    <s v="CUST0126"/>
    <x v="240"/>
    <x v="3"/>
    <s v="West Bengal"/>
    <x v="3"/>
    <x v="7"/>
    <n v="5"/>
    <n v="8635"/>
    <n v="5629.55"/>
    <n v="3005.45"/>
    <n v="0.34805442964678629"/>
    <x v="11"/>
    <x v="1"/>
  </r>
  <r>
    <s v="ORD01006"/>
    <d v="2025-11-24T00:00:00"/>
    <s v="CUST0071"/>
    <x v="64"/>
    <x v="2"/>
    <s v="Karnataka"/>
    <x v="1"/>
    <x v="11"/>
    <n v="5"/>
    <n v="5640"/>
    <n v="3137.52"/>
    <n v="2502.48"/>
    <n v="0.44370212765957445"/>
    <x v="5"/>
    <x v="1"/>
  </r>
  <r>
    <s v="ORD01007"/>
    <d v="2025-01-16T00:00:00"/>
    <s v="CUST0088"/>
    <x v="149"/>
    <x v="0"/>
    <s v="Punjab"/>
    <x v="3"/>
    <x v="7"/>
    <n v="5"/>
    <n v="20185"/>
    <n v="12555.98"/>
    <n v="7629.02"/>
    <n v="0.37795491701758732"/>
    <x v="8"/>
    <x v="1"/>
  </r>
  <r>
    <s v="ORD01008"/>
    <d v="2024-05-13T00:00:00"/>
    <s v="CUST0098"/>
    <x v="43"/>
    <x v="1"/>
    <s v="Rajasthan"/>
    <x v="1"/>
    <x v="6"/>
    <n v="2"/>
    <n v="2966"/>
    <n v="2416.75"/>
    <n v="549.25"/>
    <n v="0.18518206338503035"/>
    <x v="6"/>
    <x v="0"/>
  </r>
  <r>
    <s v="ORD01009"/>
    <d v="2024-09-07T00:00:00"/>
    <s v="CUST0024"/>
    <x v="255"/>
    <x v="1"/>
    <s v="Rajasthan"/>
    <x v="3"/>
    <x v="4"/>
    <n v="6"/>
    <n v="22908"/>
    <n v="19313.61"/>
    <n v="3594.39"/>
    <n v="0.15690544787847041"/>
    <x v="1"/>
    <x v="0"/>
  </r>
  <r>
    <s v="ORD01010"/>
    <d v="2024-10-13T00:00:00"/>
    <s v="CUST0065"/>
    <x v="135"/>
    <x v="3"/>
    <s v="West Bengal"/>
    <x v="3"/>
    <x v="4"/>
    <n v="4"/>
    <n v="2944"/>
    <n v="2175.14"/>
    <n v="768.86"/>
    <n v="0.26116168478260871"/>
    <x v="10"/>
    <x v="0"/>
  </r>
  <r>
    <s v="ORD01011"/>
    <d v="2025-09-21T00:00:00"/>
    <s v="CUST0034"/>
    <x v="198"/>
    <x v="1"/>
    <s v="Maharashtra"/>
    <x v="0"/>
    <x v="0"/>
    <n v="2"/>
    <n v="8310"/>
    <n v="6542.46"/>
    <n v="1767.54"/>
    <n v="0.21270036101083031"/>
    <x v="1"/>
    <x v="1"/>
  </r>
  <r>
    <s v="ORD01012"/>
    <d v="2024-07-02T00:00:00"/>
    <s v="CUST0165"/>
    <x v="115"/>
    <x v="1"/>
    <s v="Rajasthan"/>
    <x v="2"/>
    <x v="5"/>
    <n v="6"/>
    <n v="26304"/>
    <n v="18561.88"/>
    <n v="7742.12"/>
    <n v="0.29433242092457418"/>
    <x v="11"/>
    <x v="0"/>
  </r>
  <r>
    <s v="ORD01013"/>
    <d v="2025-10-15T00:00:00"/>
    <s v="CUST0299"/>
    <x v="81"/>
    <x v="1"/>
    <s v="Rajasthan"/>
    <x v="2"/>
    <x v="9"/>
    <n v="8"/>
    <n v="19984"/>
    <n v="14475.53"/>
    <n v="5508.47"/>
    <n v="0.27564401521216975"/>
    <x v="10"/>
    <x v="1"/>
  </r>
  <r>
    <s v="ORD01014"/>
    <d v="2024-11-09T00:00:00"/>
    <s v="CUST0218"/>
    <x v="226"/>
    <x v="2"/>
    <s v="Karnataka"/>
    <x v="3"/>
    <x v="7"/>
    <n v="8"/>
    <n v="17760"/>
    <n v="11877.36"/>
    <n v="5882.64"/>
    <n v="0.33122972972972975"/>
    <x v="5"/>
    <x v="0"/>
  </r>
  <r>
    <s v="ORD01015"/>
    <d v="2024-03-27T00:00:00"/>
    <s v="CUST0152"/>
    <x v="92"/>
    <x v="2"/>
    <s v="Tamil Nadu"/>
    <x v="3"/>
    <x v="10"/>
    <n v="9"/>
    <n v="8946"/>
    <n v="5280.82"/>
    <n v="3665.18"/>
    <n v="0.40970042477084728"/>
    <x v="7"/>
    <x v="0"/>
  </r>
  <r>
    <s v="ORD01016"/>
    <d v="2024-12-10T00:00:00"/>
    <s v="CUST0219"/>
    <x v="150"/>
    <x v="3"/>
    <s v="West Bengal"/>
    <x v="0"/>
    <x v="8"/>
    <n v="1"/>
    <n v="4111"/>
    <n v="2892.82"/>
    <n v="1218.18"/>
    <n v="0.29632206275845296"/>
    <x v="3"/>
    <x v="0"/>
  </r>
  <r>
    <s v="ORD01017"/>
    <d v="2025-01-26T00:00:00"/>
    <s v="CUST0013"/>
    <x v="240"/>
    <x v="1"/>
    <s v="Gujarat"/>
    <x v="2"/>
    <x v="3"/>
    <n v="6"/>
    <n v="26250"/>
    <n v="16934.04"/>
    <n v="9315.9599999999991"/>
    <n v="0.35489371428571426"/>
    <x v="8"/>
    <x v="1"/>
  </r>
  <r>
    <s v="ORD01018"/>
    <d v="2024-10-28T00:00:00"/>
    <s v="CUST0257"/>
    <x v="218"/>
    <x v="1"/>
    <s v="Maharashtra"/>
    <x v="3"/>
    <x v="10"/>
    <n v="2"/>
    <n v="6482"/>
    <n v="5318.11"/>
    <n v="1163.8900000000001"/>
    <n v="0.17955723542116633"/>
    <x v="10"/>
    <x v="0"/>
  </r>
  <r>
    <s v="ORD01019"/>
    <d v="2024-02-09T00:00:00"/>
    <s v="CUST0280"/>
    <x v="37"/>
    <x v="0"/>
    <s v="Punjab"/>
    <x v="3"/>
    <x v="7"/>
    <n v="2"/>
    <n v="2542"/>
    <n v="1452.51"/>
    <n v="1089.49"/>
    <n v="0.42859559402045633"/>
    <x v="9"/>
    <x v="0"/>
  </r>
  <r>
    <s v="ORD01020"/>
    <d v="2025-11-30T00:00:00"/>
    <s v="CUST0141"/>
    <x v="86"/>
    <x v="3"/>
    <s v="West Bengal"/>
    <x v="0"/>
    <x v="2"/>
    <n v="6"/>
    <n v="14088"/>
    <n v="9027.7999999999993"/>
    <n v="5060.2"/>
    <n v="0.35918512208972175"/>
    <x v="5"/>
    <x v="1"/>
  </r>
  <r>
    <s v="ORD01021"/>
    <d v="2024-11-02T00:00:00"/>
    <s v="CUST0145"/>
    <x v="148"/>
    <x v="2"/>
    <s v="Telangana"/>
    <x v="0"/>
    <x v="0"/>
    <n v="9"/>
    <n v="21951"/>
    <n v="12129.25"/>
    <n v="9821.75"/>
    <n v="0.44743975217529952"/>
    <x v="5"/>
    <x v="0"/>
  </r>
  <r>
    <s v="ORD01022"/>
    <d v="2024-06-01T00:00:00"/>
    <s v="CUST0204"/>
    <x v="227"/>
    <x v="1"/>
    <s v="Gujarat"/>
    <x v="0"/>
    <x v="8"/>
    <n v="1"/>
    <n v="4166"/>
    <n v="3108.78"/>
    <n v="1057.22"/>
    <n v="0.25377340374459917"/>
    <x v="4"/>
    <x v="0"/>
  </r>
  <r>
    <s v="ORD01023"/>
    <d v="2025-08-24T00:00:00"/>
    <s v="CUST0283"/>
    <x v="101"/>
    <x v="2"/>
    <s v="Telangana"/>
    <x v="0"/>
    <x v="0"/>
    <n v="4"/>
    <n v="16744"/>
    <n v="10383.24"/>
    <n v="6360.76"/>
    <n v="0.37988294314381271"/>
    <x v="2"/>
    <x v="1"/>
  </r>
  <r>
    <s v="ORD01024"/>
    <d v="2025-12-15T00:00:00"/>
    <s v="CUST0214"/>
    <x v="205"/>
    <x v="1"/>
    <s v="Gujarat"/>
    <x v="1"/>
    <x v="6"/>
    <n v="6"/>
    <n v="11028"/>
    <n v="7484.02"/>
    <n v="3543.98"/>
    <n v="0.32136198766775481"/>
    <x v="3"/>
    <x v="1"/>
  </r>
  <r>
    <s v="ORD01025"/>
    <d v="2024-05-11T00:00:00"/>
    <s v="CUST0157"/>
    <x v="166"/>
    <x v="1"/>
    <s v="Gujarat"/>
    <x v="2"/>
    <x v="5"/>
    <n v="1"/>
    <n v="3369"/>
    <n v="1993.39"/>
    <n v="1375.61"/>
    <n v="0.40831403977441372"/>
    <x v="6"/>
    <x v="0"/>
  </r>
  <r>
    <s v="ORD01026"/>
    <d v="2025-12-03T00:00:00"/>
    <s v="CUST0207"/>
    <x v="10"/>
    <x v="1"/>
    <s v="Rajasthan"/>
    <x v="3"/>
    <x v="4"/>
    <n v="6"/>
    <n v="12882"/>
    <n v="8704.94"/>
    <n v="4177.0600000000004"/>
    <n v="0.32425555038037573"/>
    <x v="3"/>
    <x v="1"/>
  </r>
  <r>
    <s v="ORD01027"/>
    <d v="2024-05-22T00:00:00"/>
    <s v="CUST0079"/>
    <x v="242"/>
    <x v="3"/>
    <s v="Odisha"/>
    <x v="0"/>
    <x v="8"/>
    <n v="1"/>
    <n v="4949"/>
    <n v="3887.97"/>
    <n v="1061.03"/>
    <n v="0.21439280662760152"/>
    <x v="6"/>
    <x v="0"/>
  </r>
  <r>
    <s v="ORD01028"/>
    <d v="2024-07-11T00:00:00"/>
    <s v="CUST0244"/>
    <x v="217"/>
    <x v="1"/>
    <s v="Gujarat"/>
    <x v="3"/>
    <x v="7"/>
    <n v="7"/>
    <n v="5747"/>
    <n v="4082.37"/>
    <n v="1664.63"/>
    <n v="0.2896519923438316"/>
    <x v="11"/>
    <x v="0"/>
  </r>
  <r>
    <s v="ORD01029"/>
    <d v="2025-11-22T00:00:00"/>
    <s v="CUST0284"/>
    <x v="272"/>
    <x v="3"/>
    <s v="Bihar"/>
    <x v="2"/>
    <x v="9"/>
    <n v="5"/>
    <n v="5315"/>
    <n v="3196.59"/>
    <n v="2118.41"/>
    <n v="0.39857196613358414"/>
    <x v="5"/>
    <x v="1"/>
  </r>
  <r>
    <s v="ORD01030"/>
    <d v="2024-03-12T00:00:00"/>
    <s v="CUST0198"/>
    <x v="70"/>
    <x v="0"/>
    <s v="Haryana"/>
    <x v="0"/>
    <x v="8"/>
    <n v="8"/>
    <n v="4152"/>
    <n v="2516.14"/>
    <n v="1635.86"/>
    <n v="0.39399325626204235"/>
    <x v="7"/>
    <x v="0"/>
  </r>
  <r>
    <s v="ORD01031"/>
    <d v="2025-01-12T00:00:00"/>
    <s v="CUST0266"/>
    <x v="199"/>
    <x v="2"/>
    <s v="Karnataka"/>
    <x v="3"/>
    <x v="10"/>
    <n v="9"/>
    <n v="7857"/>
    <n v="5393.04"/>
    <n v="2463.96"/>
    <n v="0.31360061092019853"/>
    <x v="8"/>
    <x v="1"/>
  </r>
  <r>
    <s v="ORD01032"/>
    <d v="2024-05-12T00:00:00"/>
    <s v="CUST0275"/>
    <x v="54"/>
    <x v="2"/>
    <s v="Tamil Nadu"/>
    <x v="2"/>
    <x v="3"/>
    <n v="7"/>
    <n v="11102"/>
    <n v="9402.0499999999993"/>
    <n v="1699.95"/>
    <n v="0.15312105926860026"/>
    <x v="6"/>
    <x v="0"/>
  </r>
  <r>
    <s v="ORD01033"/>
    <d v="2024-07-29T00:00:00"/>
    <s v="CUST0159"/>
    <x v="192"/>
    <x v="1"/>
    <s v="Rajasthan"/>
    <x v="1"/>
    <x v="6"/>
    <n v="7"/>
    <n v="13937"/>
    <n v="8208.61"/>
    <n v="5728.39"/>
    <n v="0.41102030566118969"/>
    <x v="11"/>
    <x v="0"/>
  </r>
  <r>
    <s v="ORD01034"/>
    <d v="2025-05-29T00:00:00"/>
    <s v="CUST0235"/>
    <x v="107"/>
    <x v="1"/>
    <s v="Maharashtra"/>
    <x v="0"/>
    <x v="8"/>
    <n v="10"/>
    <n v="28420"/>
    <n v="20639.96"/>
    <n v="7780.04"/>
    <n v="0.27375228712174526"/>
    <x v="6"/>
    <x v="1"/>
  </r>
  <r>
    <s v="ORD01035"/>
    <d v="2025-09-11T00:00:00"/>
    <s v="CUST0127"/>
    <x v="149"/>
    <x v="2"/>
    <s v="Karnataka"/>
    <x v="1"/>
    <x v="11"/>
    <n v="8"/>
    <n v="6592"/>
    <n v="5256.29"/>
    <n v="1335.71"/>
    <n v="0.20262591019417475"/>
    <x v="1"/>
    <x v="1"/>
  </r>
  <r>
    <s v="ORD01036"/>
    <d v="2024-04-03T00:00:00"/>
    <s v="CUST0148"/>
    <x v="96"/>
    <x v="3"/>
    <s v="Bihar"/>
    <x v="2"/>
    <x v="9"/>
    <n v="8"/>
    <n v="32720"/>
    <n v="23651.32"/>
    <n v="9068.68"/>
    <n v="0.27716014669926653"/>
    <x v="0"/>
    <x v="0"/>
  </r>
  <r>
    <s v="ORD01037"/>
    <d v="2024-06-28T00:00:00"/>
    <s v="CUST0213"/>
    <x v="22"/>
    <x v="3"/>
    <s v="Bihar"/>
    <x v="0"/>
    <x v="0"/>
    <n v="5"/>
    <n v="17515"/>
    <n v="12854.4"/>
    <n v="4660.6000000000004"/>
    <n v="0.2660919212103911"/>
    <x v="4"/>
    <x v="0"/>
  </r>
  <r>
    <s v="ORD01038"/>
    <d v="2025-11-05T00:00:00"/>
    <s v="CUST0094"/>
    <x v="239"/>
    <x v="2"/>
    <s v="Telangana"/>
    <x v="0"/>
    <x v="0"/>
    <n v="7"/>
    <n v="28350"/>
    <n v="18864.080000000002"/>
    <n v="9485.92"/>
    <n v="0.33460035273368605"/>
    <x v="5"/>
    <x v="1"/>
  </r>
  <r>
    <s v="ORD01039"/>
    <d v="2024-06-10T00:00:00"/>
    <s v="CUST0141"/>
    <x v="10"/>
    <x v="0"/>
    <s v="Punjab"/>
    <x v="0"/>
    <x v="0"/>
    <n v="1"/>
    <n v="2263"/>
    <n v="1845.84"/>
    <n v="417.16"/>
    <n v="0.18433937251436147"/>
    <x v="4"/>
    <x v="0"/>
  </r>
  <r>
    <s v="ORD01040"/>
    <d v="2025-07-20T00:00:00"/>
    <s v="CUST0063"/>
    <x v="118"/>
    <x v="3"/>
    <s v="Bihar"/>
    <x v="1"/>
    <x v="6"/>
    <n v="4"/>
    <n v="17368"/>
    <n v="11695.32"/>
    <n v="5672.68"/>
    <n v="0.32661676646706589"/>
    <x v="11"/>
    <x v="1"/>
  </r>
  <r>
    <s v="ORD01041"/>
    <d v="2024-09-15T00:00:00"/>
    <s v="CUST0107"/>
    <x v="42"/>
    <x v="0"/>
    <s v="Delhi"/>
    <x v="2"/>
    <x v="5"/>
    <n v="6"/>
    <n v="21954"/>
    <n v="15044.65"/>
    <n v="6909.35"/>
    <n v="0.31471941331875741"/>
    <x v="1"/>
    <x v="0"/>
  </r>
  <r>
    <s v="ORD01042"/>
    <d v="2025-02-12T00:00:00"/>
    <s v="CUST0100"/>
    <x v="144"/>
    <x v="0"/>
    <s v="Punjab"/>
    <x v="1"/>
    <x v="1"/>
    <n v="2"/>
    <n v="8166"/>
    <n v="5425.05"/>
    <n v="2740.95"/>
    <n v="0.33565393093313739"/>
    <x v="9"/>
    <x v="1"/>
  </r>
  <r>
    <s v="ORD01043"/>
    <d v="2025-04-20T00:00:00"/>
    <s v="CUST0249"/>
    <x v="269"/>
    <x v="0"/>
    <s v="Delhi"/>
    <x v="3"/>
    <x v="10"/>
    <n v="2"/>
    <n v="2836"/>
    <n v="1838.11"/>
    <n v="997.89"/>
    <n v="0.35186530324400561"/>
    <x v="0"/>
    <x v="1"/>
  </r>
  <r>
    <s v="ORD01044"/>
    <d v="2024-10-12T00:00:00"/>
    <s v="CUST0083"/>
    <x v="94"/>
    <x v="0"/>
    <s v="Delhi"/>
    <x v="2"/>
    <x v="5"/>
    <n v="4"/>
    <n v="15540"/>
    <n v="9200.8700000000008"/>
    <n v="6339.13"/>
    <n v="0.40792342342342341"/>
    <x v="10"/>
    <x v="0"/>
  </r>
  <r>
    <s v="ORD01045"/>
    <d v="2025-02-04T00:00:00"/>
    <s v="CUST0087"/>
    <x v="173"/>
    <x v="0"/>
    <s v="Haryana"/>
    <x v="1"/>
    <x v="6"/>
    <n v="3"/>
    <n v="8127"/>
    <n v="4772.54"/>
    <n v="3354.46"/>
    <n v="0.41275501415036298"/>
    <x v="9"/>
    <x v="1"/>
  </r>
  <r>
    <s v="ORD01046"/>
    <d v="2024-08-09T00:00:00"/>
    <s v="CUST0018"/>
    <x v="162"/>
    <x v="0"/>
    <s v="Haryana"/>
    <x v="3"/>
    <x v="10"/>
    <n v="3"/>
    <n v="11727"/>
    <n v="7709.64"/>
    <n v="4017.36"/>
    <n v="0.34257354822205166"/>
    <x v="2"/>
    <x v="0"/>
  </r>
  <r>
    <s v="ORD01047"/>
    <d v="2025-11-06T00:00:00"/>
    <s v="CUST0053"/>
    <x v="241"/>
    <x v="2"/>
    <s v="Tamil Nadu"/>
    <x v="0"/>
    <x v="0"/>
    <n v="1"/>
    <n v="4583"/>
    <n v="3401.98"/>
    <n v="1181.02"/>
    <n v="0.25769583242417632"/>
    <x v="5"/>
    <x v="1"/>
  </r>
  <r>
    <s v="ORD01048"/>
    <d v="2025-01-21T00:00:00"/>
    <s v="CUST0104"/>
    <x v="22"/>
    <x v="3"/>
    <s v="Odisha"/>
    <x v="1"/>
    <x v="1"/>
    <n v="10"/>
    <n v="3380"/>
    <n v="1908.35"/>
    <n v="1471.65"/>
    <n v="0.43539940828402368"/>
    <x v="8"/>
    <x v="1"/>
  </r>
  <r>
    <s v="ORD01049"/>
    <d v="2024-01-15T00:00:00"/>
    <s v="CUST0173"/>
    <x v="43"/>
    <x v="3"/>
    <s v="West Bengal"/>
    <x v="3"/>
    <x v="7"/>
    <n v="2"/>
    <n v="862"/>
    <n v="583.15"/>
    <n v="278.85000000000002"/>
    <n v="0.32349187935034807"/>
    <x v="8"/>
    <x v="0"/>
  </r>
  <r>
    <s v="ORD01050"/>
    <d v="2025-06-08T00:00:00"/>
    <s v="CUST0056"/>
    <x v="57"/>
    <x v="0"/>
    <s v="Delhi"/>
    <x v="1"/>
    <x v="6"/>
    <n v="3"/>
    <n v="5004"/>
    <n v="2818.27"/>
    <n v="2185.73"/>
    <n v="0.43679656274980017"/>
    <x v="4"/>
    <x v="1"/>
  </r>
  <r>
    <s v="ORD01051"/>
    <d v="2025-02-08T00:00:00"/>
    <s v="CUST0220"/>
    <x v="18"/>
    <x v="3"/>
    <s v="Bihar"/>
    <x v="0"/>
    <x v="2"/>
    <n v="4"/>
    <n v="7984"/>
    <n v="6629.1"/>
    <n v="1354.9"/>
    <n v="0.16970190380761524"/>
    <x v="9"/>
    <x v="1"/>
  </r>
  <r>
    <s v="ORD01052"/>
    <d v="2025-02-15T00:00:00"/>
    <s v="CUST0162"/>
    <x v="61"/>
    <x v="2"/>
    <s v="Karnataka"/>
    <x v="1"/>
    <x v="6"/>
    <n v="6"/>
    <n v="17694"/>
    <n v="10653.32"/>
    <n v="7040.68"/>
    <n v="0.39791341697750654"/>
    <x v="9"/>
    <x v="1"/>
  </r>
  <r>
    <s v="ORD01053"/>
    <d v="2024-10-12T00:00:00"/>
    <s v="CUST0189"/>
    <x v="286"/>
    <x v="1"/>
    <s v="Maharashtra"/>
    <x v="2"/>
    <x v="9"/>
    <n v="4"/>
    <n v="3360"/>
    <n v="2511.23"/>
    <n v="848.77"/>
    <n v="0.25261011904761904"/>
    <x v="10"/>
    <x v="0"/>
  </r>
  <r>
    <s v="ORD01054"/>
    <d v="2024-04-14T00:00:00"/>
    <s v="CUST0275"/>
    <x v="239"/>
    <x v="0"/>
    <s v="Delhi"/>
    <x v="2"/>
    <x v="3"/>
    <n v="5"/>
    <n v="21960"/>
    <n v="18554.68"/>
    <n v="3405.32"/>
    <n v="0.15506921675774135"/>
    <x v="0"/>
    <x v="0"/>
  </r>
  <r>
    <s v="ORD01055"/>
    <d v="2025-12-14T00:00:00"/>
    <s v="CUST0199"/>
    <x v="177"/>
    <x v="2"/>
    <s v="Tamil Nadu"/>
    <x v="1"/>
    <x v="6"/>
    <n v="10"/>
    <n v="29570"/>
    <n v="24969.64"/>
    <n v="4600.3599999999997"/>
    <n v="0.15557524518092661"/>
    <x v="3"/>
    <x v="1"/>
  </r>
  <r>
    <s v="ORD01056"/>
    <d v="2024-01-19T00:00:00"/>
    <s v="CUST0300"/>
    <x v="128"/>
    <x v="3"/>
    <s v="West Bengal"/>
    <x v="0"/>
    <x v="2"/>
    <n v="6"/>
    <n v="25494"/>
    <n v="14538.06"/>
    <n v="10955.94"/>
    <n v="0.42974582254648153"/>
    <x v="8"/>
    <x v="0"/>
  </r>
  <r>
    <s v="ORD01057"/>
    <d v="2024-01-14T00:00:00"/>
    <s v="CUST0120"/>
    <x v="142"/>
    <x v="1"/>
    <s v="Rajasthan"/>
    <x v="0"/>
    <x v="2"/>
    <n v="4"/>
    <n v="17696"/>
    <n v="12851.55"/>
    <n v="4844.45"/>
    <n v="0.27375960669077759"/>
    <x v="8"/>
    <x v="0"/>
  </r>
  <r>
    <s v="ORD01058"/>
    <d v="2024-03-02T00:00:00"/>
    <s v="CUST0071"/>
    <x v="115"/>
    <x v="0"/>
    <s v="Punjab"/>
    <x v="3"/>
    <x v="7"/>
    <n v="7"/>
    <n v="16065"/>
    <n v="11822.71"/>
    <n v="4242.29"/>
    <n v="0.26407033924680984"/>
    <x v="7"/>
    <x v="0"/>
  </r>
  <r>
    <s v="ORD01059"/>
    <d v="2024-02-08T00:00:00"/>
    <s v="CUST0122"/>
    <x v="92"/>
    <x v="1"/>
    <s v="Gujarat"/>
    <x v="3"/>
    <x v="7"/>
    <n v="3"/>
    <n v="10134"/>
    <n v="6195.07"/>
    <n v="3938.93"/>
    <n v="0.3886846260114466"/>
    <x v="9"/>
    <x v="0"/>
  </r>
  <r>
    <s v="ORD01060"/>
    <d v="2025-02-28T00:00:00"/>
    <s v="CUST0148"/>
    <x v="275"/>
    <x v="3"/>
    <s v="West Bengal"/>
    <x v="3"/>
    <x v="10"/>
    <n v="6"/>
    <n v="3744"/>
    <n v="2644.24"/>
    <n v="1099.76"/>
    <n v="0.29373931623931626"/>
    <x v="9"/>
    <x v="1"/>
  </r>
  <r>
    <s v="ORD01061"/>
    <d v="2024-02-25T00:00:00"/>
    <s v="CUST0128"/>
    <x v="200"/>
    <x v="2"/>
    <s v="Telangana"/>
    <x v="3"/>
    <x v="4"/>
    <n v="6"/>
    <n v="13704"/>
    <n v="8383.36"/>
    <n v="5320.64"/>
    <n v="0.38825452422650325"/>
    <x v="9"/>
    <x v="0"/>
  </r>
  <r>
    <s v="ORD01062"/>
    <d v="2024-03-07T00:00:00"/>
    <s v="CUST0252"/>
    <x v="58"/>
    <x v="1"/>
    <s v="Rajasthan"/>
    <x v="3"/>
    <x v="4"/>
    <n v="3"/>
    <n v="11769"/>
    <n v="8696.52"/>
    <n v="3072.48"/>
    <n v="0.26106551108845272"/>
    <x v="7"/>
    <x v="0"/>
  </r>
  <r>
    <s v="ORD01063"/>
    <d v="2024-06-26T00:00:00"/>
    <s v="CUST0282"/>
    <x v="155"/>
    <x v="2"/>
    <s v="Karnataka"/>
    <x v="0"/>
    <x v="2"/>
    <n v="3"/>
    <n v="5916"/>
    <n v="3476.65"/>
    <n v="2439.35"/>
    <n v="0.41233096686950643"/>
    <x v="4"/>
    <x v="0"/>
  </r>
  <r>
    <s v="ORD01064"/>
    <d v="2024-07-21T00:00:00"/>
    <s v="CUST0126"/>
    <x v="76"/>
    <x v="2"/>
    <s v="Telangana"/>
    <x v="1"/>
    <x v="6"/>
    <n v="7"/>
    <n v="28882"/>
    <n v="18583.8"/>
    <n v="10298.200000000001"/>
    <n v="0.35656117997368608"/>
    <x v="11"/>
    <x v="0"/>
  </r>
  <r>
    <s v="ORD01065"/>
    <d v="2025-10-12T00:00:00"/>
    <s v="CUST0104"/>
    <x v="145"/>
    <x v="2"/>
    <s v="Telangana"/>
    <x v="3"/>
    <x v="7"/>
    <n v="5"/>
    <n v="13185"/>
    <n v="9531.7900000000009"/>
    <n v="3653.21"/>
    <n v="0.27707318923018581"/>
    <x v="10"/>
    <x v="1"/>
  </r>
  <r>
    <s v="ORD01066"/>
    <d v="2025-03-27T00:00:00"/>
    <s v="CUST0217"/>
    <x v="185"/>
    <x v="1"/>
    <s v="Maharashtra"/>
    <x v="3"/>
    <x v="4"/>
    <n v="7"/>
    <n v="23758"/>
    <n v="14262.64"/>
    <n v="9495.36"/>
    <n v="0.39967000589275192"/>
    <x v="7"/>
    <x v="1"/>
  </r>
  <r>
    <s v="ORD01067"/>
    <d v="2024-03-26T00:00:00"/>
    <s v="CUST0154"/>
    <x v="10"/>
    <x v="1"/>
    <s v="Maharashtra"/>
    <x v="2"/>
    <x v="9"/>
    <n v="1"/>
    <n v="3424"/>
    <n v="2322.2199999999998"/>
    <n v="1101.78"/>
    <n v="0.32178154205607473"/>
    <x v="7"/>
    <x v="0"/>
  </r>
  <r>
    <s v="ORD01068"/>
    <d v="2024-11-09T00:00:00"/>
    <s v="CUST0233"/>
    <x v="70"/>
    <x v="2"/>
    <s v="Telangana"/>
    <x v="0"/>
    <x v="0"/>
    <n v="3"/>
    <n v="7221"/>
    <n v="4795.72"/>
    <n v="2425.2800000000002"/>
    <n v="0.33586483866500488"/>
    <x v="5"/>
    <x v="0"/>
  </r>
  <r>
    <s v="ORD01069"/>
    <d v="2025-04-25T00:00:00"/>
    <s v="CUST0101"/>
    <x v="36"/>
    <x v="1"/>
    <s v="Rajasthan"/>
    <x v="0"/>
    <x v="8"/>
    <n v="8"/>
    <n v="7112"/>
    <n v="4622.59"/>
    <n v="2489.41"/>
    <n v="0.35002952755905509"/>
    <x v="0"/>
    <x v="1"/>
  </r>
  <r>
    <s v="ORD01070"/>
    <d v="2025-03-01T00:00:00"/>
    <s v="CUST0203"/>
    <x v="115"/>
    <x v="2"/>
    <s v="Karnataka"/>
    <x v="1"/>
    <x v="1"/>
    <n v="9"/>
    <n v="30285"/>
    <n v="21121.85"/>
    <n v="9163.15"/>
    <n v="0.30256397556546144"/>
    <x v="7"/>
    <x v="1"/>
  </r>
  <r>
    <s v="ORD01071"/>
    <d v="2024-02-09T00:00:00"/>
    <s v="CUST0064"/>
    <x v="12"/>
    <x v="1"/>
    <s v="Gujarat"/>
    <x v="3"/>
    <x v="10"/>
    <n v="10"/>
    <n v="8830"/>
    <n v="5939.38"/>
    <n v="2890.62"/>
    <n v="0.32736353340883351"/>
    <x v="9"/>
    <x v="0"/>
  </r>
  <r>
    <s v="ORD01072"/>
    <d v="2025-05-15T00:00:00"/>
    <s v="CUST0189"/>
    <x v="26"/>
    <x v="2"/>
    <s v="Karnataka"/>
    <x v="2"/>
    <x v="3"/>
    <n v="5"/>
    <n v="15775"/>
    <n v="11087.97"/>
    <n v="4687.03"/>
    <n v="0.29711759112519809"/>
    <x v="6"/>
    <x v="1"/>
  </r>
  <r>
    <s v="ORD01073"/>
    <d v="2025-01-05T00:00:00"/>
    <s v="CUST0015"/>
    <x v="160"/>
    <x v="1"/>
    <s v="Gujarat"/>
    <x v="0"/>
    <x v="0"/>
    <n v="4"/>
    <n v="9140"/>
    <n v="6336.92"/>
    <n v="2803.08"/>
    <n v="0.30668271334792124"/>
    <x v="8"/>
    <x v="1"/>
  </r>
  <r>
    <s v="ORD01074"/>
    <d v="2025-08-15T00:00:00"/>
    <s v="CUST0083"/>
    <x v="61"/>
    <x v="3"/>
    <s v="Bihar"/>
    <x v="2"/>
    <x v="9"/>
    <n v="3"/>
    <n v="7149"/>
    <n v="4462.58"/>
    <n v="2686.42"/>
    <n v="0.37577563295565813"/>
    <x v="2"/>
    <x v="1"/>
  </r>
  <r>
    <s v="ORD01075"/>
    <d v="2024-03-23T00:00:00"/>
    <s v="CUST0266"/>
    <x v="255"/>
    <x v="0"/>
    <s v="Delhi"/>
    <x v="0"/>
    <x v="2"/>
    <n v="7"/>
    <n v="24899"/>
    <n v="18968.580000000002"/>
    <n v="5930.42"/>
    <n v="0.2381790433350737"/>
    <x v="7"/>
    <x v="0"/>
  </r>
  <r>
    <s v="ORD01076"/>
    <d v="2025-06-29T00:00:00"/>
    <s v="CUST0196"/>
    <x v="175"/>
    <x v="1"/>
    <s v="Maharashtra"/>
    <x v="2"/>
    <x v="3"/>
    <n v="5"/>
    <n v="13875"/>
    <n v="9715.19"/>
    <n v="4159.8100000000004"/>
    <n v="0.29980612612612617"/>
    <x v="4"/>
    <x v="1"/>
  </r>
  <r>
    <s v="ORD01077"/>
    <d v="2024-12-18T00:00:00"/>
    <s v="CUST0074"/>
    <x v="63"/>
    <x v="1"/>
    <s v="Rajasthan"/>
    <x v="1"/>
    <x v="6"/>
    <n v="2"/>
    <n v="9980"/>
    <n v="7814.41"/>
    <n v="2165.59"/>
    <n v="0.21699298597194391"/>
    <x v="3"/>
    <x v="0"/>
  </r>
  <r>
    <s v="ORD01078"/>
    <d v="2025-05-18T00:00:00"/>
    <s v="CUST0001"/>
    <x v="116"/>
    <x v="2"/>
    <s v="Telangana"/>
    <x v="2"/>
    <x v="3"/>
    <n v="5"/>
    <n v="1760"/>
    <n v="1489.15"/>
    <n v="270.85000000000002"/>
    <n v="0.15389204545454546"/>
    <x v="6"/>
    <x v="1"/>
  </r>
  <r>
    <s v="ORD01079"/>
    <d v="2025-03-17T00:00:00"/>
    <s v="CUST0088"/>
    <x v="272"/>
    <x v="0"/>
    <s v="Haryana"/>
    <x v="2"/>
    <x v="3"/>
    <n v="9"/>
    <n v="33426"/>
    <n v="24947.71"/>
    <n v="8478.2900000000009"/>
    <n v="0.25364357087297318"/>
    <x v="7"/>
    <x v="1"/>
  </r>
  <r>
    <s v="ORD01080"/>
    <d v="2025-05-29T00:00:00"/>
    <s v="CUST0057"/>
    <x v="150"/>
    <x v="3"/>
    <s v="West Bengal"/>
    <x v="0"/>
    <x v="0"/>
    <n v="3"/>
    <n v="5766"/>
    <n v="4012.8"/>
    <n v="1753.2"/>
    <n v="0.30405827263267432"/>
    <x v="6"/>
    <x v="1"/>
  </r>
  <r>
    <s v="ORD01081"/>
    <d v="2024-07-15T00:00:00"/>
    <s v="CUST0133"/>
    <x v="133"/>
    <x v="2"/>
    <s v="Karnataka"/>
    <x v="3"/>
    <x v="7"/>
    <n v="1"/>
    <n v="1796"/>
    <n v="1423.79"/>
    <n v="372.21"/>
    <n v="0.20724387527839644"/>
    <x v="11"/>
    <x v="0"/>
  </r>
  <r>
    <s v="ORD01082"/>
    <d v="2024-03-28T00:00:00"/>
    <s v="CUST0194"/>
    <x v="4"/>
    <x v="1"/>
    <s v="Rajasthan"/>
    <x v="0"/>
    <x v="8"/>
    <n v="2"/>
    <n v="3320"/>
    <n v="1905.49"/>
    <n v="1414.51"/>
    <n v="0.42605722891566267"/>
    <x v="7"/>
    <x v="0"/>
  </r>
  <r>
    <s v="ORD01083"/>
    <d v="2025-11-19T00:00:00"/>
    <s v="CUST0052"/>
    <x v="166"/>
    <x v="3"/>
    <s v="West Bengal"/>
    <x v="3"/>
    <x v="4"/>
    <n v="1"/>
    <n v="2223"/>
    <n v="1541.36"/>
    <n v="681.64"/>
    <n v="0.30663067926225818"/>
    <x v="5"/>
    <x v="1"/>
  </r>
  <r>
    <s v="ORD01084"/>
    <d v="2025-06-18T00:00:00"/>
    <s v="CUST0004"/>
    <x v="246"/>
    <x v="0"/>
    <s v="Punjab"/>
    <x v="1"/>
    <x v="1"/>
    <n v="10"/>
    <n v="6420"/>
    <n v="3717.52"/>
    <n v="2702.48"/>
    <n v="0.42094704049844239"/>
    <x v="4"/>
    <x v="1"/>
  </r>
  <r>
    <s v="ORD01085"/>
    <d v="2025-11-29T00:00:00"/>
    <s v="CUST0176"/>
    <x v="189"/>
    <x v="3"/>
    <s v="Odisha"/>
    <x v="2"/>
    <x v="9"/>
    <n v="6"/>
    <n v="22908"/>
    <n v="14912.31"/>
    <n v="7995.69"/>
    <n v="0.34903483499214244"/>
    <x v="5"/>
    <x v="1"/>
  </r>
  <r>
    <s v="ORD01086"/>
    <d v="2024-12-30T00:00:00"/>
    <s v="CUST0170"/>
    <x v="250"/>
    <x v="2"/>
    <s v="Tamil Nadu"/>
    <x v="0"/>
    <x v="2"/>
    <n v="7"/>
    <n v="23800"/>
    <n v="17451.18"/>
    <n v="6348.82"/>
    <n v="0.26675714285714286"/>
    <x v="3"/>
    <x v="0"/>
  </r>
  <r>
    <s v="ORD01087"/>
    <d v="2024-05-05T00:00:00"/>
    <s v="CUST0272"/>
    <x v="220"/>
    <x v="0"/>
    <s v="Punjab"/>
    <x v="0"/>
    <x v="0"/>
    <n v="7"/>
    <n v="10059"/>
    <n v="5609.95"/>
    <n v="4449.05"/>
    <n v="0.44229545680485138"/>
    <x v="6"/>
    <x v="0"/>
  </r>
  <r>
    <s v="ORD01088"/>
    <d v="2025-11-07T00:00:00"/>
    <s v="CUST0097"/>
    <x v="87"/>
    <x v="2"/>
    <s v="Tamil Nadu"/>
    <x v="2"/>
    <x v="9"/>
    <n v="10"/>
    <n v="41920"/>
    <n v="29531.56"/>
    <n v="12388.44"/>
    <n v="0.29552576335877861"/>
    <x v="5"/>
    <x v="1"/>
  </r>
  <r>
    <s v="ORD01089"/>
    <d v="2024-11-29T00:00:00"/>
    <s v="CUST0228"/>
    <x v="103"/>
    <x v="3"/>
    <s v="West Bengal"/>
    <x v="0"/>
    <x v="2"/>
    <n v="6"/>
    <n v="4044"/>
    <n v="3400.52"/>
    <n v="643.48"/>
    <n v="0.1591196834817013"/>
    <x v="5"/>
    <x v="0"/>
  </r>
  <r>
    <s v="ORD01090"/>
    <d v="2025-05-02T00:00:00"/>
    <s v="CUST0052"/>
    <x v="12"/>
    <x v="1"/>
    <s v="Gujarat"/>
    <x v="0"/>
    <x v="0"/>
    <n v="10"/>
    <n v="9660"/>
    <n v="6322.47"/>
    <n v="3337.53"/>
    <n v="0.34550000000000003"/>
    <x v="6"/>
    <x v="1"/>
  </r>
  <r>
    <s v="ORD01091"/>
    <d v="2025-05-31T00:00:00"/>
    <s v="CUST0017"/>
    <x v="274"/>
    <x v="3"/>
    <s v="Bihar"/>
    <x v="3"/>
    <x v="7"/>
    <n v="3"/>
    <n v="13680"/>
    <n v="11120.06"/>
    <n v="2559.94"/>
    <n v="0.18713011695906434"/>
    <x v="6"/>
    <x v="1"/>
  </r>
  <r>
    <s v="ORD01092"/>
    <d v="2025-04-01T00:00:00"/>
    <s v="CUST0060"/>
    <x v="236"/>
    <x v="1"/>
    <s v="Maharashtra"/>
    <x v="3"/>
    <x v="10"/>
    <n v="9"/>
    <n v="37116"/>
    <n v="22285.03"/>
    <n v="14830.97"/>
    <n v="0.39958427632287963"/>
    <x v="0"/>
    <x v="1"/>
  </r>
  <r>
    <s v="ORD01093"/>
    <d v="2024-01-30T00:00:00"/>
    <s v="CUST0083"/>
    <x v="57"/>
    <x v="2"/>
    <s v="Karnataka"/>
    <x v="3"/>
    <x v="7"/>
    <n v="3"/>
    <n v="3096"/>
    <n v="1800.76"/>
    <n v="1295.24"/>
    <n v="0.41835917312661497"/>
    <x v="8"/>
    <x v="0"/>
  </r>
  <r>
    <s v="ORD01094"/>
    <d v="2025-11-17T00:00:00"/>
    <s v="CUST0064"/>
    <x v="176"/>
    <x v="1"/>
    <s v="Gujarat"/>
    <x v="3"/>
    <x v="7"/>
    <n v="5"/>
    <n v="21005"/>
    <n v="17548.650000000001"/>
    <n v="3456.35"/>
    <n v="0.16454891692454177"/>
    <x v="5"/>
    <x v="1"/>
  </r>
  <r>
    <s v="ORD01095"/>
    <d v="2025-09-07T00:00:00"/>
    <s v="CUST0034"/>
    <x v="32"/>
    <x v="1"/>
    <s v="Maharashtra"/>
    <x v="0"/>
    <x v="0"/>
    <n v="6"/>
    <n v="12798"/>
    <n v="10616.38"/>
    <n v="2181.62"/>
    <n v="0.17046569776527581"/>
    <x v="1"/>
    <x v="1"/>
  </r>
  <r>
    <s v="ORD01096"/>
    <d v="2025-03-23T00:00:00"/>
    <s v="CUST0120"/>
    <x v="223"/>
    <x v="1"/>
    <s v="Rajasthan"/>
    <x v="0"/>
    <x v="0"/>
    <n v="7"/>
    <n v="34321"/>
    <n v="28825.33"/>
    <n v="5495.67"/>
    <n v="0.16012557909151831"/>
    <x v="7"/>
    <x v="1"/>
  </r>
  <r>
    <s v="ORD01097"/>
    <d v="2025-08-29T00:00:00"/>
    <s v="CUST0097"/>
    <x v="287"/>
    <x v="3"/>
    <s v="West Bengal"/>
    <x v="3"/>
    <x v="10"/>
    <n v="2"/>
    <n v="2424"/>
    <n v="1398.02"/>
    <n v="1025.98"/>
    <n v="0.42325907590759076"/>
    <x v="2"/>
    <x v="1"/>
  </r>
  <r>
    <s v="ORD01098"/>
    <d v="2025-08-27T00:00:00"/>
    <s v="CUST0275"/>
    <x v="86"/>
    <x v="3"/>
    <s v="West Bengal"/>
    <x v="3"/>
    <x v="4"/>
    <n v="7"/>
    <n v="2191"/>
    <n v="1409.34"/>
    <n v="781.66"/>
    <n v="0.35675947056138746"/>
    <x v="2"/>
    <x v="1"/>
  </r>
  <r>
    <s v="ORD01099"/>
    <d v="2025-09-08T00:00:00"/>
    <s v="CUST0114"/>
    <x v="193"/>
    <x v="1"/>
    <s v="Gujarat"/>
    <x v="3"/>
    <x v="4"/>
    <n v="6"/>
    <n v="8004"/>
    <n v="5650.23"/>
    <n v="2353.77"/>
    <n v="0.29407421289355323"/>
    <x v="1"/>
    <x v="1"/>
  </r>
  <r>
    <s v="ORD01100"/>
    <d v="2024-10-30T00:00:00"/>
    <s v="CUST0113"/>
    <x v="184"/>
    <x v="1"/>
    <s v="Maharashtra"/>
    <x v="2"/>
    <x v="5"/>
    <n v="8"/>
    <n v="23104"/>
    <n v="13710.15"/>
    <n v="9393.85"/>
    <n v="0.4065897680055402"/>
    <x v="10"/>
    <x v="0"/>
  </r>
  <r>
    <s v="ORD01101"/>
    <d v="2025-12-20T00:00:00"/>
    <s v="CUST0018"/>
    <x v="231"/>
    <x v="1"/>
    <s v="Maharashtra"/>
    <x v="0"/>
    <x v="8"/>
    <n v="5"/>
    <n v="7470"/>
    <n v="5782.66"/>
    <n v="1687.34"/>
    <n v="0.2258821954484605"/>
    <x v="3"/>
    <x v="1"/>
  </r>
  <r>
    <s v="ORD01102"/>
    <d v="2025-12-24T00:00:00"/>
    <s v="CUST0294"/>
    <x v="210"/>
    <x v="3"/>
    <s v="Bihar"/>
    <x v="0"/>
    <x v="0"/>
    <n v="2"/>
    <n v="5080"/>
    <n v="4313.2"/>
    <n v="766.8"/>
    <n v="0.15094488188976377"/>
    <x v="3"/>
    <x v="1"/>
  </r>
  <r>
    <s v="ORD01103"/>
    <d v="2024-12-07T00:00:00"/>
    <s v="CUST0079"/>
    <x v="205"/>
    <x v="2"/>
    <s v="Tamil Nadu"/>
    <x v="3"/>
    <x v="10"/>
    <n v="7"/>
    <n v="5467"/>
    <n v="4616.0200000000004"/>
    <n v="850.98"/>
    <n v="0.15565758185476497"/>
    <x v="3"/>
    <x v="0"/>
  </r>
  <r>
    <s v="ORD01104"/>
    <d v="2025-02-05T00:00:00"/>
    <s v="CUST0154"/>
    <x v="50"/>
    <x v="2"/>
    <s v="Telangana"/>
    <x v="0"/>
    <x v="0"/>
    <n v="1"/>
    <n v="1766"/>
    <n v="1425.22"/>
    <n v="340.78"/>
    <n v="0.19296715741789353"/>
    <x v="9"/>
    <x v="1"/>
  </r>
  <r>
    <s v="ORD01105"/>
    <d v="2024-12-22T00:00:00"/>
    <s v="CUST0201"/>
    <x v="224"/>
    <x v="0"/>
    <s v="Haryana"/>
    <x v="2"/>
    <x v="3"/>
    <n v="6"/>
    <n v="22560"/>
    <n v="16996.02"/>
    <n v="5563.98"/>
    <n v="0.24663031914893616"/>
    <x v="3"/>
    <x v="0"/>
  </r>
  <r>
    <s v="ORD01106"/>
    <d v="2024-07-18T00:00:00"/>
    <s v="CUST0281"/>
    <x v="263"/>
    <x v="0"/>
    <s v="Haryana"/>
    <x v="0"/>
    <x v="0"/>
    <n v="5"/>
    <n v="13065"/>
    <n v="9915.2000000000007"/>
    <n v="3149.8"/>
    <n v="0.2410868733256793"/>
    <x v="11"/>
    <x v="0"/>
  </r>
  <r>
    <s v="ORD01107"/>
    <d v="2025-12-27T00:00:00"/>
    <s v="CUST0156"/>
    <x v="28"/>
    <x v="0"/>
    <s v="Delhi"/>
    <x v="3"/>
    <x v="4"/>
    <n v="10"/>
    <n v="7430"/>
    <n v="5980.73"/>
    <n v="1449.27"/>
    <n v="0.19505652759084791"/>
    <x v="3"/>
    <x v="1"/>
  </r>
  <r>
    <s v="ORD01108"/>
    <d v="2024-05-28T00:00:00"/>
    <s v="CUST0108"/>
    <x v="172"/>
    <x v="2"/>
    <s v="Telangana"/>
    <x v="1"/>
    <x v="11"/>
    <n v="8"/>
    <n v="34016"/>
    <n v="21679.23"/>
    <n v="12336.77"/>
    <n v="0.36267550564440265"/>
    <x v="6"/>
    <x v="0"/>
  </r>
  <r>
    <s v="ORD01109"/>
    <d v="2025-08-12T00:00:00"/>
    <s v="CUST0053"/>
    <x v="160"/>
    <x v="2"/>
    <s v="Telangana"/>
    <x v="0"/>
    <x v="2"/>
    <n v="1"/>
    <n v="3267"/>
    <n v="2508.36"/>
    <n v="758.64"/>
    <n v="0.23221303948576674"/>
    <x v="2"/>
    <x v="1"/>
  </r>
  <r>
    <s v="ORD01110"/>
    <d v="2025-04-30T00:00:00"/>
    <s v="CUST0092"/>
    <x v="83"/>
    <x v="1"/>
    <s v="Gujarat"/>
    <x v="0"/>
    <x v="2"/>
    <n v="3"/>
    <n v="2283"/>
    <n v="1321.43"/>
    <n v="961.57"/>
    <n v="0.4211870346035918"/>
    <x v="0"/>
    <x v="1"/>
  </r>
  <r>
    <s v="ORD01111"/>
    <d v="2025-10-04T00:00:00"/>
    <s v="CUST0207"/>
    <x v="7"/>
    <x v="0"/>
    <s v="Haryana"/>
    <x v="0"/>
    <x v="2"/>
    <n v="6"/>
    <n v="23118"/>
    <n v="19440.34"/>
    <n v="3677.66"/>
    <n v="0.15908210052772731"/>
    <x v="10"/>
    <x v="1"/>
  </r>
  <r>
    <s v="ORD01112"/>
    <d v="2025-09-02T00:00:00"/>
    <s v="CUST0089"/>
    <x v="246"/>
    <x v="0"/>
    <s v="Delhi"/>
    <x v="3"/>
    <x v="7"/>
    <n v="7"/>
    <n v="30114"/>
    <n v="19297.259999999998"/>
    <n v="10816.74"/>
    <n v="0.35919306634787806"/>
    <x v="1"/>
    <x v="1"/>
  </r>
  <r>
    <s v="ORD01113"/>
    <d v="2025-03-31T00:00:00"/>
    <s v="CUST0189"/>
    <x v="199"/>
    <x v="0"/>
    <s v="Punjab"/>
    <x v="0"/>
    <x v="2"/>
    <n v="7"/>
    <n v="17878"/>
    <n v="13224.36"/>
    <n v="4653.6400000000003"/>
    <n v="0.26029980982212775"/>
    <x v="7"/>
    <x v="1"/>
  </r>
  <r>
    <s v="ORD01114"/>
    <d v="2025-06-05T00:00:00"/>
    <s v="CUST0116"/>
    <x v="178"/>
    <x v="0"/>
    <s v="Delhi"/>
    <x v="1"/>
    <x v="6"/>
    <n v="2"/>
    <n v="8614"/>
    <n v="6395.23"/>
    <n v="2218.77"/>
    <n v="0.25757719990712791"/>
    <x v="4"/>
    <x v="1"/>
  </r>
  <r>
    <s v="ORD01115"/>
    <d v="2025-10-22T00:00:00"/>
    <s v="CUST0223"/>
    <x v="154"/>
    <x v="1"/>
    <s v="Gujarat"/>
    <x v="0"/>
    <x v="0"/>
    <n v="2"/>
    <n v="3566"/>
    <n v="2372.06"/>
    <n v="1193.94"/>
    <n v="0.33481211441390918"/>
    <x v="10"/>
    <x v="1"/>
  </r>
  <r>
    <s v="ORD01116"/>
    <d v="2025-12-18T00:00:00"/>
    <s v="CUST0011"/>
    <x v="263"/>
    <x v="2"/>
    <s v="Karnataka"/>
    <x v="3"/>
    <x v="4"/>
    <n v="2"/>
    <n v="9406"/>
    <n v="5695.02"/>
    <n v="3710.98"/>
    <n v="0.39453327663193705"/>
    <x v="3"/>
    <x v="1"/>
  </r>
  <r>
    <s v="ORD01117"/>
    <d v="2025-10-29T00:00:00"/>
    <s v="CUST0064"/>
    <x v="73"/>
    <x v="1"/>
    <s v="Maharashtra"/>
    <x v="2"/>
    <x v="5"/>
    <n v="10"/>
    <n v="47150"/>
    <n v="36028.480000000003"/>
    <n v="11121.52"/>
    <n v="0.23587529162248144"/>
    <x v="10"/>
    <x v="1"/>
  </r>
  <r>
    <s v="ORD01118"/>
    <d v="2024-11-17T00:00:00"/>
    <s v="CUST0063"/>
    <x v="157"/>
    <x v="0"/>
    <s v="Delhi"/>
    <x v="0"/>
    <x v="8"/>
    <n v="3"/>
    <n v="1029"/>
    <n v="737.19"/>
    <n v="291.81"/>
    <n v="0.28358600583090376"/>
    <x v="5"/>
    <x v="0"/>
  </r>
  <r>
    <s v="ORD01119"/>
    <d v="2024-02-05T00:00:00"/>
    <s v="CUST0044"/>
    <x v="4"/>
    <x v="2"/>
    <s v="Telangana"/>
    <x v="3"/>
    <x v="7"/>
    <n v="3"/>
    <n v="3057"/>
    <n v="2197.2199999999998"/>
    <n v="859.78"/>
    <n v="0.28124959110238795"/>
    <x v="9"/>
    <x v="0"/>
  </r>
  <r>
    <s v="ORD01120"/>
    <d v="2025-11-04T00:00:00"/>
    <s v="CUST0001"/>
    <x v="22"/>
    <x v="3"/>
    <s v="Odisha"/>
    <x v="2"/>
    <x v="5"/>
    <n v="3"/>
    <n v="11295"/>
    <n v="9523.16"/>
    <n v="1771.84"/>
    <n v="0.15686941124391324"/>
    <x v="5"/>
    <x v="1"/>
  </r>
  <r>
    <s v="ORD01121"/>
    <d v="2025-08-13T00:00:00"/>
    <s v="CUST0252"/>
    <x v="25"/>
    <x v="3"/>
    <s v="West Bengal"/>
    <x v="2"/>
    <x v="5"/>
    <n v="5"/>
    <n v="23375"/>
    <n v="15976.25"/>
    <n v="7398.75"/>
    <n v="0.316524064171123"/>
    <x v="2"/>
    <x v="1"/>
  </r>
  <r>
    <s v="ORD01122"/>
    <d v="2025-11-09T00:00:00"/>
    <s v="CUST0023"/>
    <x v="181"/>
    <x v="3"/>
    <s v="Bihar"/>
    <x v="2"/>
    <x v="5"/>
    <n v="9"/>
    <n v="18171"/>
    <n v="13744.16"/>
    <n v="4426.84"/>
    <n v="0.24362115458697925"/>
    <x v="5"/>
    <x v="1"/>
  </r>
  <r>
    <s v="ORD01123"/>
    <d v="2025-09-08T00:00:00"/>
    <s v="CUST0283"/>
    <x v="252"/>
    <x v="0"/>
    <s v="Delhi"/>
    <x v="1"/>
    <x v="11"/>
    <n v="5"/>
    <n v="10315"/>
    <n v="8636"/>
    <n v="1679"/>
    <n v="0.16277266117304895"/>
    <x v="1"/>
    <x v="1"/>
  </r>
  <r>
    <s v="ORD01124"/>
    <d v="2024-09-18T00:00:00"/>
    <s v="CUST0134"/>
    <x v="243"/>
    <x v="3"/>
    <s v="Odisha"/>
    <x v="1"/>
    <x v="11"/>
    <n v="10"/>
    <n v="37570"/>
    <n v="21501.61"/>
    <n v="16068.39"/>
    <n v="0.42769204152249135"/>
    <x v="1"/>
    <x v="0"/>
  </r>
  <r>
    <s v="ORD01125"/>
    <d v="2025-12-12T00:00:00"/>
    <s v="CUST0074"/>
    <x v="13"/>
    <x v="2"/>
    <s v="Tamil Nadu"/>
    <x v="2"/>
    <x v="9"/>
    <n v="2"/>
    <n v="4764"/>
    <n v="3587.09"/>
    <n v="1176.9100000000001"/>
    <n v="0.24704240134340891"/>
    <x v="3"/>
    <x v="1"/>
  </r>
  <r>
    <s v="ORD01126"/>
    <d v="2025-07-31T00:00:00"/>
    <s v="CUST0262"/>
    <x v="6"/>
    <x v="2"/>
    <s v="Karnataka"/>
    <x v="0"/>
    <x v="2"/>
    <n v="5"/>
    <n v="9390"/>
    <n v="7177.09"/>
    <n v="2212.91"/>
    <n v="0.23566666666666666"/>
    <x v="11"/>
    <x v="1"/>
  </r>
  <r>
    <s v="ORD01127"/>
    <d v="2025-09-10T00:00:00"/>
    <s v="CUST0127"/>
    <x v="173"/>
    <x v="1"/>
    <s v="Maharashtra"/>
    <x v="3"/>
    <x v="4"/>
    <n v="7"/>
    <n v="23828"/>
    <n v="13290.61"/>
    <n v="10537.39"/>
    <n v="0.44222721168373341"/>
    <x v="1"/>
    <x v="1"/>
  </r>
  <r>
    <s v="ORD01128"/>
    <d v="2024-12-03T00:00:00"/>
    <s v="CUST0046"/>
    <x v="125"/>
    <x v="3"/>
    <s v="West Bengal"/>
    <x v="2"/>
    <x v="5"/>
    <n v="2"/>
    <n v="9584"/>
    <n v="6440.78"/>
    <n v="3143.22"/>
    <n v="0.32796535893155254"/>
    <x v="3"/>
    <x v="0"/>
  </r>
  <r>
    <s v="ORD01129"/>
    <d v="2025-01-21T00:00:00"/>
    <s v="CUST0114"/>
    <x v="226"/>
    <x v="3"/>
    <s v="Odisha"/>
    <x v="1"/>
    <x v="11"/>
    <n v="4"/>
    <n v="10164"/>
    <n v="5620.28"/>
    <n v="4543.72"/>
    <n v="0.44704053522235343"/>
    <x v="8"/>
    <x v="1"/>
  </r>
  <r>
    <s v="ORD01130"/>
    <d v="2025-05-16T00:00:00"/>
    <s v="CUST0049"/>
    <x v="212"/>
    <x v="0"/>
    <s v="Delhi"/>
    <x v="1"/>
    <x v="11"/>
    <n v="9"/>
    <n v="25299"/>
    <n v="18383.47"/>
    <n v="6915.53"/>
    <n v="0.27335191114273288"/>
    <x v="6"/>
    <x v="1"/>
  </r>
  <r>
    <s v="ORD01131"/>
    <d v="2024-04-11T00:00:00"/>
    <s v="CUST0025"/>
    <x v="94"/>
    <x v="3"/>
    <s v="Bihar"/>
    <x v="0"/>
    <x v="8"/>
    <n v="5"/>
    <n v="24090"/>
    <n v="15208.41"/>
    <n v="8881.59"/>
    <n v="0.36868368617683689"/>
    <x v="0"/>
    <x v="0"/>
  </r>
  <r>
    <s v="ORD01132"/>
    <d v="2025-02-16T00:00:00"/>
    <s v="CUST0245"/>
    <x v="274"/>
    <x v="3"/>
    <s v="Odisha"/>
    <x v="1"/>
    <x v="11"/>
    <n v="6"/>
    <n v="27930"/>
    <n v="19983.96"/>
    <n v="7946.04"/>
    <n v="0.28449838882921591"/>
    <x v="9"/>
    <x v="1"/>
  </r>
  <r>
    <s v="ORD01133"/>
    <d v="2024-05-26T00:00:00"/>
    <s v="CUST0194"/>
    <x v="121"/>
    <x v="3"/>
    <s v="West Bengal"/>
    <x v="0"/>
    <x v="2"/>
    <n v="9"/>
    <n v="14157"/>
    <n v="10579.09"/>
    <n v="3577.91"/>
    <n v="0.25273080454898633"/>
    <x v="6"/>
    <x v="0"/>
  </r>
  <r>
    <s v="ORD01134"/>
    <d v="2025-03-04T00:00:00"/>
    <s v="CUST0235"/>
    <x v="282"/>
    <x v="3"/>
    <s v="West Bengal"/>
    <x v="0"/>
    <x v="0"/>
    <n v="6"/>
    <n v="14040"/>
    <n v="10578.64"/>
    <n v="3461.36"/>
    <n v="0.24653561253561254"/>
    <x v="7"/>
    <x v="1"/>
  </r>
  <r>
    <s v="ORD01135"/>
    <d v="2025-03-14T00:00:00"/>
    <s v="CUST0267"/>
    <x v="8"/>
    <x v="1"/>
    <s v="Gujarat"/>
    <x v="2"/>
    <x v="9"/>
    <n v="9"/>
    <n v="23841"/>
    <n v="15085.32"/>
    <n v="8755.68"/>
    <n v="0.36725305146596199"/>
    <x v="7"/>
    <x v="1"/>
  </r>
  <r>
    <s v="ORD01136"/>
    <d v="2024-04-02T00:00:00"/>
    <s v="CUST0041"/>
    <x v="173"/>
    <x v="3"/>
    <s v="Bihar"/>
    <x v="1"/>
    <x v="6"/>
    <n v="5"/>
    <n v="18150"/>
    <n v="14178.3"/>
    <n v="3971.7"/>
    <n v="0.21882644628099174"/>
    <x v="0"/>
    <x v="0"/>
  </r>
  <r>
    <s v="ORD01137"/>
    <d v="2024-10-19T00:00:00"/>
    <s v="CUST0284"/>
    <x v="11"/>
    <x v="2"/>
    <s v="Karnataka"/>
    <x v="1"/>
    <x v="11"/>
    <n v="10"/>
    <n v="7700"/>
    <n v="4430.3900000000003"/>
    <n v="3269.61"/>
    <n v="0.42462467532467535"/>
    <x v="10"/>
    <x v="0"/>
  </r>
  <r>
    <s v="ORD01138"/>
    <d v="2025-06-11T00:00:00"/>
    <s v="CUST0273"/>
    <x v="4"/>
    <x v="0"/>
    <s v="Punjab"/>
    <x v="0"/>
    <x v="2"/>
    <n v="9"/>
    <n v="12753"/>
    <n v="8849.27"/>
    <n v="3903.73"/>
    <n v="0.30610287775425388"/>
    <x v="4"/>
    <x v="1"/>
  </r>
  <r>
    <s v="ORD01139"/>
    <d v="2025-12-20T00:00:00"/>
    <s v="CUST0274"/>
    <x v="40"/>
    <x v="1"/>
    <s v="Maharashtra"/>
    <x v="0"/>
    <x v="8"/>
    <n v="4"/>
    <n v="1436"/>
    <n v="1097.46"/>
    <n v="338.54"/>
    <n v="0.23575208913649026"/>
    <x v="3"/>
    <x v="1"/>
  </r>
  <r>
    <s v="ORD01140"/>
    <d v="2024-06-21T00:00:00"/>
    <s v="CUST0269"/>
    <x v="164"/>
    <x v="2"/>
    <s v="Telangana"/>
    <x v="0"/>
    <x v="2"/>
    <n v="9"/>
    <n v="5814"/>
    <n v="4257.08"/>
    <n v="1556.92"/>
    <n v="0.26778809769521844"/>
    <x v="4"/>
    <x v="0"/>
  </r>
  <r>
    <s v="ORD01141"/>
    <d v="2024-02-22T00:00:00"/>
    <s v="CUST0217"/>
    <x v="204"/>
    <x v="2"/>
    <s v="Karnataka"/>
    <x v="3"/>
    <x v="4"/>
    <n v="3"/>
    <n v="13524"/>
    <n v="8871.57"/>
    <n v="4652.43"/>
    <n v="0.34401286601597164"/>
    <x v="9"/>
    <x v="0"/>
  </r>
  <r>
    <s v="ORD01142"/>
    <d v="2024-09-12T00:00:00"/>
    <s v="CUST0277"/>
    <x v="235"/>
    <x v="1"/>
    <s v="Maharashtra"/>
    <x v="3"/>
    <x v="4"/>
    <n v="2"/>
    <n v="6136"/>
    <n v="5057.37"/>
    <n v="1078.6300000000001"/>
    <n v="0.17578715775749676"/>
    <x v="1"/>
    <x v="0"/>
  </r>
  <r>
    <s v="ORD01143"/>
    <d v="2025-10-08T00:00:00"/>
    <s v="CUST0292"/>
    <x v="263"/>
    <x v="3"/>
    <s v="Odisha"/>
    <x v="2"/>
    <x v="9"/>
    <n v="5"/>
    <n v="12340"/>
    <n v="7575.77"/>
    <n v="4764.2299999999996"/>
    <n v="0.38608022690437599"/>
    <x v="10"/>
    <x v="1"/>
  </r>
  <r>
    <s v="ORD01144"/>
    <d v="2025-09-24T00:00:00"/>
    <s v="CUST0250"/>
    <x v="26"/>
    <x v="2"/>
    <s v="Tamil Nadu"/>
    <x v="0"/>
    <x v="2"/>
    <n v="9"/>
    <n v="5310"/>
    <n v="4410.62"/>
    <n v="899.38"/>
    <n v="0.16937476459510359"/>
    <x v="1"/>
    <x v="1"/>
  </r>
  <r>
    <s v="ORD01145"/>
    <d v="2024-04-19T00:00:00"/>
    <s v="CUST0003"/>
    <x v="134"/>
    <x v="3"/>
    <s v="West Bengal"/>
    <x v="0"/>
    <x v="8"/>
    <n v="8"/>
    <n v="23928"/>
    <n v="15302.08"/>
    <n v="8625.92"/>
    <n v="0.3604948177866934"/>
    <x v="0"/>
    <x v="0"/>
  </r>
  <r>
    <s v="ORD01146"/>
    <d v="2024-07-21T00:00:00"/>
    <s v="CUST0044"/>
    <x v="212"/>
    <x v="2"/>
    <s v="Tamil Nadu"/>
    <x v="3"/>
    <x v="4"/>
    <n v="1"/>
    <n v="1130"/>
    <n v="767.54"/>
    <n v="362.46"/>
    <n v="0.32076106194690263"/>
    <x v="11"/>
    <x v="0"/>
  </r>
  <r>
    <s v="ORD01147"/>
    <d v="2025-11-03T00:00:00"/>
    <s v="CUST0129"/>
    <x v="164"/>
    <x v="2"/>
    <s v="Tamil Nadu"/>
    <x v="1"/>
    <x v="6"/>
    <n v="8"/>
    <n v="2848"/>
    <n v="1699.37"/>
    <n v="1148.6300000000001"/>
    <n v="0.403311095505618"/>
    <x v="5"/>
    <x v="1"/>
  </r>
  <r>
    <s v="ORD01148"/>
    <d v="2024-07-05T00:00:00"/>
    <s v="CUST0275"/>
    <x v="63"/>
    <x v="1"/>
    <s v="Gujarat"/>
    <x v="3"/>
    <x v="4"/>
    <n v="5"/>
    <n v="16425"/>
    <n v="11144.4"/>
    <n v="5280.6"/>
    <n v="0.32149771689497719"/>
    <x v="11"/>
    <x v="0"/>
  </r>
  <r>
    <s v="ORD01149"/>
    <d v="2025-03-20T00:00:00"/>
    <s v="CUST0003"/>
    <x v="93"/>
    <x v="0"/>
    <s v="Punjab"/>
    <x v="0"/>
    <x v="2"/>
    <n v="8"/>
    <n v="13000"/>
    <n v="7695.51"/>
    <n v="5304.49"/>
    <n v="0.40803769230769227"/>
    <x v="7"/>
    <x v="1"/>
  </r>
  <r>
    <s v="ORD01150"/>
    <d v="2025-03-07T00:00:00"/>
    <s v="CUST0170"/>
    <x v="249"/>
    <x v="2"/>
    <s v="Karnataka"/>
    <x v="3"/>
    <x v="7"/>
    <n v="5"/>
    <n v="3145"/>
    <n v="1855.88"/>
    <n v="1289.1199999999999"/>
    <n v="0.40989507154213034"/>
    <x v="7"/>
    <x v="1"/>
  </r>
  <r>
    <s v="ORD01151"/>
    <d v="2025-05-15T00:00:00"/>
    <s v="CUST0282"/>
    <x v="204"/>
    <x v="2"/>
    <s v="Telangana"/>
    <x v="3"/>
    <x v="7"/>
    <n v="8"/>
    <n v="19816"/>
    <n v="11605"/>
    <n v="8211"/>
    <n v="0.41436213161081953"/>
    <x v="6"/>
    <x v="1"/>
  </r>
  <r>
    <s v="ORD01152"/>
    <d v="2024-04-20T00:00:00"/>
    <s v="CUST0011"/>
    <x v="17"/>
    <x v="2"/>
    <s v="Tamil Nadu"/>
    <x v="2"/>
    <x v="3"/>
    <n v="9"/>
    <n v="31365"/>
    <n v="18487.32"/>
    <n v="12877.68"/>
    <n v="0.41057484457197513"/>
    <x v="0"/>
    <x v="0"/>
  </r>
  <r>
    <s v="ORD01153"/>
    <d v="2024-12-16T00:00:00"/>
    <s v="CUST0220"/>
    <x v="166"/>
    <x v="2"/>
    <s v="Tamil Nadu"/>
    <x v="2"/>
    <x v="5"/>
    <n v="1"/>
    <n v="2237"/>
    <n v="1265.27"/>
    <n v="971.73"/>
    <n v="0.43438980777827446"/>
    <x v="3"/>
    <x v="0"/>
  </r>
  <r>
    <s v="ORD01154"/>
    <d v="2025-03-15T00:00:00"/>
    <s v="CUST0127"/>
    <x v="171"/>
    <x v="1"/>
    <s v="Gujarat"/>
    <x v="3"/>
    <x v="10"/>
    <n v="5"/>
    <n v="21400"/>
    <n v="12300.39"/>
    <n v="9099.61"/>
    <n v="0.42521542056074768"/>
    <x v="7"/>
    <x v="1"/>
  </r>
  <r>
    <s v="ORD01155"/>
    <d v="2024-09-10T00:00:00"/>
    <s v="CUST0220"/>
    <x v="59"/>
    <x v="2"/>
    <s v="Karnataka"/>
    <x v="3"/>
    <x v="10"/>
    <n v="2"/>
    <n v="4916"/>
    <n v="4170.13"/>
    <n v="745.87"/>
    <n v="0.15172294548413345"/>
    <x v="1"/>
    <x v="0"/>
  </r>
  <r>
    <s v="ORD01156"/>
    <d v="2025-08-28T00:00:00"/>
    <s v="CUST0077"/>
    <x v="8"/>
    <x v="1"/>
    <s v="Rajasthan"/>
    <x v="1"/>
    <x v="6"/>
    <n v="9"/>
    <n v="16056"/>
    <n v="9739.58"/>
    <n v="6316.42"/>
    <n v="0.39339935226706529"/>
    <x v="2"/>
    <x v="1"/>
  </r>
  <r>
    <s v="ORD01157"/>
    <d v="2024-05-29T00:00:00"/>
    <s v="CUST0219"/>
    <x v="123"/>
    <x v="0"/>
    <s v="Delhi"/>
    <x v="2"/>
    <x v="3"/>
    <n v="1"/>
    <n v="2543"/>
    <n v="2154.23"/>
    <n v="388.77"/>
    <n v="0.15287848997247344"/>
    <x v="6"/>
    <x v="0"/>
  </r>
  <r>
    <s v="ORD01158"/>
    <d v="2025-12-17T00:00:00"/>
    <s v="CUST0119"/>
    <x v="200"/>
    <x v="2"/>
    <s v="Karnataka"/>
    <x v="1"/>
    <x v="1"/>
    <n v="7"/>
    <n v="25452"/>
    <n v="18007.07"/>
    <n v="7444.93"/>
    <n v="0.29250864372151503"/>
    <x v="3"/>
    <x v="1"/>
  </r>
  <r>
    <s v="ORD01159"/>
    <d v="2024-02-22T00:00:00"/>
    <s v="CUST0156"/>
    <x v="159"/>
    <x v="3"/>
    <s v="Odisha"/>
    <x v="2"/>
    <x v="9"/>
    <n v="1"/>
    <n v="4476"/>
    <n v="3035.27"/>
    <n v="1440.73"/>
    <n v="0.32187890974084005"/>
    <x v="9"/>
    <x v="0"/>
  </r>
  <r>
    <s v="ORD01160"/>
    <d v="2024-02-18T00:00:00"/>
    <s v="CUST0094"/>
    <x v="157"/>
    <x v="3"/>
    <s v="Odisha"/>
    <x v="3"/>
    <x v="10"/>
    <n v="6"/>
    <n v="22344"/>
    <n v="13944.68"/>
    <n v="8399.32"/>
    <n v="0.37590941639813819"/>
    <x v="9"/>
    <x v="0"/>
  </r>
  <r>
    <s v="ORD01161"/>
    <d v="2024-10-13T00:00:00"/>
    <s v="CUST0052"/>
    <x v="279"/>
    <x v="0"/>
    <s v="Delhi"/>
    <x v="0"/>
    <x v="2"/>
    <n v="6"/>
    <n v="12216"/>
    <n v="7764.43"/>
    <n v="4451.57"/>
    <n v="0.36440487884741318"/>
    <x v="10"/>
    <x v="0"/>
  </r>
  <r>
    <s v="ORD01162"/>
    <d v="2024-04-09T00:00:00"/>
    <s v="CUST0007"/>
    <x v="188"/>
    <x v="2"/>
    <s v="Tamil Nadu"/>
    <x v="2"/>
    <x v="9"/>
    <n v="6"/>
    <n v="18228"/>
    <n v="11689.74"/>
    <n v="6538.26"/>
    <n v="0.35869321922317315"/>
    <x v="0"/>
    <x v="0"/>
  </r>
  <r>
    <s v="ORD01163"/>
    <d v="2024-08-31T00:00:00"/>
    <s v="CUST0142"/>
    <x v="205"/>
    <x v="2"/>
    <s v="Tamil Nadu"/>
    <x v="3"/>
    <x v="4"/>
    <n v="6"/>
    <n v="27792"/>
    <n v="20327.46"/>
    <n v="7464.54"/>
    <n v="0.26858592400690845"/>
    <x v="2"/>
    <x v="0"/>
  </r>
  <r>
    <s v="ORD01164"/>
    <d v="2025-11-01T00:00:00"/>
    <s v="CUST0098"/>
    <x v="43"/>
    <x v="1"/>
    <s v="Maharashtra"/>
    <x v="1"/>
    <x v="6"/>
    <n v="3"/>
    <n v="3855"/>
    <n v="2167.71"/>
    <n v="1687.29"/>
    <n v="0.43768871595330738"/>
    <x v="5"/>
    <x v="1"/>
  </r>
  <r>
    <s v="ORD01165"/>
    <d v="2025-04-30T00:00:00"/>
    <s v="CUST0104"/>
    <x v="233"/>
    <x v="1"/>
    <s v="Maharashtra"/>
    <x v="1"/>
    <x v="6"/>
    <n v="9"/>
    <n v="27981"/>
    <n v="17920.23"/>
    <n v="10060.77"/>
    <n v="0.35955719952825133"/>
    <x v="0"/>
    <x v="1"/>
  </r>
  <r>
    <s v="ORD01166"/>
    <d v="2024-09-15T00:00:00"/>
    <s v="CUST0287"/>
    <x v="148"/>
    <x v="2"/>
    <s v="Karnataka"/>
    <x v="1"/>
    <x v="11"/>
    <n v="4"/>
    <n v="14900"/>
    <n v="10655.72"/>
    <n v="4244.28"/>
    <n v="0.28485100671140939"/>
    <x v="1"/>
    <x v="0"/>
  </r>
  <r>
    <s v="ORD01167"/>
    <d v="2025-03-05T00:00:00"/>
    <s v="CUST0269"/>
    <x v="180"/>
    <x v="3"/>
    <s v="Odisha"/>
    <x v="0"/>
    <x v="2"/>
    <n v="2"/>
    <n v="7744"/>
    <n v="4416.5"/>
    <n v="3327.5"/>
    <n v="0.4296875"/>
    <x v="7"/>
    <x v="1"/>
  </r>
  <r>
    <s v="ORD01168"/>
    <d v="2025-08-02T00:00:00"/>
    <s v="CUST0032"/>
    <x v="86"/>
    <x v="0"/>
    <s v="Delhi"/>
    <x v="0"/>
    <x v="8"/>
    <n v="5"/>
    <n v="6780"/>
    <n v="4318.16"/>
    <n v="2461.84"/>
    <n v="0.36310324483775813"/>
    <x v="2"/>
    <x v="1"/>
  </r>
  <r>
    <s v="ORD01169"/>
    <d v="2024-06-18T00:00:00"/>
    <s v="CUST0225"/>
    <x v="135"/>
    <x v="1"/>
    <s v="Gujarat"/>
    <x v="0"/>
    <x v="2"/>
    <n v="9"/>
    <n v="40554"/>
    <n v="34124.629999999997"/>
    <n v="6429.37"/>
    <n v="0.15853849188736005"/>
    <x v="4"/>
    <x v="0"/>
  </r>
  <r>
    <s v="ORD01170"/>
    <d v="2024-01-04T00:00:00"/>
    <s v="CUST0082"/>
    <x v="230"/>
    <x v="1"/>
    <s v="Rajasthan"/>
    <x v="2"/>
    <x v="3"/>
    <n v="7"/>
    <n v="17668"/>
    <n v="10814.18"/>
    <n v="6853.82"/>
    <n v="0.38792279827937515"/>
    <x v="8"/>
    <x v="0"/>
  </r>
  <r>
    <s v="ORD01171"/>
    <d v="2025-12-25T00:00:00"/>
    <s v="CUST0269"/>
    <x v="288"/>
    <x v="2"/>
    <s v="Telangana"/>
    <x v="0"/>
    <x v="0"/>
    <n v="1"/>
    <n v="4500"/>
    <n v="3089.85"/>
    <n v="1410.15"/>
    <n v="0.31336666666666668"/>
    <x v="3"/>
    <x v="1"/>
  </r>
  <r>
    <s v="ORD01172"/>
    <d v="2024-08-17T00:00:00"/>
    <s v="CUST0024"/>
    <x v="233"/>
    <x v="3"/>
    <s v="West Bengal"/>
    <x v="3"/>
    <x v="10"/>
    <n v="5"/>
    <n v="24115"/>
    <n v="14124.9"/>
    <n v="9990.1"/>
    <n v="0.41426912709931579"/>
    <x v="2"/>
    <x v="0"/>
  </r>
  <r>
    <s v="ORD01173"/>
    <d v="2024-10-03T00:00:00"/>
    <s v="CUST0027"/>
    <x v="22"/>
    <x v="2"/>
    <s v="Tamil Nadu"/>
    <x v="1"/>
    <x v="1"/>
    <n v="3"/>
    <n v="7725"/>
    <n v="6397.65"/>
    <n v="1327.35"/>
    <n v="0.1718252427184466"/>
    <x v="10"/>
    <x v="0"/>
  </r>
  <r>
    <s v="ORD01174"/>
    <d v="2025-01-12T00:00:00"/>
    <s v="CUST0167"/>
    <x v="289"/>
    <x v="2"/>
    <s v="Telangana"/>
    <x v="1"/>
    <x v="6"/>
    <n v="1"/>
    <n v="3146"/>
    <n v="2327.4299999999998"/>
    <n v="818.57"/>
    <n v="0.26019389701207885"/>
    <x v="8"/>
    <x v="1"/>
  </r>
  <r>
    <s v="ORD01175"/>
    <d v="2024-02-28T00:00:00"/>
    <s v="CUST0006"/>
    <x v="248"/>
    <x v="3"/>
    <s v="Bihar"/>
    <x v="1"/>
    <x v="11"/>
    <n v="7"/>
    <n v="19005"/>
    <n v="12303.66"/>
    <n v="6701.34"/>
    <n v="0.35260931333859513"/>
    <x v="9"/>
    <x v="0"/>
  </r>
  <r>
    <s v="ORD01176"/>
    <d v="2025-07-04T00:00:00"/>
    <s v="CUST0299"/>
    <x v="193"/>
    <x v="2"/>
    <s v="Telangana"/>
    <x v="3"/>
    <x v="10"/>
    <n v="3"/>
    <n v="7191"/>
    <n v="6051.09"/>
    <n v="1139.9100000000001"/>
    <n v="0.15851898206090947"/>
    <x v="11"/>
    <x v="1"/>
  </r>
  <r>
    <s v="ORD01177"/>
    <d v="2025-03-28T00:00:00"/>
    <s v="CUST0113"/>
    <x v="260"/>
    <x v="1"/>
    <s v="Rajasthan"/>
    <x v="3"/>
    <x v="10"/>
    <n v="10"/>
    <n v="48120"/>
    <n v="29442.11"/>
    <n v="18677.89"/>
    <n v="0.38815232751454698"/>
    <x v="7"/>
    <x v="1"/>
  </r>
  <r>
    <s v="ORD01178"/>
    <d v="2025-03-20T00:00:00"/>
    <s v="CUST0189"/>
    <x v="160"/>
    <x v="3"/>
    <s v="West Bengal"/>
    <x v="0"/>
    <x v="8"/>
    <n v="7"/>
    <n v="11025"/>
    <n v="7539.08"/>
    <n v="3485.92"/>
    <n v="0.31618321995464854"/>
    <x v="7"/>
    <x v="1"/>
  </r>
  <r>
    <s v="ORD01179"/>
    <d v="2024-06-29T00:00:00"/>
    <s v="CUST0097"/>
    <x v="239"/>
    <x v="1"/>
    <s v="Maharashtra"/>
    <x v="2"/>
    <x v="9"/>
    <n v="3"/>
    <n v="12189"/>
    <n v="7380.54"/>
    <n v="4808.46"/>
    <n v="0.39449175486094018"/>
    <x v="4"/>
    <x v="0"/>
  </r>
  <r>
    <s v="ORD01180"/>
    <d v="2024-06-30T00:00:00"/>
    <s v="CUST0202"/>
    <x v="255"/>
    <x v="1"/>
    <s v="Rajasthan"/>
    <x v="1"/>
    <x v="11"/>
    <n v="5"/>
    <n v="2360"/>
    <n v="1517.59"/>
    <n v="842.41"/>
    <n v="0.35695338983050845"/>
    <x v="4"/>
    <x v="0"/>
  </r>
  <r>
    <s v="ORD01181"/>
    <d v="2025-10-22T00:00:00"/>
    <s v="CUST0207"/>
    <x v="250"/>
    <x v="0"/>
    <s v="Delhi"/>
    <x v="1"/>
    <x v="6"/>
    <n v="7"/>
    <n v="16163"/>
    <n v="11096.02"/>
    <n v="5066.9799999999996"/>
    <n v="0.31349254470085997"/>
    <x v="10"/>
    <x v="1"/>
  </r>
  <r>
    <s v="ORD01182"/>
    <d v="2024-01-22T00:00:00"/>
    <s v="CUST0057"/>
    <x v="61"/>
    <x v="2"/>
    <s v="Telangana"/>
    <x v="1"/>
    <x v="1"/>
    <n v="10"/>
    <n v="11160"/>
    <n v="7403.13"/>
    <n v="3756.87"/>
    <n v="0.33663709677419351"/>
    <x v="8"/>
    <x v="0"/>
  </r>
  <r>
    <s v="ORD01183"/>
    <d v="2025-10-04T00:00:00"/>
    <s v="CUST0007"/>
    <x v="166"/>
    <x v="0"/>
    <s v="Delhi"/>
    <x v="3"/>
    <x v="7"/>
    <n v="2"/>
    <n v="4984"/>
    <n v="2954.47"/>
    <n v="2029.53"/>
    <n v="0.40720906902086679"/>
    <x v="10"/>
    <x v="1"/>
  </r>
  <r>
    <s v="ORD01184"/>
    <d v="2025-05-06T00:00:00"/>
    <s v="CUST0289"/>
    <x v="92"/>
    <x v="0"/>
    <s v="Haryana"/>
    <x v="0"/>
    <x v="0"/>
    <n v="6"/>
    <n v="5976"/>
    <n v="3649.52"/>
    <n v="2326.48"/>
    <n v="0.38930388219544848"/>
    <x v="6"/>
    <x v="1"/>
  </r>
  <r>
    <s v="ORD01185"/>
    <d v="2025-07-10T00:00:00"/>
    <s v="CUST0137"/>
    <x v="30"/>
    <x v="2"/>
    <s v="Tamil Nadu"/>
    <x v="3"/>
    <x v="4"/>
    <n v="8"/>
    <n v="12520"/>
    <n v="7801.75"/>
    <n v="4718.25"/>
    <n v="0.37685702875399363"/>
    <x v="11"/>
    <x v="1"/>
  </r>
  <r>
    <s v="ORD01186"/>
    <d v="2025-06-07T00:00:00"/>
    <s v="CUST0213"/>
    <x v="225"/>
    <x v="0"/>
    <s v="Delhi"/>
    <x v="1"/>
    <x v="1"/>
    <n v="2"/>
    <n v="9522"/>
    <n v="6084.76"/>
    <n v="3437.24"/>
    <n v="0.36097878596933414"/>
    <x v="4"/>
    <x v="1"/>
  </r>
  <r>
    <s v="ORD01187"/>
    <d v="2024-12-27T00:00:00"/>
    <s v="CUST0147"/>
    <x v="164"/>
    <x v="0"/>
    <s v="Delhi"/>
    <x v="1"/>
    <x v="1"/>
    <n v="4"/>
    <n v="15196"/>
    <n v="10114.68"/>
    <n v="5081.32"/>
    <n v="0.33438536456962359"/>
    <x v="3"/>
    <x v="0"/>
  </r>
  <r>
    <s v="ORD01188"/>
    <d v="2024-04-22T00:00:00"/>
    <s v="CUST0115"/>
    <x v="284"/>
    <x v="1"/>
    <s v="Rajasthan"/>
    <x v="0"/>
    <x v="0"/>
    <n v="2"/>
    <n v="8656"/>
    <n v="5201.1099999999997"/>
    <n v="3454.89"/>
    <n v="0.39913239371534193"/>
    <x v="0"/>
    <x v="0"/>
  </r>
  <r>
    <s v="ORD01189"/>
    <d v="2024-03-27T00:00:00"/>
    <s v="CUST0023"/>
    <x v="161"/>
    <x v="3"/>
    <s v="Odisha"/>
    <x v="1"/>
    <x v="6"/>
    <n v="10"/>
    <n v="30330"/>
    <n v="17758.38"/>
    <n v="12571.62"/>
    <n v="0.41449455984174088"/>
    <x v="7"/>
    <x v="0"/>
  </r>
  <r>
    <s v="ORD01190"/>
    <d v="2024-06-02T00:00:00"/>
    <s v="CUST0155"/>
    <x v="156"/>
    <x v="2"/>
    <s v="Tamil Nadu"/>
    <x v="2"/>
    <x v="5"/>
    <n v="6"/>
    <n v="10710"/>
    <n v="8073.52"/>
    <n v="2636.48"/>
    <n v="0.24616993464052286"/>
    <x v="4"/>
    <x v="0"/>
  </r>
  <r>
    <s v="ORD01191"/>
    <d v="2025-12-29T00:00:00"/>
    <s v="CUST0040"/>
    <x v="87"/>
    <x v="3"/>
    <s v="West Bengal"/>
    <x v="3"/>
    <x v="10"/>
    <n v="8"/>
    <n v="26584"/>
    <n v="22061.119999999999"/>
    <n v="4522.88"/>
    <n v="0.1701354198013843"/>
    <x v="3"/>
    <x v="1"/>
  </r>
  <r>
    <s v="ORD01192"/>
    <d v="2025-05-04T00:00:00"/>
    <s v="CUST0035"/>
    <x v="238"/>
    <x v="2"/>
    <s v="Telangana"/>
    <x v="1"/>
    <x v="11"/>
    <n v="6"/>
    <n v="9060"/>
    <n v="6044.65"/>
    <n v="3015.35"/>
    <n v="0.33282008830022075"/>
    <x v="6"/>
    <x v="1"/>
  </r>
  <r>
    <s v="ORD01193"/>
    <d v="2024-05-10T00:00:00"/>
    <s v="CUST0094"/>
    <x v="12"/>
    <x v="1"/>
    <s v="Rajasthan"/>
    <x v="3"/>
    <x v="10"/>
    <n v="3"/>
    <n v="3120"/>
    <n v="2018.38"/>
    <n v="1101.6199999999999"/>
    <n v="0.3530833333333333"/>
    <x v="6"/>
    <x v="0"/>
  </r>
  <r>
    <s v="ORD01194"/>
    <d v="2025-02-27T00:00:00"/>
    <s v="CUST0171"/>
    <x v="99"/>
    <x v="3"/>
    <s v="Odisha"/>
    <x v="2"/>
    <x v="9"/>
    <n v="7"/>
    <n v="29694"/>
    <n v="22508.83"/>
    <n v="7185.17"/>
    <n v="0.24197379942075842"/>
    <x v="9"/>
    <x v="1"/>
  </r>
  <r>
    <s v="ORD01195"/>
    <d v="2025-05-19T00:00:00"/>
    <s v="CUST0273"/>
    <x v="13"/>
    <x v="2"/>
    <s v="Tamil Nadu"/>
    <x v="2"/>
    <x v="3"/>
    <n v="9"/>
    <n v="39348"/>
    <n v="28000.99"/>
    <n v="11347.01"/>
    <n v="0.28837577513469553"/>
    <x v="6"/>
    <x v="1"/>
  </r>
  <r>
    <s v="ORD01196"/>
    <d v="2025-12-11T00:00:00"/>
    <s v="CUST0113"/>
    <x v="0"/>
    <x v="2"/>
    <s v="Tamil Nadu"/>
    <x v="1"/>
    <x v="6"/>
    <n v="10"/>
    <n v="37550"/>
    <n v="26588.55"/>
    <n v="10961.45"/>
    <n v="0.29191611185086552"/>
    <x v="3"/>
    <x v="1"/>
  </r>
  <r>
    <s v="ORD01197"/>
    <d v="2025-04-30T00:00:00"/>
    <s v="CUST0069"/>
    <x v="159"/>
    <x v="2"/>
    <s v="Tamil Nadu"/>
    <x v="1"/>
    <x v="1"/>
    <n v="4"/>
    <n v="1760"/>
    <n v="1159.3499999999999"/>
    <n v="600.65"/>
    <n v="0.34127840909090906"/>
    <x v="0"/>
    <x v="1"/>
  </r>
  <r>
    <s v="ORD01198"/>
    <d v="2025-07-18T00:00:00"/>
    <s v="CUST0216"/>
    <x v="187"/>
    <x v="0"/>
    <s v="Punjab"/>
    <x v="3"/>
    <x v="4"/>
    <n v="3"/>
    <n v="8142"/>
    <n v="5602.64"/>
    <n v="2539.36"/>
    <n v="0.31188405797101448"/>
    <x v="11"/>
    <x v="1"/>
  </r>
  <r>
    <s v="ORD01199"/>
    <d v="2025-12-21T00:00:00"/>
    <s v="CUST0074"/>
    <x v="226"/>
    <x v="2"/>
    <s v="Karnataka"/>
    <x v="1"/>
    <x v="1"/>
    <n v="3"/>
    <n v="3780"/>
    <n v="3169.97"/>
    <n v="610.03"/>
    <n v="0.16138359788359788"/>
    <x v="3"/>
    <x v="1"/>
  </r>
  <r>
    <s v="ORD01200"/>
    <d v="2025-11-09T00:00:00"/>
    <s v="CUST0298"/>
    <x v="182"/>
    <x v="0"/>
    <s v="Haryana"/>
    <x v="2"/>
    <x v="3"/>
    <n v="6"/>
    <n v="4458"/>
    <n v="3389.95"/>
    <n v="1068.05"/>
    <n v="0.23958052938537461"/>
    <x v="5"/>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0C5BC9-6F72-44C1-A9EE-B00B528ADDA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L8" firstHeaderRow="0" firstDataRow="1" firstDataCol="1"/>
  <pivotFields count="15">
    <pivotField showAll="0"/>
    <pivotField numFmtId="14" showAll="0"/>
    <pivotField showAll="0"/>
    <pivotField showAll="0"/>
    <pivotField showAll="0">
      <items count="5">
        <item x="3"/>
        <item x="0"/>
        <item x="2"/>
        <item x="1"/>
        <item t="default"/>
      </items>
    </pivotField>
    <pivotField showAll="0"/>
    <pivotField axis="axisRow" showAll="0">
      <items count="5">
        <item x="2"/>
        <item x="1"/>
        <item x="3"/>
        <item x="0"/>
        <item t="default"/>
      </items>
    </pivotField>
    <pivotField showAll="0"/>
    <pivotField numFmtId="1" showAll="0"/>
    <pivotField dataField="1" numFmtId="1" showAll="0"/>
    <pivotField numFmtId="1" showAll="0"/>
    <pivotField dataField="1" numFmtId="1" showAll="0"/>
    <pivotField numFmtId="9" showAll="0"/>
    <pivotField showAll="0"/>
    <pivotField numFmtId="1" showAll="0">
      <items count="3">
        <item x="0"/>
        <item x="1"/>
        <item t="default"/>
      </items>
    </pivotField>
  </pivotFields>
  <rowFields count="1">
    <field x="6"/>
  </rowFields>
  <rowItems count="5">
    <i>
      <x/>
    </i>
    <i>
      <x v="1"/>
    </i>
    <i>
      <x v="2"/>
    </i>
    <i>
      <x v="3"/>
    </i>
    <i t="grand">
      <x/>
    </i>
  </rowItems>
  <colFields count="1">
    <field x="-2"/>
  </colFields>
  <colItems count="2">
    <i>
      <x/>
    </i>
    <i i="1">
      <x v="1"/>
    </i>
  </colItems>
  <dataFields count="2">
    <dataField name="Sum of Profit" fld="11" baseField="0" baseItem="0" numFmtId="1"/>
    <dataField name="Sum of Sales"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287DF8-F195-4B6C-923B-A9F61052EF2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9:B32" firstHeaderRow="1" firstDataRow="1" firstDataCol="1"/>
  <pivotFields count="15">
    <pivotField showAll="0"/>
    <pivotField numFmtId="14" showAll="0"/>
    <pivotField showAll="0"/>
    <pivotField showAll="0"/>
    <pivotField showAll="0">
      <items count="5">
        <item x="3"/>
        <item x="0"/>
        <item x="2"/>
        <item x="1"/>
        <item t="default"/>
      </items>
    </pivotField>
    <pivotField showAll="0"/>
    <pivotField showAll="0">
      <items count="5">
        <item x="2"/>
        <item x="1"/>
        <item x="3"/>
        <item x="0"/>
        <item t="default"/>
      </items>
    </pivotField>
    <pivotField axis="axisRow" showAll="0" sortType="ascending">
      <items count="13">
        <item x="4"/>
        <item x="2"/>
        <item x="10"/>
        <item x="11"/>
        <item x="5"/>
        <item x="9"/>
        <item x="1"/>
        <item x="8"/>
        <item x="7"/>
        <item x="6"/>
        <item x="3"/>
        <item x="0"/>
        <item t="default"/>
      </items>
      <autoSortScope>
        <pivotArea dataOnly="0" outline="0" fieldPosition="0">
          <references count="1">
            <reference field="4294967294" count="1" selected="0">
              <x v="0"/>
            </reference>
          </references>
        </pivotArea>
      </autoSortScope>
    </pivotField>
    <pivotField numFmtId="1" showAll="0"/>
    <pivotField dataField="1" numFmtId="1" showAll="0"/>
    <pivotField numFmtId="1" showAll="0"/>
    <pivotField numFmtId="1" showAll="0"/>
    <pivotField numFmtId="9" showAll="0"/>
    <pivotField showAll="0"/>
    <pivotField numFmtId="1" showAll="0">
      <items count="3">
        <item x="0"/>
        <item x="1"/>
        <item t="default"/>
      </items>
    </pivotField>
  </pivotFields>
  <rowFields count="1">
    <field x="7"/>
  </rowFields>
  <rowItems count="13">
    <i>
      <x v="8"/>
    </i>
    <i>
      <x/>
    </i>
    <i>
      <x v="7"/>
    </i>
    <i>
      <x v="6"/>
    </i>
    <i>
      <x v="9"/>
    </i>
    <i>
      <x v="3"/>
    </i>
    <i>
      <x v="5"/>
    </i>
    <i>
      <x v="11"/>
    </i>
    <i>
      <x v="2"/>
    </i>
    <i>
      <x v="4"/>
    </i>
    <i>
      <x v="10"/>
    </i>
    <i>
      <x v="1"/>
    </i>
    <i t="grand">
      <x/>
    </i>
  </rowItems>
  <colItems count="1">
    <i/>
  </colItems>
  <dataFields count="1">
    <dataField name="Sum of Sales" fld="9" baseField="0" baseItem="0" numFmtId="1"/>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AFB78C7-2295-4B04-B280-C6320CD5DB6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5">
    <pivotField showAll="0"/>
    <pivotField numFmtId="14" showAll="0"/>
    <pivotField showAll="0"/>
    <pivotField showAll="0"/>
    <pivotField axis="axisRow" showAll="0">
      <items count="5">
        <item x="3"/>
        <item x="0"/>
        <item x="2"/>
        <item x="1"/>
        <item t="default"/>
      </items>
    </pivotField>
    <pivotField showAll="0"/>
    <pivotField showAll="0">
      <items count="5">
        <item x="2"/>
        <item x="1"/>
        <item x="3"/>
        <item x="0"/>
        <item t="default"/>
      </items>
    </pivotField>
    <pivotField showAll="0"/>
    <pivotField numFmtId="1" showAll="0"/>
    <pivotField dataField="1" numFmtId="1" showAll="0"/>
    <pivotField numFmtId="1" showAll="0"/>
    <pivotField numFmtId="1" showAll="0"/>
    <pivotField numFmtId="9" showAll="0"/>
    <pivotField showAll="0"/>
    <pivotField numFmtId="1" showAll="0">
      <items count="3">
        <item x="0"/>
        <item x="1"/>
        <item t="default"/>
      </items>
    </pivotField>
  </pivotFields>
  <rowFields count="1">
    <field x="4"/>
  </rowFields>
  <rowItems count="5">
    <i>
      <x/>
    </i>
    <i>
      <x v="1"/>
    </i>
    <i>
      <x v="2"/>
    </i>
    <i>
      <x v="3"/>
    </i>
    <i t="grand">
      <x/>
    </i>
  </rowItems>
  <colItems count="1">
    <i/>
  </colItems>
  <dataFields count="1">
    <dataField name="Sum of Sales" fld="9" baseField="0" baseItem="0" numFmtId="1"/>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368FC8A-122E-4E69-9E9E-A64599D2494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H294" firstHeaderRow="1" firstDataRow="1" firstDataCol="1"/>
  <pivotFields count="15">
    <pivotField showAll="0"/>
    <pivotField numFmtId="14" showAll="0"/>
    <pivotField showAll="0"/>
    <pivotField axis="axisRow" showAll="0" sortType="descending">
      <items count="291">
        <item x="82"/>
        <item x="87"/>
        <item x="139"/>
        <item x="2"/>
        <item x="166"/>
        <item x="199"/>
        <item x="61"/>
        <item x="108"/>
        <item x="67"/>
        <item x="123"/>
        <item x="142"/>
        <item x="178"/>
        <item x="275"/>
        <item x="56"/>
        <item x="39"/>
        <item x="153"/>
        <item x="249"/>
        <item x="257"/>
        <item x="81"/>
        <item x="157"/>
        <item x="130"/>
        <item x="286"/>
        <item x="5"/>
        <item x="207"/>
        <item x="229"/>
        <item x="83"/>
        <item x="211"/>
        <item x="174"/>
        <item x="26"/>
        <item x="206"/>
        <item x="131"/>
        <item x="140"/>
        <item x="219"/>
        <item x="143"/>
        <item x="58"/>
        <item x="19"/>
        <item x="182"/>
        <item x="90"/>
        <item x="173"/>
        <item x="147"/>
        <item x="51"/>
        <item x="289"/>
        <item x="72"/>
        <item x="0"/>
        <item x="194"/>
        <item x="120"/>
        <item x="3"/>
        <item x="168"/>
        <item x="116"/>
        <item x="113"/>
        <item x="250"/>
        <item x="284"/>
        <item x="31"/>
        <item x="193"/>
        <item x="217"/>
        <item x="159"/>
        <item x="238"/>
        <item x="71"/>
        <item x="287"/>
        <item x="235"/>
        <item x="18"/>
        <item x="84"/>
        <item x="4"/>
        <item x="17"/>
        <item x="274"/>
        <item x="151"/>
        <item x="262"/>
        <item x="177"/>
        <item x="176"/>
        <item x="99"/>
        <item x="158"/>
        <item x="225"/>
        <item x="141"/>
        <item x="138"/>
        <item x="160"/>
        <item x="228"/>
        <item x="161"/>
        <item x="171"/>
        <item x="36"/>
        <item x="74"/>
        <item x="50"/>
        <item x="15"/>
        <item x="6"/>
        <item x="23"/>
        <item x="198"/>
        <item x="196"/>
        <item x="94"/>
        <item x="127"/>
        <item x="265"/>
        <item x="272"/>
        <item x="240"/>
        <item x="119"/>
        <item x="282"/>
        <item x="254"/>
        <item x="146"/>
        <item x="255"/>
        <item x="86"/>
        <item x="43"/>
        <item x="245"/>
        <item x="197"/>
        <item x="59"/>
        <item x="37"/>
        <item x="222"/>
        <item x="155"/>
        <item x="201"/>
        <item x="73"/>
        <item x="205"/>
        <item x="9"/>
        <item x="29"/>
        <item x="252"/>
        <item x="172"/>
        <item x="122"/>
        <item x="200"/>
        <item x="223"/>
        <item x="164"/>
        <item x="227"/>
        <item x="8"/>
        <item x="95"/>
        <item x="103"/>
        <item x="137"/>
        <item x="181"/>
        <item x="16"/>
        <item x="66"/>
        <item x="187"/>
        <item x="7"/>
        <item x="285"/>
        <item x="22"/>
        <item x="256"/>
        <item x="186"/>
        <item x="41"/>
        <item x="280"/>
        <item x="288"/>
        <item x="183"/>
        <item x="14"/>
        <item x="102"/>
        <item x="253"/>
        <item x="63"/>
        <item x="277"/>
        <item x="145"/>
        <item x="129"/>
        <item x="107"/>
        <item x="278"/>
        <item x="220"/>
        <item x="75"/>
        <item x="70"/>
        <item x="156"/>
        <item x="91"/>
        <item x="124"/>
        <item x="85"/>
        <item x="69"/>
        <item x="154"/>
        <item x="251"/>
        <item x="273"/>
        <item x="44"/>
        <item x="68"/>
        <item x="175"/>
        <item x="266"/>
        <item x="170"/>
        <item x="25"/>
        <item x="189"/>
        <item x="281"/>
        <item x="231"/>
        <item x="78"/>
        <item x="260"/>
        <item x="57"/>
        <item x="38"/>
        <item x="242"/>
        <item x="283"/>
        <item x="214"/>
        <item x="114"/>
        <item x="65"/>
        <item x="32"/>
        <item x="40"/>
        <item x="148"/>
        <item x="259"/>
        <item x="134"/>
        <item x="247"/>
        <item x="248"/>
        <item x="93"/>
        <item x="208"/>
        <item x="125"/>
        <item x="35"/>
        <item x="100"/>
        <item x="118"/>
        <item x="105"/>
        <item x="115"/>
        <item x="246"/>
        <item x="226"/>
        <item x="64"/>
        <item x="243"/>
        <item x="12"/>
        <item x="232"/>
        <item x="241"/>
        <item x="224"/>
        <item x="263"/>
        <item x="126"/>
        <item x="144"/>
        <item x="47"/>
        <item x="215"/>
        <item x="77"/>
        <item x="55"/>
        <item x="52"/>
        <item x="133"/>
        <item x="117"/>
        <item x="195"/>
        <item x="165"/>
        <item x="54"/>
        <item x="109"/>
        <item x="21"/>
        <item x="76"/>
        <item x="237"/>
        <item x="209"/>
        <item x="279"/>
        <item x="192"/>
        <item x="62"/>
        <item x="80"/>
        <item x="132"/>
        <item x="89"/>
        <item x="33"/>
        <item x="92"/>
        <item x="169"/>
        <item x="128"/>
        <item x="150"/>
        <item x="110"/>
        <item x="264"/>
        <item x="96"/>
        <item x="28"/>
        <item x="179"/>
        <item x="269"/>
        <item x="104"/>
        <item x="101"/>
        <item x="268"/>
        <item x="270"/>
        <item x="20"/>
        <item x="46"/>
        <item x="210"/>
        <item x="111"/>
        <item x="236"/>
        <item x="88"/>
        <item x="258"/>
        <item x="24"/>
        <item x="202"/>
        <item x="216"/>
        <item x="11"/>
        <item x="204"/>
        <item x="98"/>
        <item x="184"/>
        <item x="191"/>
        <item x="180"/>
        <item x="185"/>
        <item x="42"/>
        <item x="135"/>
        <item x="45"/>
        <item x="218"/>
        <item x="244"/>
        <item x="213"/>
        <item x="48"/>
        <item x="234"/>
        <item x="27"/>
        <item x="167"/>
        <item x="149"/>
        <item x="212"/>
        <item x="162"/>
        <item x="233"/>
        <item x="13"/>
        <item x="10"/>
        <item x="136"/>
        <item x="276"/>
        <item x="30"/>
        <item x="34"/>
        <item x="112"/>
        <item x="221"/>
        <item x="188"/>
        <item x="106"/>
        <item x="203"/>
        <item x="163"/>
        <item x="49"/>
        <item x="1"/>
        <item x="190"/>
        <item x="60"/>
        <item x="121"/>
        <item x="239"/>
        <item x="230"/>
        <item x="267"/>
        <item x="97"/>
        <item x="79"/>
        <item x="271"/>
        <item x="152"/>
        <item x="261"/>
        <item x="53"/>
        <item t="default"/>
      </items>
      <autoSortScope>
        <pivotArea dataOnly="0" outline="0" fieldPosition="0">
          <references count="1">
            <reference field="4294967294" count="1" selected="0">
              <x v="0"/>
            </reference>
          </references>
        </pivotArea>
      </autoSortScope>
    </pivotField>
    <pivotField showAll="0">
      <items count="5">
        <item x="3"/>
        <item x="0"/>
        <item x="2"/>
        <item x="1"/>
        <item t="default"/>
      </items>
    </pivotField>
    <pivotField showAll="0"/>
    <pivotField showAll="0">
      <items count="5">
        <item x="2"/>
        <item x="1"/>
        <item x="3"/>
        <item x="0"/>
        <item t="default"/>
      </items>
    </pivotField>
    <pivotField showAll="0"/>
    <pivotField numFmtId="1" showAll="0"/>
    <pivotField dataField="1" numFmtId="1" showAll="0"/>
    <pivotField numFmtId="1" showAll="0"/>
    <pivotField numFmtId="1" showAll="0"/>
    <pivotField numFmtId="9" showAll="0"/>
    <pivotField showAll="0"/>
    <pivotField numFmtId="1" showAll="0">
      <items count="3">
        <item x="0"/>
        <item x="1"/>
        <item t="default"/>
      </items>
    </pivotField>
  </pivotFields>
  <rowFields count="1">
    <field x="3"/>
  </rowFields>
  <rowItems count="291">
    <i>
      <x v="45"/>
    </i>
    <i>
      <x v="69"/>
    </i>
    <i>
      <x v="226"/>
    </i>
    <i>
      <x v="263"/>
    </i>
    <i>
      <x v="159"/>
    </i>
    <i>
      <x v="147"/>
    </i>
    <i>
      <x v="126"/>
    </i>
    <i>
      <x v="183"/>
    </i>
    <i>
      <x v="18"/>
    </i>
    <i>
      <x v="185"/>
    </i>
    <i>
      <x v="162"/>
    </i>
    <i>
      <x v="91"/>
    </i>
    <i>
      <x v="163"/>
    </i>
    <i>
      <x v="158"/>
    </i>
    <i>
      <x v="117"/>
    </i>
    <i>
      <x v="119"/>
    </i>
    <i>
      <x v="95"/>
    </i>
    <i>
      <x v="112"/>
    </i>
    <i>
      <x v="178"/>
    </i>
    <i>
      <x v="182"/>
    </i>
    <i>
      <x v="61"/>
    </i>
    <i>
      <x v="281"/>
    </i>
    <i>
      <x v="262"/>
    </i>
    <i>
      <x v="189"/>
    </i>
    <i>
      <x v="70"/>
    </i>
    <i>
      <x v="153"/>
    </i>
    <i>
      <x v="103"/>
    </i>
    <i>
      <x v="60"/>
    </i>
    <i>
      <x v="214"/>
    </i>
    <i>
      <x v="264"/>
    </i>
    <i>
      <x v="26"/>
    </i>
    <i>
      <x v="146"/>
    </i>
    <i>
      <x v="67"/>
    </i>
    <i>
      <x v="188"/>
    </i>
    <i>
      <x v="206"/>
    </i>
    <i>
      <x v="120"/>
    </i>
    <i>
      <x v="28"/>
    </i>
    <i>
      <x v="11"/>
    </i>
    <i>
      <x v="1"/>
    </i>
    <i>
      <x v="238"/>
    </i>
    <i>
      <x v="86"/>
    </i>
    <i>
      <x v="187"/>
    </i>
    <i>
      <x v="246"/>
    </i>
    <i>
      <x v="237"/>
    </i>
    <i>
      <x v="6"/>
    </i>
    <i>
      <x v="175"/>
    </i>
    <i>
      <x v="10"/>
    </i>
    <i>
      <x v="287"/>
    </i>
    <i>
      <x v="96"/>
    </i>
    <i>
      <x v="243"/>
    </i>
    <i>
      <x v="289"/>
    </i>
    <i>
      <x v="62"/>
    </i>
    <i>
      <x v="166"/>
    </i>
    <i>
      <x v="202"/>
    </i>
    <i>
      <x v="213"/>
    </i>
    <i>
      <x v="54"/>
    </i>
    <i>
      <x v="116"/>
    </i>
    <i>
      <x v="122"/>
    </i>
    <i>
      <x v="82"/>
    </i>
    <i>
      <x v="155"/>
    </i>
    <i>
      <x v="5"/>
    </i>
    <i>
      <x v="43"/>
    </i>
    <i>
      <x v="180"/>
    </i>
    <i>
      <x v="50"/>
    </i>
    <i>
      <x v="181"/>
    </i>
    <i>
      <x v="72"/>
    </i>
    <i>
      <x v="259"/>
    </i>
    <i>
      <x v="225"/>
    </i>
    <i>
      <x v="110"/>
    </i>
    <i>
      <x v="233"/>
    </i>
    <i>
      <x v="38"/>
    </i>
    <i>
      <x v="134"/>
    </i>
    <i>
      <x v="90"/>
    </i>
    <i>
      <x v="121"/>
    </i>
    <i>
      <x v="111"/>
    </i>
    <i>
      <x v="249"/>
    </i>
    <i>
      <x v="14"/>
    </i>
    <i>
      <x v="106"/>
    </i>
    <i>
      <x v="209"/>
    </i>
    <i>
      <x v="140"/>
    </i>
    <i>
      <x v="94"/>
    </i>
    <i>
      <x v="280"/>
    </i>
    <i>
      <x v="108"/>
    </i>
    <i>
      <x v="150"/>
    </i>
    <i>
      <x v="174"/>
    </i>
    <i>
      <x v="136"/>
    </i>
    <i>
      <x v="194"/>
    </i>
    <i>
      <x v="44"/>
    </i>
    <i>
      <x v="87"/>
    </i>
    <i>
      <x v="105"/>
    </i>
    <i>
      <x v="198"/>
    </i>
    <i>
      <x v="141"/>
    </i>
    <i>
      <x v="78"/>
    </i>
    <i>
      <x v="30"/>
    </i>
    <i>
      <x v="273"/>
    </i>
    <i>
      <x v="74"/>
    </i>
    <i>
      <x v="172"/>
    </i>
    <i>
      <x v="191"/>
    </i>
    <i>
      <x v="234"/>
    </i>
    <i>
      <x v="164"/>
    </i>
    <i>
      <x v="179"/>
    </i>
    <i>
      <x v="256"/>
    </i>
    <i>
      <x v="266"/>
    </i>
    <i>
      <x v="230"/>
    </i>
    <i>
      <x v="76"/>
    </i>
    <i>
      <x v="40"/>
    </i>
    <i>
      <x v="49"/>
    </i>
    <i>
      <x v="13"/>
    </i>
    <i>
      <x v="286"/>
    </i>
    <i>
      <x v="56"/>
    </i>
    <i>
      <x v="275"/>
    </i>
    <i>
      <x v="100"/>
    </i>
    <i>
      <x v="20"/>
    </i>
    <i>
      <x v="27"/>
    </i>
    <i>
      <x v="184"/>
    </i>
    <i>
      <x v="71"/>
    </i>
    <i>
      <x v="173"/>
    </i>
    <i>
      <x v="98"/>
    </i>
    <i>
      <x/>
    </i>
    <i>
      <x v="240"/>
    </i>
    <i>
      <x v="261"/>
    </i>
    <i>
      <x v="107"/>
    </i>
    <i>
      <x v="15"/>
    </i>
    <i>
      <x v="274"/>
    </i>
    <i>
      <x v="81"/>
    </i>
    <i>
      <x v="68"/>
    </i>
    <i>
      <x v="145"/>
    </i>
    <i>
      <x v="83"/>
    </i>
    <i>
      <x v="9"/>
    </i>
    <i>
      <x v="223"/>
    </i>
    <i>
      <x v="196"/>
    </i>
    <i>
      <x v="270"/>
    </i>
    <i>
      <x v="251"/>
    </i>
    <i>
      <x v="260"/>
    </i>
    <i>
      <x v="55"/>
    </i>
    <i>
      <x v="171"/>
    </i>
    <i>
      <x v="271"/>
    </i>
    <i>
      <x v="248"/>
    </i>
    <i>
      <x v="244"/>
    </i>
    <i>
      <x v="133"/>
    </i>
    <i>
      <x v="138"/>
    </i>
    <i>
      <x v="252"/>
    </i>
    <i>
      <x v="64"/>
    </i>
    <i>
      <x v="25"/>
    </i>
    <i>
      <x v="224"/>
    </i>
    <i>
      <x v="84"/>
    </i>
    <i>
      <x v="222"/>
    </i>
    <i>
      <x v="268"/>
    </i>
    <i>
      <x v="75"/>
    </i>
    <i>
      <x v="250"/>
    </i>
    <i>
      <x v="113"/>
    </i>
    <i>
      <x v="227"/>
    </i>
    <i>
      <x v="53"/>
    </i>
    <i>
      <x v="228"/>
    </i>
    <i>
      <x v="93"/>
    </i>
    <i>
      <x v="89"/>
    </i>
    <i>
      <x v="186"/>
    </i>
    <i>
      <x v="4"/>
    </i>
    <i>
      <x v="199"/>
    </i>
    <i>
      <x v="269"/>
    </i>
    <i>
      <x v="97"/>
    </i>
    <i>
      <x v="282"/>
    </i>
    <i>
      <x v="165"/>
    </i>
    <i>
      <x v="118"/>
    </i>
    <i>
      <x v="57"/>
    </i>
    <i>
      <x v="190"/>
    </i>
    <i>
      <x v="236"/>
    </i>
    <i>
      <x v="195"/>
    </i>
    <i>
      <x v="208"/>
    </i>
    <i>
      <x v="279"/>
    </i>
    <i>
      <x v="114"/>
    </i>
    <i>
      <x v="220"/>
    </i>
    <i>
      <x v="218"/>
    </i>
    <i>
      <x v="59"/>
    </i>
    <i>
      <x v="104"/>
    </i>
    <i>
      <x v="149"/>
    </i>
    <i>
      <x v="42"/>
    </i>
    <i>
      <x v="88"/>
    </i>
    <i>
      <x v="39"/>
    </i>
    <i>
      <x v="77"/>
    </i>
    <i>
      <x v="284"/>
    </i>
    <i>
      <x v="219"/>
    </i>
    <i>
      <x v="29"/>
    </i>
    <i>
      <x v="285"/>
    </i>
    <i>
      <x v="201"/>
    </i>
    <i>
      <x v="143"/>
    </i>
    <i>
      <x v="3"/>
    </i>
    <i>
      <x v="51"/>
    </i>
    <i>
      <x v="232"/>
    </i>
    <i>
      <x v="33"/>
    </i>
    <i>
      <x v="272"/>
    </i>
    <i>
      <x v="212"/>
    </i>
    <i>
      <x v="23"/>
    </i>
    <i>
      <x v="221"/>
    </i>
    <i>
      <x v="204"/>
    </i>
    <i>
      <x v="52"/>
    </i>
    <i>
      <x v="65"/>
    </i>
    <i>
      <x v="154"/>
    </i>
    <i>
      <x v="7"/>
    </i>
    <i>
      <x v="241"/>
    </i>
    <i>
      <x v="80"/>
    </i>
    <i>
      <x v="24"/>
    </i>
    <i>
      <x v="257"/>
    </i>
    <i>
      <x v="215"/>
    </i>
    <i>
      <x v="85"/>
    </i>
    <i>
      <x v="205"/>
    </i>
    <i>
      <x v="79"/>
    </i>
    <i>
      <x v="124"/>
    </i>
    <i>
      <x v="283"/>
    </i>
    <i>
      <x v="2"/>
    </i>
    <i>
      <x v="63"/>
    </i>
    <i>
      <x v="73"/>
    </i>
    <i>
      <x v="19"/>
    </i>
    <i>
      <x v="168"/>
    </i>
    <i>
      <x v="128"/>
    </i>
    <i>
      <x v="36"/>
    </i>
    <i>
      <x v="265"/>
    </i>
    <i>
      <x v="17"/>
    </i>
    <i>
      <x v="200"/>
    </i>
    <i>
      <x v="132"/>
    </i>
    <i>
      <x v="229"/>
    </i>
    <i>
      <x v="192"/>
    </i>
    <i>
      <x v="46"/>
    </i>
    <i>
      <x v="193"/>
    </i>
    <i>
      <x v="144"/>
    </i>
    <i>
      <x v="177"/>
    </i>
    <i>
      <x v="242"/>
    </i>
    <i>
      <x v="267"/>
    </i>
    <i>
      <x v="99"/>
    </i>
    <i>
      <x v="247"/>
    </i>
    <i>
      <x v="160"/>
    </i>
    <i>
      <x v="125"/>
    </i>
    <i>
      <x v="47"/>
    </i>
    <i>
      <x v="254"/>
    </i>
    <i>
      <x v="22"/>
    </i>
    <i>
      <x v="288"/>
    </i>
    <i>
      <x v="210"/>
    </i>
    <i>
      <x v="258"/>
    </i>
    <i>
      <x v="169"/>
    </i>
    <i>
      <x v="142"/>
    </i>
    <i>
      <x v="66"/>
    </i>
    <i>
      <x v="148"/>
    </i>
    <i>
      <x v="239"/>
    </i>
    <i>
      <x v="157"/>
    </i>
    <i>
      <x v="92"/>
    </i>
    <i>
      <x v="161"/>
    </i>
    <i>
      <x v="8"/>
    </i>
    <i>
      <x v="235"/>
    </i>
    <i>
      <x v="32"/>
    </i>
    <i>
      <x v="216"/>
    </i>
    <i>
      <x v="101"/>
    </i>
    <i>
      <x v="37"/>
    </i>
    <i>
      <x v="245"/>
    </i>
    <i>
      <x v="102"/>
    </i>
    <i>
      <x v="197"/>
    </i>
    <i>
      <x v="34"/>
    </i>
    <i>
      <x v="217"/>
    </i>
    <i>
      <x v="151"/>
    </i>
    <i>
      <x v="16"/>
    </i>
    <i>
      <x v="139"/>
    </i>
    <i>
      <x v="276"/>
    </i>
    <i>
      <x v="123"/>
    </i>
    <i>
      <x v="129"/>
    </i>
    <i>
      <x v="130"/>
    </i>
    <i>
      <x v="137"/>
    </i>
    <i>
      <x v="115"/>
    </i>
    <i>
      <x v="109"/>
    </i>
    <i>
      <x v="203"/>
    </i>
    <i>
      <x v="12"/>
    </i>
    <i>
      <x v="253"/>
    </i>
    <i>
      <x v="170"/>
    </i>
    <i>
      <x v="278"/>
    </i>
    <i>
      <x v="48"/>
    </i>
    <i>
      <x v="135"/>
    </i>
    <i>
      <x v="277"/>
    </i>
    <i>
      <x v="231"/>
    </i>
    <i>
      <x v="35"/>
    </i>
    <i>
      <x v="167"/>
    </i>
    <i>
      <x v="127"/>
    </i>
    <i>
      <x v="31"/>
    </i>
    <i>
      <x v="152"/>
    </i>
    <i>
      <x v="156"/>
    </i>
    <i>
      <x v="255"/>
    </i>
    <i>
      <x v="131"/>
    </i>
    <i>
      <x v="21"/>
    </i>
    <i>
      <x v="41"/>
    </i>
    <i>
      <x v="207"/>
    </i>
    <i>
      <x v="58"/>
    </i>
    <i>
      <x v="211"/>
    </i>
    <i>
      <x v="176"/>
    </i>
    <i t="grand">
      <x/>
    </i>
  </rowItems>
  <colItems count="1">
    <i/>
  </colItems>
  <dataFields count="1">
    <dataField name="Sum of Sales" fld="9"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28AC07-B72C-4527-8022-9AB8AED34C6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1:E24" firstHeaderRow="1" firstDataRow="1" firstDataCol="1"/>
  <pivotFields count="15">
    <pivotField showAll="0"/>
    <pivotField numFmtId="14" showAll="0"/>
    <pivotField showAll="0"/>
    <pivotField showAll="0"/>
    <pivotField showAll="0">
      <items count="5">
        <item x="3"/>
        <item x="0"/>
        <item x="2"/>
        <item x="1"/>
        <item t="default"/>
      </items>
    </pivotField>
    <pivotField showAll="0"/>
    <pivotField showAll="0">
      <items count="5">
        <item x="2"/>
        <item x="1"/>
        <item x="3"/>
        <item x="0"/>
        <item t="default"/>
      </items>
    </pivotField>
    <pivotField showAll="0"/>
    <pivotField numFmtId="1" showAll="0"/>
    <pivotField dataField="1" numFmtId="1" showAll="0"/>
    <pivotField numFmtId="1" showAll="0"/>
    <pivotField numFmtId="1" showAll="0"/>
    <pivotField numFmtId="9" showAll="0"/>
    <pivotField axis="axisRow" showAll="0">
      <items count="13">
        <item x="8"/>
        <item x="9"/>
        <item x="7"/>
        <item x="0"/>
        <item x="6"/>
        <item x="4"/>
        <item x="11"/>
        <item x="2"/>
        <item x="1"/>
        <item x="10"/>
        <item x="5"/>
        <item x="3"/>
        <item t="default"/>
      </items>
    </pivotField>
    <pivotField numFmtId="1" showAll="0">
      <items count="3">
        <item x="0"/>
        <item x="1"/>
        <item t="default"/>
      </items>
    </pivotField>
  </pivotFields>
  <rowFields count="1">
    <field x="13"/>
  </rowFields>
  <rowItems count="13">
    <i>
      <x/>
    </i>
    <i>
      <x v="1"/>
    </i>
    <i>
      <x v="2"/>
    </i>
    <i>
      <x v="3"/>
    </i>
    <i>
      <x v="4"/>
    </i>
    <i>
      <x v="5"/>
    </i>
    <i>
      <x v="6"/>
    </i>
    <i>
      <x v="7"/>
    </i>
    <i>
      <x v="8"/>
    </i>
    <i>
      <x v="9"/>
    </i>
    <i>
      <x v="10"/>
    </i>
    <i>
      <x v="11"/>
    </i>
    <i t="grand">
      <x/>
    </i>
  </rowItems>
  <colItems count="1">
    <i/>
  </colItems>
  <dataFields count="1">
    <dataField name="Sum of Sales" fld="9" baseField="0" baseItem="0" numFmtId="1"/>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625B52-B603-498E-AF32-514E36F88C8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E8" firstHeaderRow="1" firstDataRow="1" firstDataCol="1"/>
  <pivotFields count="15">
    <pivotField showAll="0"/>
    <pivotField numFmtId="14" showAll="0"/>
    <pivotField showAll="0"/>
    <pivotField showAll="0"/>
    <pivotField showAll="0">
      <items count="5">
        <item x="3"/>
        <item x="0"/>
        <item x="2"/>
        <item x="1"/>
        <item t="default"/>
      </items>
    </pivotField>
    <pivotField showAll="0"/>
    <pivotField axis="axisRow" showAll="0">
      <items count="5">
        <item x="2"/>
        <item x="1"/>
        <item x="3"/>
        <item x="0"/>
        <item t="default"/>
      </items>
    </pivotField>
    <pivotField showAll="0"/>
    <pivotField numFmtId="1" showAll="0"/>
    <pivotField dataField="1" numFmtId="1" showAll="0"/>
    <pivotField numFmtId="1" showAll="0"/>
    <pivotField numFmtId="1" showAll="0"/>
    <pivotField numFmtId="9" showAll="0"/>
    <pivotField showAll="0"/>
    <pivotField numFmtId="1" showAll="0">
      <items count="3">
        <item x="0"/>
        <item x="1"/>
        <item t="default"/>
      </items>
    </pivotField>
  </pivotFields>
  <rowFields count="1">
    <field x="6"/>
  </rowFields>
  <rowItems count="5">
    <i>
      <x/>
    </i>
    <i>
      <x v="1"/>
    </i>
    <i>
      <x v="2"/>
    </i>
    <i>
      <x v="3"/>
    </i>
    <i t="grand">
      <x/>
    </i>
  </rowItems>
  <colItems count="1">
    <i/>
  </colItems>
  <dataFields count="1">
    <dataField name="Sum of Sales" fld="9" baseField="0" baseItem="0" numFmtId="1"/>
  </dataFields>
  <chartFormats count="5">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6" count="1" selected="0">
            <x v="0"/>
          </reference>
        </references>
      </pivotArea>
    </chartFormat>
    <chartFormat chart="14" format="8">
      <pivotArea type="data" outline="0" fieldPosition="0">
        <references count="2">
          <reference field="4294967294" count="1" selected="0">
            <x v="0"/>
          </reference>
          <reference field="6" count="1" selected="0">
            <x v="1"/>
          </reference>
        </references>
      </pivotArea>
    </chartFormat>
    <chartFormat chart="14" format="9">
      <pivotArea type="data" outline="0" fieldPosition="0">
        <references count="2">
          <reference field="4294967294" count="1" selected="0">
            <x v="0"/>
          </reference>
          <reference field="6" count="1" selected="0">
            <x v="2"/>
          </reference>
        </references>
      </pivotArea>
    </chartFormat>
    <chartFormat chart="14"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6F84F5-7479-4A7B-96D4-1D3B05F98F1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6" firstHeaderRow="1" firstDataRow="1" firstDataCol="1"/>
  <pivotFields count="15">
    <pivotField showAll="0"/>
    <pivotField numFmtId="14" showAll="0"/>
    <pivotField showAll="0"/>
    <pivotField showAll="0"/>
    <pivotField axis="axisRow" showAll="0">
      <items count="5">
        <item x="3"/>
        <item x="0"/>
        <item x="2"/>
        <item x="1"/>
        <item t="default"/>
      </items>
    </pivotField>
    <pivotField showAll="0"/>
    <pivotField showAll="0">
      <items count="5">
        <item x="2"/>
        <item x="1"/>
        <item x="3"/>
        <item x="0"/>
        <item t="default"/>
      </items>
    </pivotField>
    <pivotField showAll="0"/>
    <pivotField numFmtId="1" showAll="0"/>
    <pivotField numFmtId="1" showAll="0"/>
    <pivotField numFmtId="1" showAll="0"/>
    <pivotField dataField="1" numFmtId="1" showAll="0"/>
    <pivotField numFmtId="9" showAll="0"/>
    <pivotField showAll="0"/>
    <pivotField numFmtId="1" showAll="0">
      <items count="3">
        <item x="0"/>
        <item x="1"/>
        <item t="default"/>
      </items>
    </pivotField>
  </pivotFields>
  <rowFields count="1">
    <field x="4"/>
  </rowFields>
  <rowItems count="5">
    <i>
      <x/>
    </i>
    <i>
      <x v="1"/>
    </i>
    <i>
      <x v="2"/>
    </i>
    <i>
      <x v="3"/>
    </i>
    <i t="grand">
      <x/>
    </i>
  </rowItems>
  <colItems count="1">
    <i/>
  </colItems>
  <dataFields count="1">
    <dataField name="Sum of Profit" fld="11"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DFA8CA91-9B66-4D0B-9C98-C486B3E7DDC2}" sourceName="Year">
  <pivotTables>
    <pivotTable tabId="8" name="PivotTable4"/>
    <pivotTable tabId="8" name="PivotTable1"/>
    <pivotTable tabId="8" name="PivotTable2"/>
    <pivotTable tabId="8" name="PivotTable3"/>
    <pivotTable tabId="8" name="PivotTable5"/>
    <pivotTable tabId="8" name="PivotTable6"/>
    <pivotTable tabId="8" name="PivotTable7"/>
  </pivotTables>
  <data>
    <tabular pivotCacheId="71302750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DAFB5984-8A1F-4550-BE28-E03C3B35576E}" sourceName="Product Category">
  <pivotTables>
    <pivotTable tabId="8" name="PivotTable4"/>
    <pivotTable tabId="8" name="PivotTable1"/>
    <pivotTable tabId="8" name="PivotTable2"/>
    <pivotTable tabId="8" name="PivotTable3"/>
    <pivotTable tabId="8" name="PivotTable5"/>
    <pivotTable tabId="8" name="PivotTable6"/>
    <pivotTable tabId="8" name="PivotTable7"/>
  </pivotTables>
  <data>
    <tabular pivotCacheId="713027502">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285A38F-12A1-4EE6-9B76-1229C5995BBD}" sourceName="Region">
  <pivotTables>
    <pivotTable tabId="8" name="PivotTable4"/>
    <pivotTable tabId="8" name="PivotTable1"/>
    <pivotTable tabId="8" name="PivotTable2"/>
    <pivotTable tabId="8" name="PivotTable3"/>
    <pivotTable tabId="8" name="PivotTable5"/>
    <pivotTable tabId="8" name="PivotTable6"/>
    <pivotTable tabId="8" name="PivotTable7"/>
  </pivotTables>
  <data>
    <tabular pivotCacheId="713027502">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2AF65BB-41E4-4744-952E-AB65A8E10348}" cache="Slicer_Year" caption="Year" rowHeight="234950"/>
  <slicer name="Product Category" xr10:uid="{C706671F-6E52-4B3C-AA83-22726A193506}" cache="Slicer_Product_Category" caption="Product Category" rowHeight="234950"/>
  <slicer name="Region" xr10:uid="{556F38B6-AA8A-4E8F-900A-FE527399751F}"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CE545D1-75C0-4918-9913-E99C2C1F48FB}" name="Table1" displayName="Table1" ref="A1:L1201" totalsRowShown="0">
  <autoFilter ref="A1:L1201" xr:uid="{DCE545D1-75C0-4918-9913-E99C2C1F48FB}"/>
  <tableColumns count="12">
    <tableColumn id="1" xr3:uid="{0F85AAC1-4DB7-4CB5-829D-973231307511}" name="Order ID" dataDxfId="38"/>
    <tableColumn id="2" xr3:uid="{24F5FF72-C69D-4823-B2E7-6998C9077EC4}" name="Order Date" dataDxfId="37"/>
    <tableColumn id="3" xr3:uid="{4838BCEB-4786-411E-A24B-956845CBC71F}" name="Customer ID" dataDxfId="36"/>
    <tableColumn id="4" xr3:uid="{06090CC9-A8FF-4BF4-AF1C-3F9ECED5252F}" name="Customer Name" dataDxfId="35"/>
    <tableColumn id="5" xr3:uid="{1B969E4E-F470-410A-9D4B-41ED150A8741}" name="Region" dataDxfId="34"/>
    <tableColumn id="6" xr3:uid="{A7457E58-1212-4AD9-84EC-7678CC34B8D4}" name="State" dataDxfId="33"/>
    <tableColumn id="7" xr3:uid="{EF8041C3-6287-49DA-9B48-6F6CACDFA962}" name="Product Category" dataDxfId="32"/>
    <tableColumn id="8" xr3:uid="{4A952B20-3168-45A7-BDED-F494AA309C81}" name="Product Name" dataDxfId="31"/>
    <tableColumn id="9" xr3:uid="{E18DC1B2-9694-4F46-9B4C-C29C79EDB7CD}" name="Quantity" dataDxfId="30"/>
    <tableColumn id="10" xr3:uid="{7E15C42B-DE1E-4FA3-A846-2A4E6406DC46}" name="Sales" dataDxfId="29"/>
    <tableColumn id="11" xr3:uid="{39CEF114-AA82-41FF-A7D7-6B5B0BC97DCF}" name="Cost" dataDxfId="28"/>
    <tableColumn id="12" xr3:uid="{5F38921E-C291-4103-B1EB-9CEBCA9619EF}" name="Profit" dataDxfId="2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CBD5C0D-19FB-4198-A689-950FF246E10D}" name="Table13" displayName="Table13" ref="A1:O1201" totalsRowShown="0">
  <autoFilter ref="A1:O1201" xr:uid="{DCE545D1-75C0-4918-9913-E99C2C1F48FB}"/>
  <tableColumns count="15">
    <tableColumn id="1" xr3:uid="{AB5CDC02-2DCF-4D4A-819F-E16BB4A5F279}" name="Order ID" dataDxfId="26"/>
    <tableColumn id="2" xr3:uid="{813F4DBA-79E9-48AA-AA93-D05A7B9120BD}" name="Order Date" dataDxfId="25"/>
    <tableColumn id="3" xr3:uid="{48A11314-217A-4800-A5E5-0FF78D941AC4}" name="Customer ID" dataDxfId="24"/>
    <tableColumn id="4" xr3:uid="{9D610CC0-8BCE-46DA-8033-E7B33FD15609}" name="Customer Name" dataDxfId="23"/>
    <tableColumn id="5" xr3:uid="{9AEC80AD-3BEB-4ACB-ABD5-8204844FA3B0}" name="Region" dataDxfId="22"/>
    <tableColumn id="6" xr3:uid="{894117B2-3CC9-4670-8D2C-D830A4980591}" name="State" dataDxfId="21"/>
    <tableColumn id="7" xr3:uid="{5499B3C9-0D97-4710-8890-80F7F64B31F7}" name="Product Category" dataDxfId="20"/>
    <tableColumn id="8" xr3:uid="{516695C1-740C-4F4C-868D-444FEB283D75}" name="Product Name" dataDxfId="19"/>
    <tableColumn id="9" xr3:uid="{F8707570-EF2C-4DFA-A146-2B6761E26557}" name="Quantity" dataDxfId="18"/>
    <tableColumn id="10" xr3:uid="{62DEB637-5469-4256-B0D3-769D0833D15E}" name="Sales" dataDxfId="17"/>
    <tableColumn id="11" xr3:uid="{0F9E9142-5121-4E95-8347-8E13E5000D65}" name="Cost" dataDxfId="16"/>
    <tableColumn id="12" xr3:uid="{D245D0E5-3971-4397-BA67-12159A2723A8}" name="Profit" dataDxfId="15"/>
    <tableColumn id="14" xr3:uid="{2AF127DE-3E44-4B39-A582-DC42E457FE09}" name="Profit Margin" dataDxfId="14">
      <calculatedColumnFormula>Table13[[#This Row],[Profit]]/Table13[[#This Row],[Sales]]</calculatedColumnFormula>
    </tableColumn>
    <tableColumn id="15" xr3:uid="{251AC662-8C9B-43DA-900F-AF1EE7BE1CFF}" name="Month" dataDxfId="13">
      <calculatedColumnFormula>TEXT(Table13[[#This Row],[Order Date]],"mmm")</calculatedColumnFormula>
    </tableColumn>
    <tableColumn id="16" xr3:uid="{3DEB1060-ABB6-436E-953B-DD7BEF95BFB9}" name="Year" dataDxfId="12">
      <calculatedColumnFormula>YEAR(Table13[[#This Row],[Order Date]])</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ABC88F3-52AB-47CD-9638-22295929CEE3}" name="Table3" displayName="Table3" ref="A1:D6" totalsRowCount="1">
  <autoFilter ref="A1:D5" xr:uid="{4ABC88F3-52AB-47CD-9638-22295929CEE3}"/>
  <tableColumns count="4">
    <tableColumn id="1" xr3:uid="{D2D8E346-2765-4B6C-A0CF-07C60D847D01}" name="Region"/>
    <tableColumn id="2" xr3:uid="{BF2E90C8-7D34-4816-BA25-E0A01E2B8F83}" name="Total Sales" totalsRowFunction="sum"/>
    <tableColumn id="3" xr3:uid="{4BCABB49-B81A-4A79-A181-71573D3EC680}" name="Orders" totalsRowFunction="sum" dataDxfId="11" totalsRowDxfId="10"/>
    <tableColumn id="4" xr3:uid="{3627FA96-A733-4B67-ACA1-5A6110A0F221}" name="Average Sales"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2F65E-4FBE-47DB-91E5-554035574868}">
  <dimension ref="A1:N1201"/>
  <sheetViews>
    <sheetView workbookViewId="0">
      <selection activeCell="C17" sqref="C17"/>
    </sheetView>
  </sheetViews>
  <sheetFormatPr defaultRowHeight="14.4" x14ac:dyDescent="0.3"/>
  <cols>
    <col min="1" max="1" width="9.88671875" style="2" customWidth="1"/>
    <col min="2" max="2" width="12" style="1" customWidth="1"/>
    <col min="3" max="3" width="13.21875" style="2" customWidth="1"/>
    <col min="4" max="4" width="16.44140625" style="2" customWidth="1"/>
    <col min="5" max="5" width="8.6640625" style="2" customWidth="1"/>
    <col min="6" max="6" width="11.44140625" style="2" bestFit="1" customWidth="1"/>
    <col min="7" max="7" width="17.5546875" style="2" customWidth="1"/>
    <col min="8" max="8" width="15" style="2" customWidth="1"/>
    <col min="9" max="12" width="10.33203125" style="3" customWidth="1"/>
  </cols>
  <sheetData>
    <row r="1" spans="1:14" x14ac:dyDescent="0.3">
      <c r="A1" s="2" t="s">
        <v>0</v>
      </c>
      <c r="B1" s="1" t="s">
        <v>1</v>
      </c>
      <c r="C1" s="2" t="s">
        <v>2</v>
      </c>
      <c r="D1" s="2" t="s">
        <v>3</v>
      </c>
      <c r="E1" s="2" t="s">
        <v>4</v>
      </c>
      <c r="F1" s="2" t="s">
        <v>5</v>
      </c>
      <c r="G1" s="2" t="s">
        <v>6</v>
      </c>
      <c r="H1" s="2" t="s">
        <v>7</v>
      </c>
      <c r="I1" s="3" t="s">
        <v>8</v>
      </c>
      <c r="J1" s="3" t="s">
        <v>9</v>
      </c>
      <c r="K1" s="3" t="s">
        <v>10</v>
      </c>
      <c r="L1" s="3" t="s">
        <v>11</v>
      </c>
      <c r="N1" s="3">
        <f>SUM(Table1[Sales])</f>
        <v>17047613</v>
      </c>
    </row>
    <row r="2" spans="1:14" x14ac:dyDescent="0.3">
      <c r="A2" s="4" t="s">
        <v>12</v>
      </c>
      <c r="B2" s="5">
        <v>45396</v>
      </c>
      <c r="C2" s="4" t="s">
        <v>13</v>
      </c>
      <c r="D2" s="4" t="s">
        <v>14</v>
      </c>
      <c r="E2" s="4" t="s">
        <v>15</v>
      </c>
      <c r="F2" s="4" t="s">
        <v>16</v>
      </c>
      <c r="G2" s="4" t="s">
        <v>17</v>
      </c>
      <c r="H2" s="4" t="s">
        <v>18</v>
      </c>
      <c r="I2" s="6">
        <v>5</v>
      </c>
      <c r="J2" s="6">
        <v>11530</v>
      </c>
      <c r="K2" s="6">
        <v>7113.59</v>
      </c>
      <c r="L2" s="6">
        <v>4416.41</v>
      </c>
    </row>
    <row r="3" spans="1:14" x14ac:dyDescent="0.3">
      <c r="A3" s="4" t="s">
        <v>19</v>
      </c>
      <c r="B3" s="5">
        <v>45908</v>
      </c>
      <c r="C3" s="4" t="s">
        <v>20</v>
      </c>
      <c r="D3" s="4" t="s">
        <v>21</v>
      </c>
      <c r="E3" s="4" t="s">
        <v>22</v>
      </c>
      <c r="F3" s="4" t="s">
        <v>23</v>
      </c>
      <c r="G3" s="4" t="s">
        <v>24</v>
      </c>
      <c r="H3" s="4" t="s">
        <v>25</v>
      </c>
      <c r="I3" s="6">
        <v>2</v>
      </c>
      <c r="J3" s="6">
        <v>4182</v>
      </c>
      <c r="K3" s="6">
        <v>2592</v>
      </c>
      <c r="L3" s="6">
        <v>1590</v>
      </c>
    </row>
    <row r="4" spans="1:14" x14ac:dyDescent="0.3">
      <c r="A4" s="4" t="s">
        <v>26</v>
      </c>
      <c r="B4" s="5">
        <v>45895</v>
      </c>
      <c r="C4" s="4" t="s">
        <v>27</v>
      </c>
      <c r="D4" s="4" t="s">
        <v>28</v>
      </c>
      <c r="E4" s="4" t="s">
        <v>29</v>
      </c>
      <c r="F4" s="4" t="s">
        <v>30</v>
      </c>
      <c r="G4" s="4" t="s">
        <v>17</v>
      </c>
      <c r="H4" s="4" t="s">
        <v>31</v>
      </c>
      <c r="I4" s="6">
        <v>9</v>
      </c>
      <c r="J4" s="6">
        <v>33624</v>
      </c>
      <c r="K4" s="6">
        <v>20716.830000000002</v>
      </c>
      <c r="L4" s="6">
        <v>12907.17</v>
      </c>
    </row>
    <row r="5" spans="1:14" x14ac:dyDescent="0.3">
      <c r="A5" s="4" t="s">
        <v>32</v>
      </c>
      <c r="B5" s="5">
        <v>45636</v>
      </c>
      <c r="C5" s="4" t="s">
        <v>33</v>
      </c>
      <c r="D5" s="4" t="s">
        <v>34</v>
      </c>
      <c r="E5" s="4" t="s">
        <v>29</v>
      </c>
      <c r="F5" s="4" t="s">
        <v>30</v>
      </c>
      <c r="G5" s="4" t="s">
        <v>35</v>
      </c>
      <c r="H5" s="4" t="s">
        <v>36</v>
      </c>
      <c r="I5" s="6">
        <v>6</v>
      </c>
      <c r="J5" s="6">
        <v>15456</v>
      </c>
      <c r="K5" s="6">
        <v>9221.73</v>
      </c>
      <c r="L5" s="6">
        <v>6234.27</v>
      </c>
    </row>
    <row r="6" spans="1:14" x14ac:dyDescent="0.3">
      <c r="A6" s="4" t="s">
        <v>37</v>
      </c>
      <c r="B6" s="5">
        <v>45762</v>
      </c>
      <c r="C6" s="4" t="s">
        <v>38</v>
      </c>
      <c r="D6" s="4" t="s">
        <v>39</v>
      </c>
      <c r="E6" s="4" t="s">
        <v>22</v>
      </c>
      <c r="F6" s="4" t="s">
        <v>23</v>
      </c>
      <c r="G6" s="4" t="s">
        <v>40</v>
      </c>
      <c r="H6" s="4" t="s">
        <v>41</v>
      </c>
      <c r="I6" s="6">
        <v>6</v>
      </c>
      <c r="J6" s="6">
        <v>14796</v>
      </c>
      <c r="K6" s="6">
        <v>11720.48</v>
      </c>
      <c r="L6" s="6">
        <v>3075.52</v>
      </c>
    </row>
    <row r="7" spans="1:14" x14ac:dyDescent="0.3">
      <c r="A7" s="4" t="s">
        <v>42</v>
      </c>
      <c r="B7" s="5">
        <v>46013</v>
      </c>
      <c r="C7" s="4" t="s">
        <v>43</v>
      </c>
      <c r="D7" s="4" t="s">
        <v>44</v>
      </c>
      <c r="E7" s="4" t="s">
        <v>22</v>
      </c>
      <c r="F7" s="4" t="s">
        <v>23</v>
      </c>
      <c r="G7" s="4" t="s">
        <v>35</v>
      </c>
      <c r="H7" s="4" t="s">
        <v>45</v>
      </c>
      <c r="I7" s="6">
        <v>5</v>
      </c>
      <c r="J7" s="6">
        <v>16310</v>
      </c>
      <c r="K7" s="6">
        <v>11795.48</v>
      </c>
      <c r="L7" s="6">
        <v>4514.5200000000004</v>
      </c>
    </row>
    <row r="8" spans="1:14" x14ac:dyDescent="0.3">
      <c r="A8" s="4" t="s">
        <v>46</v>
      </c>
      <c r="B8" s="5">
        <v>45756</v>
      </c>
      <c r="C8" s="4" t="s">
        <v>47</v>
      </c>
      <c r="D8" s="4" t="s">
        <v>48</v>
      </c>
      <c r="E8" s="4" t="s">
        <v>29</v>
      </c>
      <c r="F8" s="4" t="s">
        <v>49</v>
      </c>
      <c r="G8" s="4" t="s">
        <v>24</v>
      </c>
      <c r="H8" s="4" t="s">
        <v>50</v>
      </c>
      <c r="I8" s="6">
        <v>4</v>
      </c>
      <c r="J8" s="6">
        <v>4508</v>
      </c>
      <c r="K8" s="6">
        <v>2993.48</v>
      </c>
      <c r="L8" s="6">
        <v>1514.52</v>
      </c>
    </row>
    <row r="9" spans="1:14" x14ac:dyDescent="0.3">
      <c r="A9" s="4" t="s">
        <v>51</v>
      </c>
      <c r="B9" s="5">
        <v>45467</v>
      </c>
      <c r="C9" s="4" t="s">
        <v>52</v>
      </c>
      <c r="D9" s="4" t="s">
        <v>53</v>
      </c>
      <c r="E9" s="4" t="s">
        <v>54</v>
      </c>
      <c r="F9" s="4" t="s">
        <v>55</v>
      </c>
      <c r="G9" s="4" t="s">
        <v>40</v>
      </c>
      <c r="H9" s="4" t="s">
        <v>56</v>
      </c>
      <c r="I9" s="6">
        <v>5</v>
      </c>
      <c r="J9" s="6">
        <v>4420</v>
      </c>
      <c r="K9" s="6">
        <v>3238.71</v>
      </c>
      <c r="L9" s="6">
        <v>1181.29</v>
      </c>
    </row>
    <row r="10" spans="1:14" x14ac:dyDescent="0.3">
      <c r="A10" s="4" t="s">
        <v>57</v>
      </c>
      <c r="B10" s="5">
        <v>45624</v>
      </c>
      <c r="C10" s="4" t="s">
        <v>58</v>
      </c>
      <c r="D10" s="4" t="s">
        <v>59</v>
      </c>
      <c r="E10" s="4" t="s">
        <v>29</v>
      </c>
      <c r="F10" s="4" t="s">
        <v>49</v>
      </c>
      <c r="G10" s="4" t="s">
        <v>35</v>
      </c>
      <c r="H10" s="4" t="s">
        <v>36</v>
      </c>
      <c r="I10" s="6">
        <v>5</v>
      </c>
      <c r="J10" s="6">
        <v>24310</v>
      </c>
      <c r="K10" s="6">
        <v>14972.15</v>
      </c>
      <c r="L10" s="6">
        <v>9337.85</v>
      </c>
    </row>
    <row r="11" spans="1:14" x14ac:dyDescent="0.3">
      <c r="A11" s="4" t="s">
        <v>60</v>
      </c>
      <c r="B11" s="5">
        <v>45872</v>
      </c>
      <c r="C11" s="4" t="s">
        <v>61</v>
      </c>
      <c r="D11" s="4" t="s">
        <v>62</v>
      </c>
      <c r="E11" s="4" t="s">
        <v>15</v>
      </c>
      <c r="F11" s="4" t="s">
        <v>63</v>
      </c>
      <c r="G11" s="4" t="s">
        <v>35</v>
      </c>
      <c r="H11" s="4" t="s">
        <v>36</v>
      </c>
      <c r="I11" s="6">
        <v>5</v>
      </c>
      <c r="J11" s="6">
        <v>4210</v>
      </c>
      <c r="K11" s="6">
        <v>2581.9699999999998</v>
      </c>
      <c r="L11" s="6">
        <v>1628.03</v>
      </c>
    </row>
    <row r="12" spans="1:14" x14ac:dyDescent="0.3">
      <c r="A12" s="4" t="s">
        <v>64</v>
      </c>
      <c r="B12" s="5">
        <v>45544</v>
      </c>
      <c r="C12" s="4" t="s">
        <v>65</v>
      </c>
      <c r="D12" s="4" t="s">
        <v>66</v>
      </c>
      <c r="E12" s="4" t="s">
        <v>22</v>
      </c>
      <c r="F12" s="4" t="s">
        <v>67</v>
      </c>
      <c r="G12" s="4" t="s">
        <v>17</v>
      </c>
      <c r="H12" s="4" t="s">
        <v>31</v>
      </c>
      <c r="I12" s="6">
        <v>8</v>
      </c>
      <c r="J12" s="6">
        <v>11760</v>
      </c>
      <c r="K12" s="6">
        <v>7402.5</v>
      </c>
      <c r="L12" s="6">
        <v>4357.5</v>
      </c>
    </row>
    <row r="13" spans="1:14" x14ac:dyDescent="0.3">
      <c r="A13" s="4" t="s">
        <v>68</v>
      </c>
      <c r="B13" s="5">
        <v>45433</v>
      </c>
      <c r="C13" s="4" t="s">
        <v>69</v>
      </c>
      <c r="D13" s="4" t="s">
        <v>70</v>
      </c>
      <c r="E13" s="4" t="s">
        <v>54</v>
      </c>
      <c r="F13" s="4" t="s">
        <v>71</v>
      </c>
      <c r="G13" s="4" t="s">
        <v>17</v>
      </c>
      <c r="H13" s="4" t="s">
        <v>72</v>
      </c>
      <c r="I13" s="6">
        <v>7</v>
      </c>
      <c r="J13" s="6">
        <v>24997</v>
      </c>
      <c r="K13" s="6">
        <v>16463</v>
      </c>
      <c r="L13" s="6">
        <v>8534</v>
      </c>
    </row>
    <row r="14" spans="1:14" x14ac:dyDescent="0.3">
      <c r="A14" s="4" t="s">
        <v>73</v>
      </c>
      <c r="B14" s="5">
        <v>45724</v>
      </c>
      <c r="C14" s="4" t="s">
        <v>74</v>
      </c>
      <c r="D14" s="4" t="s">
        <v>75</v>
      </c>
      <c r="E14" s="4" t="s">
        <v>15</v>
      </c>
      <c r="F14" s="4" t="s">
        <v>16</v>
      </c>
      <c r="G14" s="4" t="s">
        <v>24</v>
      </c>
      <c r="H14" s="4" t="s">
        <v>50</v>
      </c>
      <c r="I14" s="6">
        <v>3</v>
      </c>
      <c r="J14" s="6">
        <v>4830</v>
      </c>
      <c r="K14" s="6">
        <v>3804.22</v>
      </c>
      <c r="L14" s="6">
        <v>1025.78</v>
      </c>
    </row>
    <row r="15" spans="1:14" x14ac:dyDescent="0.3">
      <c r="A15" s="4" t="s">
        <v>76</v>
      </c>
      <c r="B15" s="5">
        <v>45303</v>
      </c>
      <c r="C15" s="4" t="s">
        <v>77</v>
      </c>
      <c r="D15" s="4" t="s">
        <v>78</v>
      </c>
      <c r="E15" s="4" t="s">
        <v>22</v>
      </c>
      <c r="F15" s="4" t="s">
        <v>79</v>
      </c>
      <c r="G15" s="4" t="s">
        <v>35</v>
      </c>
      <c r="H15" s="4" t="s">
        <v>80</v>
      </c>
      <c r="I15" s="6">
        <v>9</v>
      </c>
      <c r="J15" s="6">
        <v>21231</v>
      </c>
      <c r="K15" s="6">
        <v>17862.14</v>
      </c>
      <c r="L15" s="6">
        <v>3368.86</v>
      </c>
    </row>
    <row r="16" spans="1:14" x14ac:dyDescent="0.3">
      <c r="A16" s="4" t="s">
        <v>81</v>
      </c>
      <c r="B16" s="5">
        <v>45756</v>
      </c>
      <c r="C16" s="4" t="s">
        <v>82</v>
      </c>
      <c r="D16" s="4" t="s">
        <v>83</v>
      </c>
      <c r="E16" s="4" t="s">
        <v>54</v>
      </c>
      <c r="F16" s="4" t="s">
        <v>71</v>
      </c>
      <c r="G16" s="4" t="s">
        <v>40</v>
      </c>
      <c r="H16" s="4" t="s">
        <v>41</v>
      </c>
      <c r="I16" s="6">
        <v>2</v>
      </c>
      <c r="J16" s="6">
        <v>5408</v>
      </c>
      <c r="K16" s="6">
        <v>3679.76</v>
      </c>
      <c r="L16" s="6">
        <v>1728.24</v>
      </c>
    </row>
    <row r="17" spans="1:12" x14ac:dyDescent="0.3">
      <c r="A17" s="4" t="s">
        <v>84</v>
      </c>
      <c r="B17" s="5">
        <v>45448</v>
      </c>
      <c r="C17" s="4" t="s">
        <v>85</v>
      </c>
      <c r="D17" s="4" t="s">
        <v>86</v>
      </c>
      <c r="E17" s="4" t="s">
        <v>29</v>
      </c>
      <c r="F17" s="4" t="s">
        <v>30</v>
      </c>
      <c r="G17" s="4" t="s">
        <v>24</v>
      </c>
      <c r="H17" s="4" t="s">
        <v>50</v>
      </c>
      <c r="I17" s="6">
        <v>5</v>
      </c>
      <c r="J17" s="6">
        <v>22290</v>
      </c>
      <c r="K17" s="6">
        <v>16331.68</v>
      </c>
      <c r="L17" s="6">
        <v>5958.32</v>
      </c>
    </row>
    <row r="18" spans="1:12" x14ac:dyDescent="0.3">
      <c r="A18" s="4" t="s">
        <v>87</v>
      </c>
      <c r="B18" s="5">
        <v>45663</v>
      </c>
      <c r="C18" s="4" t="s">
        <v>88</v>
      </c>
      <c r="D18" s="4" t="s">
        <v>89</v>
      </c>
      <c r="E18" s="4" t="s">
        <v>15</v>
      </c>
      <c r="F18" s="4" t="s">
        <v>90</v>
      </c>
      <c r="G18" s="4" t="s">
        <v>40</v>
      </c>
      <c r="H18" s="4" t="s">
        <v>41</v>
      </c>
      <c r="I18" s="6">
        <v>8</v>
      </c>
      <c r="J18" s="6">
        <v>3672</v>
      </c>
      <c r="K18" s="6">
        <v>2142.83</v>
      </c>
      <c r="L18" s="6">
        <v>1529.17</v>
      </c>
    </row>
    <row r="19" spans="1:12" x14ac:dyDescent="0.3">
      <c r="A19" s="4" t="s">
        <v>91</v>
      </c>
      <c r="B19" s="5">
        <v>45362</v>
      </c>
      <c r="C19" s="4" t="s">
        <v>92</v>
      </c>
      <c r="D19" s="4" t="s">
        <v>93</v>
      </c>
      <c r="E19" s="4" t="s">
        <v>15</v>
      </c>
      <c r="F19" s="4" t="s">
        <v>16</v>
      </c>
      <c r="G19" s="4" t="s">
        <v>17</v>
      </c>
      <c r="H19" s="4" t="s">
        <v>72</v>
      </c>
      <c r="I19" s="6">
        <v>2</v>
      </c>
      <c r="J19" s="6">
        <v>2002</v>
      </c>
      <c r="K19" s="6">
        <v>1540.68</v>
      </c>
      <c r="L19" s="6">
        <v>461.32</v>
      </c>
    </row>
    <row r="20" spans="1:12" x14ac:dyDescent="0.3">
      <c r="A20" s="4" t="s">
        <v>94</v>
      </c>
      <c r="B20" s="5">
        <v>45913</v>
      </c>
      <c r="C20" s="4" t="s">
        <v>95</v>
      </c>
      <c r="D20" s="4" t="s">
        <v>62</v>
      </c>
      <c r="E20" s="4" t="s">
        <v>29</v>
      </c>
      <c r="F20" s="4" t="s">
        <v>30</v>
      </c>
      <c r="G20" s="4" t="s">
        <v>35</v>
      </c>
      <c r="H20" s="4" t="s">
        <v>80</v>
      </c>
      <c r="I20" s="6">
        <v>9</v>
      </c>
      <c r="J20" s="6">
        <v>14868</v>
      </c>
      <c r="K20" s="6">
        <v>9359.66</v>
      </c>
      <c r="L20" s="6">
        <v>5508.34</v>
      </c>
    </row>
    <row r="21" spans="1:12" x14ac:dyDescent="0.3">
      <c r="A21" s="4" t="s">
        <v>96</v>
      </c>
      <c r="B21" s="5">
        <v>45821</v>
      </c>
      <c r="C21" s="4" t="s">
        <v>97</v>
      </c>
      <c r="D21" s="4" t="s">
        <v>98</v>
      </c>
      <c r="E21" s="4" t="s">
        <v>29</v>
      </c>
      <c r="F21" s="4" t="s">
        <v>30</v>
      </c>
      <c r="G21" s="4" t="s">
        <v>40</v>
      </c>
      <c r="H21" s="4" t="s">
        <v>99</v>
      </c>
      <c r="I21" s="6">
        <v>7</v>
      </c>
      <c r="J21" s="6">
        <v>23513</v>
      </c>
      <c r="K21" s="6">
        <v>16022.46</v>
      </c>
      <c r="L21" s="6">
        <v>7490.54</v>
      </c>
    </row>
    <row r="22" spans="1:12" x14ac:dyDescent="0.3">
      <c r="A22" s="4" t="s">
        <v>100</v>
      </c>
      <c r="B22" s="5">
        <v>45527</v>
      </c>
      <c r="C22" s="4" t="s">
        <v>101</v>
      </c>
      <c r="D22" s="4" t="s">
        <v>28</v>
      </c>
      <c r="E22" s="4" t="s">
        <v>29</v>
      </c>
      <c r="F22" s="4" t="s">
        <v>102</v>
      </c>
      <c r="G22" s="4" t="s">
        <v>24</v>
      </c>
      <c r="H22" s="4" t="s">
        <v>50</v>
      </c>
      <c r="I22" s="6">
        <v>6</v>
      </c>
      <c r="J22" s="6">
        <v>2832</v>
      </c>
      <c r="K22" s="6">
        <v>2057.4299999999998</v>
      </c>
      <c r="L22" s="6">
        <v>774.57</v>
      </c>
    </row>
    <row r="23" spans="1:12" x14ac:dyDescent="0.3">
      <c r="A23" s="4" t="s">
        <v>103</v>
      </c>
      <c r="B23" s="5">
        <v>45324</v>
      </c>
      <c r="C23" s="4" t="s">
        <v>104</v>
      </c>
      <c r="D23" s="4" t="s">
        <v>105</v>
      </c>
      <c r="E23" s="4" t="s">
        <v>15</v>
      </c>
      <c r="F23" s="4" t="s">
        <v>90</v>
      </c>
      <c r="G23" s="4" t="s">
        <v>17</v>
      </c>
      <c r="H23" s="4" t="s">
        <v>31</v>
      </c>
      <c r="I23" s="6">
        <v>1</v>
      </c>
      <c r="J23" s="6">
        <v>2175</v>
      </c>
      <c r="K23" s="6">
        <v>1240.23</v>
      </c>
      <c r="L23" s="6">
        <v>934.77</v>
      </c>
    </row>
    <row r="24" spans="1:12" x14ac:dyDescent="0.3">
      <c r="A24" s="4" t="s">
        <v>106</v>
      </c>
      <c r="B24" s="5">
        <v>45876</v>
      </c>
      <c r="C24" s="4" t="s">
        <v>107</v>
      </c>
      <c r="D24" s="4" t="s">
        <v>108</v>
      </c>
      <c r="E24" s="4" t="s">
        <v>29</v>
      </c>
      <c r="F24" s="4" t="s">
        <v>49</v>
      </c>
      <c r="G24" s="4" t="s">
        <v>17</v>
      </c>
      <c r="H24" s="4" t="s">
        <v>31</v>
      </c>
      <c r="I24" s="6">
        <v>8</v>
      </c>
      <c r="J24" s="6">
        <v>16440</v>
      </c>
      <c r="K24" s="6">
        <v>11701.5</v>
      </c>
      <c r="L24" s="6">
        <v>4738.5</v>
      </c>
    </row>
    <row r="25" spans="1:12" x14ac:dyDescent="0.3">
      <c r="A25" s="4" t="s">
        <v>109</v>
      </c>
      <c r="B25" s="5">
        <v>45733</v>
      </c>
      <c r="C25" s="4" t="s">
        <v>110</v>
      </c>
      <c r="D25" s="4" t="s">
        <v>111</v>
      </c>
      <c r="E25" s="4" t="s">
        <v>29</v>
      </c>
      <c r="F25" s="4" t="s">
        <v>49</v>
      </c>
      <c r="G25" s="4" t="s">
        <v>35</v>
      </c>
      <c r="H25" s="4" t="s">
        <v>36</v>
      </c>
      <c r="I25" s="6">
        <v>4</v>
      </c>
      <c r="J25" s="6">
        <v>4288</v>
      </c>
      <c r="K25" s="6">
        <v>2483.09</v>
      </c>
      <c r="L25" s="6">
        <v>1804.91</v>
      </c>
    </row>
    <row r="26" spans="1:12" x14ac:dyDescent="0.3">
      <c r="A26" s="4" t="s">
        <v>112</v>
      </c>
      <c r="B26" s="5">
        <v>45639</v>
      </c>
      <c r="C26" s="4" t="s">
        <v>113</v>
      </c>
      <c r="D26" s="4" t="s">
        <v>114</v>
      </c>
      <c r="E26" s="4" t="s">
        <v>22</v>
      </c>
      <c r="F26" s="4" t="s">
        <v>67</v>
      </c>
      <c r="G26" s="4" t="s">
        <v>17</v>
      </c>
      <c r="H26" s="4" t="s">
        <v>18</v>
      </c>
      <c r="I26" s="6">
        <v>1</v>
      </c>
      <c r="J26" s="6">
        <v>1106</v>
      </c>
      <c r="K26" s="6">
        <v>628.41</v>
      </c>
      <c r="L26" s="6">
        <v>477.59</v>
      </c>
    </row>
    <row r="27" spans="1:12" x14ac:dyDescent="0.3">
      <c r="A27" s="4" t="s">
        <v>115</v>
      </c>
      <c r="B27" s="5">
        <v>45577</v>
      </c>
      <c r="C27" s="4" t="s">
        <v>116</v>
      </c>
      <c r="D27" s="4" t="s">
        <v>114</v>
      </c>
      <c r="E27" s="4" t="s">
        <v>29</v>
      </c>
      <c r="F27" s="4" t="s">
        <v>102</v>
      </c>
      <c r="G27" s="4" t="s">
        <v>35</v>
      </c>
      <c r="H27" s="4" t="s">
        <v>45</v>
      </c>
      <c r="I27" s="6">
        <v>8</v>
      </c>
      <c r="J27" s="6">
        <v>11584</v>
      </c>
      <c r="K27" s="6">
        <v>7837.32</v>
      </c>
      <c r="L27" s="6">
        <v>3746.68</v>
      </c>
    </row>
    <row r="28" spans="1:12" x14ac:dyDescent="0.3">
      <c r="A28" s="4" t="s">
        <v>117</v>
      </c>
      <c r="B28" s="5">
        <v>45845</v>
      </c>
      <c r="C28" s="4" t="s">
        <v>118</v>
      </c>
      <c r="D28" s="4" t="s">
        <v>34</v>
      </c>
      <c r="E28" s="4" t="s">
        <v>15</v>
      </c>
      <c r="F28" s="4" t="s">
        <v>63</v>
      </c>
      <c r="G28" s="4" t="s">
        <v>35</v>
      </c>
      <c r="H28" s="4" t="s">
        <v>45</v>
      </c>
      <c r="I28" s="6">
        <v>2</v>
      </c>
      <c r="J28" s="6">
        <v>1428</v>
      </c>
      <c r="K28" s="6">
        <v>1064.78</v>
      </c>
      <c r="L28" s="6">
        <v>363.22</v>
      </c>
    </row>
    <row r="29" spans="1:12" x14ac:dyDescent="0.3">
      <c r="A29" s="4" t="s">
        <v>119</v>
      </c>
      <c r="B29" s="5">
        <v>45702</v>
      </c>
      <c r="C29" s="4" t="s">
        <v>120</v>
      </c>
      <c r="D29" s="4" t="s">
        <v>121</v>
      </c>
      <c r="E29" s="4" t="s">
        <v>29</v>
      </c>
      <c r="F29" s="4" t="s">
        <v>102</v>
      </c>
      <c r="G29" s="4" t="s">
        <v>35</v>
      </c>
      <c r="H29" s="4" t="s">
        <v>36</v>
      </c>
      <c r="I29" s="6">
        <v>8</v>
      </c>
      <c r="J29" s="6">
        <v>33944</v>
      </c>
      <c r="K29" s="6">
        <v>20845.830000000002</v>
      </c>
      <c r="L29" s="6">
        <v>13098.17</v>
      </c>
    </row>
    <row r="30" spans="1:12" x14ac:dyDescent="0.3">
      <c r="A30" s="4" t="s">
        <v>122</v>
      </c>
      <c r="B30" s="5">
        <v>46005</v>
      </c>
      <c r="C30" s="4" t="s">
        <v>123</v>
      </c>
      <c r="D30" s="4" t="s">
        <v>124</v>
      </c>
      <c r="E30" s="4" t="s">
        <v>22</v>
      </c>
      <c r="F30" s="4" t="s">
        <v>23</v>
      </c>
      <c r="G30" s="4" t="s">
        <v>35</v>
      </c>
      <c r="H30" s="4" t="s">
        <v>36</v>
      </c>
      <c r="I30" s="6">
        <v>5</v>
      </c>
      <c r="J30" s="6">
        <v>20135</v>
      </c>
      <c r="K30" s="6">
        <v>12797.3</v>
      </c>
      <c r="L30" s="6">
        <v>7337.7</v>
      </c>
    </row>
    <row r="31" spans="1:12" x14ac:dyDescent="0.3">
      <c r="A31" s="4" t="s">
        <v>125</v>
      </c>
      <c r="B31" s="5">
        <v>45847</v>
      </c>
      <c r="C31" s="4" t="s">
        <v>126</v>
      </c>
      <c r="D31" s="4" t="s">
        <v>127</v>
      </c>
      <c r="E31" s="4" t="s">
        <v>29</v>
      </c>
      <c r="F31" s="4" t="s">
        <v>102</v>
      </c>
      <c r="G31" s="4" t="s">
        <v>40</v>
      </c>
      <c r="H31" s="4" t="s">
        <v>99</v>
      </c>
      <c r="I31" s="6">
        <v>4</v>
      </c>
      <c r="J31" s="6">
        <v>3116</v>
      </c>
      <c r="K31" s="6">
        <v>2255.2199999999998</v>
      </c>
      <c r="L31" s="6">
        <v>860.78</v>
      </c>
    </row>
    <row r="32" spans="1:12" x14ac:dyDescent="0.3">
      <c r="A32" s="4" t="s">
        <v>128</v>
      </c>
      <c r="B32" s="5">
        <v>45835</v>
      </c>
      <c r="C32" s="4" t="s">
        <v>129</v>
      </c>
      <c r="D32" s="4" t="s">
        <v>130</v>
      </c>
      <c r="E32" s="4" t="s">
        <v>15</v>
      </c>
      <c r="F32" s="4" t="s">
        <v>16</v>
      </c>
      <c r="G32" s="4" t="s">
        <v>17</v>
      </c>
      <c r="H32" s="4" t="s">
        <v>72</v>
      </c>
      <c r="I32" s="6">
        <v>8</v>
      </c>
      <c r="J32" s="6">
        <v>35352</v>
      </c>
      <c r="K32" s="6">
        <v>29194.25</v>
      </c>
      <c r="L32" s="6">
        <v>6157.75</v>
      </c>
    </row>
    <row r="33" spans="1:12" x14ac:dyDescent="0.3">
      <c r="A33" s="4" t="s">
        <v>131</v>
      </c>
      <c r="B33" s="5">
        <v>45532</v>
      </c>
      <c r="C33" s="4" t="s">
        <v>132</v>
      </c>
      <c r="D33" s="4" t="s">
        <v>98</v>
      </c>
      <c r="E33" s="4" t="s">
        <v>15</v>
      </c>
      <c r="F33" s="4" t="s">
        <v>16</v>
      </c>
      <c r="G33" s="4" t="s">
        <v>24</v>
      </c>
      <c r="H33" s="4" t="s">
        <v>50</v>
      </c>
      <c r="I33" s="6">
        <v>10</v>
      </c>
      <c r="J33" s="6">
        <v>8560</v>
      </c>
      <c r="K33" s="6">
        <v>6441.95</v>
      </c>
      <c r="L33" s="6">
        <v>2118.0500000000002</v>
      </c>
    </row>
    <row r="34" spans="1:12" x14ac:dyDescent="0.3">
      <c r="A34" s="4" t="s">
        <v>133</v>
      </c>
      <c r="B34" s="5">
        <v>45889</v>
      </c>
      <c r="C34" s="4" t="s">
        <v>134</v>
      </c>
      <c r="D34" s="4" t="s">
        <v>135</v>
      </c>
      <c r="E34" s="4" t="s">
        <v>29</v>
      </c>
      <c r="F34" s="4" t="s">
        <v>30</v>
      </c>
      <c r="G34" s="4" t="s">
        <v>17</v>
      </c>
      <c r="H34" s="4" t="s">
        <v>72</v>
      </c>
      <c r="I34" s="6">
        <v>1</v>
      </c>
      <c r="J34" s="6">
        <v>971</v>
      </c>
      <c r="K34" s="6">
        <v>656.17</v>
      </c>
      <c r="L34" s="6">
        <v>314.83</v>
      </c>
    </row>
    <row r="35" spans="1:12" x14ac:dyDescent="0.3">
      <c r="A35" s="4" t="s">
        <v>136</v>
      </c>
      <c r="B35" s="5">
        <v>45426</v>
      </c>
      <c r="C35" s="4" t="s">
        <v>137</v>
      </c>
      <c r="D35" s="4" t="s">
        <v>138</v>
      </c>
      <c r="E35" s="4" t="s">
        <v>54</v>
      </c>
      <c r="F35" s="4" t="s">
        <v>55</v>
      </c>
      <c r="G35" s="4" t="s">
        <v>40</v>
      </c>
      <c r="H35" s="4" t="s">
        <v>56</v>
      </c>
      <c r="I35" s="6">
        <v>6</v>
      </c>
      <c r="J35" s="6">
        <v>13530</v>
      </c>
      <c r="K35" s="6">
        <v>8519.6299999999992</v>
      </c>
      <c r="L35" s="6">
        <v>5010.37</v>
      </c>
    </row>
    <row r="36" spans="1:12" x14ac:dyDescent="0.3">
      <c r="A36" s="4" t="s">
        <v>139</v>
      </c>
      <c r="B36" s="5">
        <v>45367</v>
      </c>
      <c r="C36" s="4" t="s">
        <v>140</v>
      </c>
      <c r="D36" s="4" t="s">
        <v>141</v>
      </c>
      <c r="E36" s="4" t="s">
        <v>54</v>
      </c>
      <c r="F36" s="4" t="s">
        <v>142</v>
      </c>
      <c r="G36" s="4" t="s">
        <v>24</v>
      </c>
      <c r="H36" s="4" t="s">
        <v>25</v>
      </c>
      <c r="I36" s="6">
        <v>8</v>
      </c>
      <c r="J36" s="6">
        <v>39296</v>
      </c>
      <c r="K36" s="6">
        <v>33355.58</v>
      </c>
      <c r="L36" s="6">
        <v>5940.42</v>
      </c>
    </row>
    <row r="37" spans="1:12" x14ac:dyDescent="0.3">
      <c r="A37" s="4" t="s">
        <v>143</v>
      </c>
      <c r="B37" s="5">
        <v>45453</v>
      </c>
      <c r="C37" s="4" t="s">
        <v>144</v>
      </c>
      <c r="D37" s="4" t="s">
        <v>145</v>
      </c>
      <c r="E37" s="4" t="s">
        <v>54</v>
      </c>
      <c r="F37" s="4" t="s">
        <v>142</v>
      </c>
      <c r="G37" s="4" t="s">
        <v>40</v>
      </c>
      <c r="H37" s="4" t="s">
        <v>41</v>
      </c>
      <c r="I37" s="6">
        <v>2</v>
      </c>
      <c r="J37" s="6">
        <v>4602</v>
      </c>
      <c r="K37" s="6">
        <v>3041.27</v>
      </c>
      <c r="L37" s="6">
        <v>1560.73</v>
      </c>
    </row>
    <row r="38" spans="1:12" x14ac:dyDescent="0.3">
      <c r="A38" s="4" t="s">
        <v>146</v>
      </c>
      <c r="B38" s="5">
        <v>45859</v>
      </c>
      <c r="C38" s="4" t="s">
        <v>137</v>
      </c>
      <c r="D38" s="4" t="s">
        <v>147</v>
      </c>
      <c r="E38" s="4" t="s">
        <v>54</v>
      </c>
      <c r="F38" s="4" t="s">
        <v>71</v>
      </c>
      <c r="G38" s="4" t="s">
        <v>17</v>
      </c>
      <c r="H38" s="4" t="s">
        <v>31</v>
      </c>
      <c r="I38" s="6">
        <v>9</v>
      </c>
      <c r="J38" s="6">
        <v>3276</v>
      </c>
      <c r="K38" s="6">
        <v>2458.1799999999998</v>
      </c>
      <c r="L38" s="6">
        <v>817.82</v>
      </c>
    </row>
    <row r="39" spans="1:12" x14ac:dyDescent="0.3">
      <c r="A39" s="4" t="s">
        <v>148</v>
      </c>
      <c r="B39" s="5">
        <v>45580</v>
      </c>
      <c r="C39" s="4" t="s">
        <v>149</v>
      </c>
      <c r="D39" s="4" t="s">
        <v>150</v>
      </c>
      <c r="E39" s="4" t="s">
        <v>29</v>
      </c>
      <c r="F39" s="4" t="s">
        <v>49</v>
      </c>
      <c r="G39" s="4" t="s">
        <v>24</v>
      </c>
      <c r="H39" s="4" t="s">
        <v>50</v>
      </c>
      <c r="I39" s="6">
        <v>2</v>
      </c>
      <c r="J39" s="6">
        <v>9664</v>
      </c>
      <c r="K39" s="6">
        <v>5765.87</v>
      </c>
      <c r="L39" s="6">
        <v>3898.13</v>
      </c>
    </row>
    <row r="40" spans="1:12" x14ac:dyDescent="0.3">
      <c r="A40" s="4" t="s">
        <v>151</v>
      </c>
      <c r="B40" s="5">
        <v>45344</v>
      </c>
      <c r="C40" s="4" t="s">
        <v>152</v>
      </c>
      <c r="D40" s="4" t="s">
        <v>111</v>
      </c>
      <c r="E40" s="4" t="s">
        <v>29</v>
      </c>
      <c r="F40" s="4" t="s">
        <v>30</v>
      </c>
      <c r="G40" s="4" t="s">
        <v>17</v>
      </c>
      <c r="H40" s="4" t="s">
        <v>31</v>
      </c>
      <c r="I40" s="6">
        <v>5</v>
      </c>
      <c r="J40" s="6">
        <v>22200</v>
      </c>
      <c r="K40" s="6">
        <v>15463.62</v>
      </c>
      <c r="L40" s="6">
        <v>6736.38</v>
      </c>
    </row>
    <row r="41" spans="1:12" x14ac:dyDescent="0.3">
      <c r="A41" s="4" t="s">
        <v>153</v>
      </c>
      <c r="B41" s="5">
        <v>45560</v>
      </c>
      <c r="C41" s="4" t="s">
        <v>154</v>
      </c>
      <c r="D41" s="4" t="s">
        <v>155</v>
      </c>
      <c r="E41" s="4" t="s">
        <v>54</v>
      </c>
      <c r="F41" s="4" t="s">
        <v>142</v>
      </c>
      <c r="G41" s="4" t="s">
        <v>24</v>
      </c>
      <c r="H41" s="4" t="s">
        <v>25</v>
      </c>
      <c r="I41" s="6">
        <v>6</v>
      </c>
      <c r="J41" s="6">
        <v>8226</v>
      </c>
      <c r="K41" s="6">
        <v>6096.57</v>
      </c>
      <c r="L41" s="6">
        <v>2129.4299999999998</v>
      </c>
    </row>
    <row r="42" spans="1:12" x14ac:dyDescent="0.3">
      <c r="A42" s="4" t="s">
        <v>156</v>
      </c>
      <c r="B42" s="5">
        <v>45999</v>
      </c>
      <c r="C42" s="4" t="s">
        <v>157</v>
      </c>
      <c r="D42" s="4" t="s">
        <v>158</v>
      </c>
      <c r="E42" s="4" t="s">
        <v>22</v>
      </c>
      <c r="F42" s="4" t="s">
        <v>79</v>
      </c>
      <c r="G42" s="4" t="s">
        <v>24</v>
      </c>
      <c r="H42" s="4" t="s">
        <v>25</v>
      </c>
      <c r="I42" s="6">
        <v>2</v>
      </c>
      <c r="J42" s="6">
        <v>1832</v>
      </c>
      <c r="K42" s="6">
        <v>1527</v>
      </c>
      <c r="L42" s="6">
        <v>305</v>
      </c>
    </row>
    <row r="43" spans="1:12" x14ac:dyDescent="0.3">
      <c r="A43" s="4" t="s">
        <v>159</v>
      </c>
      <c r="B43" s="5">
        <v>45334</v>
      </c>
      <c r="C43" s="4" t="s">
        <v>88</v>
      </c>
      <c r="D43" s="4" t="s">
        <v>160</v>
      </c>
      <c r="E43" s="4" t="s">
        <v>15</v>
      </c>
      <c r="F43" s="4" t="s">
        <v>63</v>
      </c>
      <c r="G43" s="4" t="s">
        <v>17</v>
      </c>
      <c r="H43" s="4" t="s">
        <v>72</v>
      </c>
      <c r="I43" s="6">
        <v>9</v>
      </c>
      <c r="J43" s="6">
        <v>13617</v>
      </c>
      <c r="K43" s="6">
        <v>9245.07</v>
      </c>
      <c r="L43" s="6">
        <v>4371.93</v>
      </c>
    </row>
    <row r="44" spans="1:12" x14ac:dyDescent="0.3">
      <c r="A44" s="4" t="s">
        <v>161</v>
      </c>
      <c r="B44" s="5">
        <v>45865</v>
      </c>
      <c r="C44" s="4" t="s">
        <v>162</v>
      </c>
      <c r="D44" s="4" t="s">
        <v>163</v>
      </c>
      <c r="E44" s="4" t="s">
        <v>15</v>
      </c>
      <c r="F44" s="4" t="s">
        <v>63</v>
      </c>
      <c r="G44" s="4" t="s">
        <v>40</v>
      </c>
      <c r="H44" s="4" t="s">
        <v>56</v>
      </c>
      <c r="I44" s="6">
        <v>4</v>
      </c>
      <c r="J44" s="6">
        <v>4568</v>
      </c>
      <c r="K44" s="6">
        <v>2997.08</v>
      </c>
      <c r="L44" s="6">
        <v>1570.92</v>
      </c>
    </row>
    <row r="45" spans="1:12" x14ac:dyDescent="0.3">
      <c r="A45" s="4" t="s">
        <v>164</v>
      </c>
      <c r="B45" s="5">
        <v>45632</v>
      </c>
      <c r="C45" s="4" t="s">
        <v>165</v>
      </c>
      <c r="D45" s="4" t="s">
        <v>114</v>
      </c>
      <c r="E45" s="4" t="s">
        <v>29</v>
      </c>
      <c r="F45" s="4" t="s">
        <v>102</v>
      </c>
      <c r="G45" s="4" t="s">
        <v>24</v>
      </c>
      <c r="H45" s="4" t="s">
        <v>166</v>
      </c>
      <c r="I45" s="6">
        <v>7</v>
      </c>
      <c r="J45" s="6">
        <v>3521</v>
      </c>
      <c r="K45" s="6">
        <v>2126.0100000000002</v>
      </c>
      <c r="L45" s="6">
        <v>1394.99</v>
      </c>
    </row>
    <row r="46" spans="1:12" x14ac:dyDescent="0.3">
      <c r="A46" s="4" t="s">
        <v>167</v>
      </c>
      <c r="B46" s="5">
        <v>45773</v>
      </c>
      <c r="C46" s="4" t="s">
        <v>168</v>
      </c>
      <c r="D46" s="4" t="s">
        <v>169</v>
      </c>
      <c r="E46" s="4" t="s">
        <v>54</v>
      </c>
      <c r="F46" s="4" t="s">
        <v>142</v>
      </c>
      <c r="G46" s="4" t="s">
        <v>17</v>
      </c>
      <c r="H46" s="4" t="s">
        <v>18</v>
      </c>
      <c r="I46" s="6">
        <v>2</v>
      </c>
      <c r="J46" s="6">
        <v>6866</v>
      </c>
      <c r="K46" s="6">
        <v>5572.79</v>
      </c>
      <c r="L46" s="6">
        <v>1293.21</v>
      </c>
    </row>
    <row r="47" spans="1:12" x14ac:dyDescent="0.3">
      <c r="A47" s="4" t="s">
        <v>170</v>
      </c>
      <c r="B47" s="5">
        <v>45489</v>
      </c>
      <c r="C47" s="4" t="s">
        <v>171</v>
      </c>
      <c r="D47" s="4" t="s">
        <v>172</v>
      </c>
      <c r="E47" s="4" t="s">
        <v>22</v>
      </c>
      <c r="F47" s="4" t="s">
        <v>67</v>
      </c>
      <c r="G47" s="4" t="s">
        <v>40</v>
      </c>
      <c r="H47" s="4" t="s">
        <v>99</v>
      </c>
      <c r="I47" s="6">
        <v>4</v>
      </c>
      <c r="J47" s="6">
        <v>8504</v>
      </c>
      <c r="K47" s="6">
        <v>4737.57</v>
      </c>
      <c r="L47" s="6">
        <v>3766.43</v>
      </c>
    </row>
    <row r="48" spans="1:12" x14ac:dyDescent="0.3">
      <c r="A48" s="4" t="s">
        <v>173</v>
      </c>
      <c r="B48" s="5">
        <v>45841</v>
      </c>
      <c r="C48" s="4" t="s">
        <v>104</v>
      </c>
      <c r="D48" s="4" t="s">
        <v>174</v>
      </c>
      <c r="E48" s="4" t="s">
        <v>54</v>
      </c>
      <c r="F48" s="4" t="s">
        <v>142</v>
      </c>
      <c r="G48" s="4" t="s">
        <v>40</v>
      </c>
      <c r="H48" s="4" t="s">
        <v>99</v>
      </c>
      <c r="I48" s="6">
        <v>6</v>
      </c>
      <c r="J48" s="6">
        <v>26838</v>
      </c>
      <c r="K48" s="6">
        <v>17978.87</v>
      </c>
      <c r="L48" s="6">
        <v>8859.1299999999992</v>
      </c>
    </row>
    <row r="49" spans="1:12" x14ac:dyDescent="0.3">
      <c r="A49" s="4" t="s">
        <v>175</v>
      </c>
      <c r="B49" s="5">
        <v>45902</v>
      </c>
      <c r="C49" s="4" t="s">
        <v>176</v>
      </c>
      <c r="D49" s="4" t="s">
        <v>177</v>
      </c>
      <c r="E49" s="4" t="s">
        <v>15</v>
      </c>
      <c r="F49" s="4" t="s">
        <v>63</v>
      </c>
      <c r="G49" s="4" t="s">
        <v>24</v>
      </c>
      <c r="H49" s="4" t="s">
        <v>166</v>
      </c>
      <c r="I49" s="6">
        <v>10</v>
      </c>
      <c r="J49" s="6">
        <v>24740</v>
      </c>
      <c r="K49" s="6">
        <v>13890.94</v>
      </c>
      <c r="L49" s="6">
        <v>10849.06</v>
      </c>
    </row>
    <row r="50" spans="1:12" x14ac:dyDescent="0.3">
      <c r="A50" s="4" t="s">
        <v>178</v>
      </c>
      <c r="B50" s="5">
        <v>45882</v>
      </c>
      <c r="C50" s="4" t="s">
        <v>179</v>
      </c>
      <c r="D50" s="4" t="s">
        <v>180</v>
      </c>
      <c r="E50" s="4" t="s">
        <v>54</v>
      </c>
      <c r="F50" s="4" t="s">
        <v>55</v>
      </c>
      <c r="G50" s="4" t="s">
        <v>17</v>
      </c>
      <c r="H50" s="4" t="s">
        <v>72</v>
      </c>
      <c r="I50" s="6">
        <v>9</v>
      </c>
      <c r="J50" s="6">
        <v>11223</v>
      </c>
      <c r="K50" s="6">
        <v>7469.56</v>
      </c>
      <c r="L50" s="6">
        <v>3753.44</v>
      </c>
    </row>
    <row r="51" spans="1:12" x14ac:dyDescent="0.3">
      <c r="A51" s="4" t="s">
        <v>181</v>
      </c>
      <c r="B51" s="5">
        <v>45843</v>
      </c>
      <c r="C51" s="4" t="s">
        <v>182</v>
      </c>
      <c r="D51" s="4" t="s">
        <v>160</v>
      </c>
      <c r="E51" s="4" t="s">
        <v>15</v>
      </c>
      <c r="F51" s="4" t="s">
        <v>90</v>
      </c>
      <c r="G51" s="4" t="s">
        <v>35</v>
      </c>
      <c r="H51" s="4" t="s">
        <v>36</v>
      </c>
      <c r="I51" s="6">
        <v>1</v>
      </c>
      <c r="J51" s="6">
        <v>4559</v>
      </c>
      <c r="K51" s="6">
        <v>3773.36</v>
      </c>
      <c r="L51" s="6">
        <v>785.64</v>
      </c>
    </row>
    <row r="52" spans="1:12" x14ac:dyDescent="0.3">
      <c r="A52" s="4" t="s">
        <v>183</v>
      </c>
      <c r="B52" s="5">
        <v>45419</v>
      </c>
      <c r="C52" s="4" t="s">
        <v>137</v>
      </c>
      <c r="D52" s="4" t="s">
        <v>184</v>
      </c>
      <c r="E52" s="4" t="s">
        <v>22</v>
      </c>
      <c r="F52" s="4" t="s">
        <v>23</v>
      </c>
      <c r="G52" s="4" t="s">
        <v>17</v>
      </c>
      <c r="H52" s="4" t="s">
        <v>31</v>
      </c>
      <c r="I52" s="6">
        <v>6</v>
      </c>
      <c r="J52" s="6">
        <v>17226</v>
      </c>
      <c r="K52" s="6">
        <v>12902.55</v>
      </c>
      <c r="L52" s="6">
        <v>4323.45</v>
      </c>
    </row>
    <row r="53" spans="1:12" x14ac:dyDescent="0.3">
      <c r="A53" s="4" t="s">
        <v>185</v>
      </c>
      <c r="B53" s="5">
        <v>45859</v>
      </c>
      <c r="C53" s="4" t="s">
        <v>186</v>
      </c>
      <c r="D53" s="4" t="s">
        <v>187</v>
      </c>
      <c r="E53" s="4" t="s">
        <v>54</v>
      </c>
      <c r="F53" s="4" t="s">
        <v>71</v>
      </c>
      <c r="G53" s="4" t="s">
        <v>35</v>
      </c>
      <c r="H53" s="4" t="s">
        <v>36</v>
      </c>
      <c r="I53" s="6">
        <v>6</v>
      </c>
      <c r="J53" s="6">
        <v>21576</v>
      </c>
      <c r="K53" s="6">
        <v>16379.69</v>
      </c>
      <c r="L53" s="6">
        <v>5196.3100000000004</v>
      </c>
    </row>
    <row r="54" spans="1:12" x14ac:dyDescent="0.3">
      <c r="A54" s="4" t="s">
        <v>188</v>
      </c>
      <c r="B54" s="5">
        <v>45853</v>
      </c>
      <c r="C54" s="4" t="s">
        <v>189</v>
      </c>
      <c r="D54" s="4" t="s">
        <v>190</v>
      </c>
      <c r="E54" s="4" t="s">
        <v>22</v>
      </c>
      <c r="F54" s="4" t="s">
        <v>79</v>
      </c>
      <c r="G54" s="4" t="s">
        <v>35</v>
      </c>
      <c r="H54" s="4" t="s">
        <v>36</v>
      </c>
      <c r="I54" s="6">
        <v>3</v>
      </c>
      <c r="J54" s="6">
        <v>14886</v>
      </c>
      <c r="K54" s="6">
        <v>9531.2800000000007</v>
      </c>
      <c r="L54" s="6">
        <v>5354.72</v>
      </c>
    </row>
    <row r="55" spans="1:12" x14ac:dyDescent="0.3">
      <c r="A55" s="4" t="s">
        <v>191</v>
      </c>
      <c r="B55" s="5">
        <v>45744</v>
      </c>
      <c r="C55" s="4" t="s">
        <v>192</v>
      </c>
      <c r="D55" s="4" t="s">
        <v>193</v>
      </c>
      <c r="E55" s="4" t="s">
        <v>54</v>
      </c>
      <c r="F55" s="4" t="s">
        <v>142</v>
      </c>
      <c r="G55" s="4" t="s">
        <v>35</v>
      </c>
      <c r="H55" s="4" t="s">
        <v>36</v>
      </c>
      <c r="I55" s="6">
        <v>10</v>
      </c>
      <c r="J55" s="6">
        <v>29390</v>
      </c>
      <c r="K55" s="6">
        <v>20264.3</v>
      </c>
      <c r="L55" s="6">
        <v>9125.7000000000007</v>
      </c>
    </row>
    <row r="56" spans="1:12" x14ac:dyDescent="0.3">
      <c r="A56" s="4" t="s">
        <v>194</v>
      </c>
      <c r="B56" s="5">
        <v>45940</v>
      </c>
      <c r="C56" s="4" t="s">
        <v>195</v>
      </c>
      <c r="D56" s="4" t="s">
        <v>34</v>
      </c>
      <c r="E56" s="4" t="s">
        <v>22</v>
      </c>
      <c r="F56" s="4" t="s">
        <v>79</v>
      </c>
      <c r="G56" s="4" t="s">
        <v>24</v>
      </c>
      <c r="H56" s="4" t="s">
        <v>166</v>
      </c>
      <c r="I56" s="6">
        <v>2</v>
      </c>
      <c r="J56" s="6">
        <v>5248</v>
      </c>
      <c r="K56" s="6">
        <v>3697.93</v>
      </c>
      <c r="L56" s="6">
        <v>1550.07</v>
      </c>
    </row>
    <row r="57" spans="1:12" x14ac:dyDescent="0.3">
      <c r="A57" s="4" t="s">
        <v>196</v>
      </c>
      <c r="B57" s="5">
        <v>45339</v>
      </c>
      <c r="C57" s="4" t="s">
        <v>197</v>
      </c>
      <c r="D57" s="4" t="s">
        <v>198</v>
      </c>
      <c r="E57" s="4" t="s">
        <v>29</v>
      </c>
      <c r="F57" s="4" t="s">
        <v>30</v>
      </c>
      <c r="G57" s="4" t="s">
        <v>40</v>
      </c>
      <c r="H57" s="4" t="s">
        <v>99</v>
      </c>
      <c r="I57" s="6">
        <v>4</v>
      </c>
      <c r="J57" s="6">
        <v>7724</v>
      </c>
      <c r="K57" s="6">
        <v>4589.6499999999996</v>
      </c>
      <c r="L57" s="6">
        <v>3134.35</v>
      </c>
    </row>
    <row r="58" spans="1:12" x14ac:dyDescent="0.3">
      <c r="A58" s="4" t="s">
        <v>199</v>
      </c>
      <c r="B58" s="5">
        <v>45685</v>
      </c>
      <c r="C58" s="4" t="s">
        <v>200</v>
      </c>
      <c r="D58" s="4" t="s">
        <v>201</v>
      </c>
      <c r="E58" s="4" t="s">
        <v>15</v>
      </c>
      <c r="F58" s="4" t="s">
        <v>63</v>
      </c>
      <c r="G58" s="4" t="s">
        <v>35</v>
      </c>
      <c r="H58" s="4" t="s">
        <v>36</v>
      </c>
      <c r="I58" s="6">
        <v>10</v>
      </c>
      <c r="J58" s="6">
        <v>18920</v>
      </c>
      <c r="K58" s="6">
        <v>14483.33</v>
      </c>
      <c r="L58" s="6">
        <v>4436.67</v>
      </c>
    </row>
    <row r="59" spans="1:12" x14ac:dyDescent="0.3">
      <c r="A59" s="4" t="s">
        <v>202</v>
      </c>
      <c r="B59" s="5">
        <v>45516</v>
      </c>
      <c r="C59" s="4" t="s">
        <v>203</v>
      </c>
      <c r="D59" s="4" t="s">
        <v>204</v>
      </c>
      <c r="E59" s="4" t="s">
        <v>29</v>
      </c>
      <c r="F59" s="4" t="s">
        <v>102</v>
      </c>
      <c r="G59" s="4" t="s">
        <v>17</v>
      </c>
      <c r="H59" s="4" t="s">
        <v>31</v>
      </c>
      <c r="I59" s="6">
        <v>1</v>
      </c>
      <c r="J59" s="6">
        <v>1173</v>
      </c>
      <c r="K59" s="6">
        <v>919.08</v>
      </c>
      <c r="L59" s="6">
        <v>253.92</v>
      </c>
    </row>
    <row r="60" spans="1:12" x14ac:dyDescent="0.3">
      <c r="A60" s="4" t="s">
        <v>205</v>
      </c>
      <c r="B60" s="5">
        <v>45767</v>
      </c>
      <c r="C60" s="4" t="s">
        <v>206</v>
      </c>
      <c r="D60" s="4" t="s">
        <v>207</v>
      </c>
      <c r="E60" s="4" t="s">
        <v>22</v>
      </c>
      <c r="F60" s="4" t="s">
        <v>23</v>
      </c>
      <c r="G60" s="4" t="s">
        <v>35</v>
      </c>
      <c r="H60" s="4" t="s">
        <v>45</v>
      </c>
      <c r="I60" s="6">
        <v>4</v>
      </c>
      <c r="J60" s="6">
        <v>5176</v>
      </c>
      <c r="K60" s="6">
        <v>3555.59</v>
      </c>
      <c r="L60" s="6">
        <v>1620.41</v>
      </c>
    </row>
    <row r="61" spans="1:12" x14ac:dyDescent="0.3">
      <c r="A61" s="4" t="s">
        <v>208</v>
      </c>
      <c r="B61" s="5">
        <v>45853</v>
      </c>
      <c r="C61" s="4" t="s">
        <v>209</v>
      </c>
      <c r="D61" s="4" t="s">
        <v>210</v>
      </c>
      <c r="E61" s="4" t="s">
        <v>54</v>
      </c>
      <c r="F61" s="4" t="s">
        <v>55</v>
      </c>
      <c r="G61" s="4" t="s">
        <v>17</v>
      </c>
      <c r="H61" s="4" t="s">
        <v>72</v>
      </c>
      <c r="I61" s="6">
        <v>9</v>
      </c>
      <c r="J61" s="6">
        <v>34155</v>
      </c>
      <c r="K61" s="6">
        <v>27295.68</v>
      </c>
      <c r="L61" s="6">
        <v>6859.32</v>
      </c>
    </row>
    <row r="62" spans="1:12" x14ac:dyDescent="0.3">
      <c r="A62" s="4" t="s">
        <v>211</v>
      </c>
      <c r="B62" s="5">
        <v>45825</v>
      </c>
      <c r="C62" s="4" t="s">
        <v>212</v>
      </c>
      <c r="D62" s="4" t="s">
        <v>89</v>
      </c>
      <c r="E62" s="4" t="s">
        <v>22</v>
      </c>
      <c r="F62" s="4" t="s">
        <v>67</v>
      </c>
      <c r="G62" s="4" t="s">
        <v>40</v>
      </c>
      <c r="H62" s="4" t="s">
        <v>99</v>
      </c>
      <c r="I62" s="6">
        <v>4</v>
      </c>
      <c r="J62" s="6">
        <v>10284</v>
      </c>
      <c r="K62" s="6">
        <v>8018.89</v>
      </c>
      <c r="L62" s="6">
        <v>2265.11</v>
      </c>
    </row>
    <row r="63" spans="1:12" x14ac:dyDescent="0.3">
      <c r="A63" s="4" t="s">
        <v>213</v>
      </c>
      <c r="B63" s="5">
        <v>45619</v>
      </c>
      <c r="C63" s="4" t="s">
        <v>214</v>
      </c>
      <c r="D63" s="4" t="s">
        <v>215</v>
      </c>
      <c r="E63" s="4" t="s">
        <v>54</v>
      </c>
      <c r="F63" s="4" t="s">
        <v>55</v>
      </c>
      <c r="G63" s="4" t="s">
        <v>24</v>
      </c>
      <c r="H63" s="4" t="s">
        <v>50</v>
      </c>
      <c r="I63" s="6">
        <v>5</v>
      </c>
      <c r="J63" s="6">
        <v>11100</v>
      </c>
      <c r="K63" s="6">
        <v>7009.81</v>
      </c>
      <c r="L63" s="6">
        <v>4090.19</v>
      </c>
    </row>
    <row r="64" spans="1:12" x14ac:dyDescent="0.3">
      <c r="A64" s="4" t="s">
        <v>216</v>
      </c>
      <c r="B64" s="5">
        <v>45357</v>
      </c>
      <c r="C64" s="4" t="s">
        <v>217</v>
      </c>
      <c r="D64" s="4" t="s">
        <v>218</v>
      </c>
      <c r="E64" s="4" t="s">
        <v>29</v>
      </c>
      <c r="F64" s="4" t="s">
        <v>102</v>
      </c>
      <c r="G64" s="4" t="s">
        <v>40</v>
      </c>
      <c r="H64" s="4" t="s">
        <v>56</v>
      </c>
      <c r="I64" s="6">
        <v>7</v>
      </c>
      <c r="J64" s="6">
        <v>10857</v>
      </c>
      <c r="K64" s="6">
        <v>8272.23</v>
      </c>
      <c r="L64" s="6">
        <v>2584.77</v>
      </c>
    </row>
    <row r="65" spans="1:12" x14ac:dyDescent="0.3">
      <c r="A65" s="4" t="s">
        <v>219</v>
      </c>
      <c r="B65" s="5">
        <v>45722</v>
      </c>
      <c r="C65" s="4" t="s">
        <v>220</v>
      </c>
      <c r="D65" s="4" t="s">
        <v>221</v>
      </c>
      <c r="E65" s="4" t="s">
        <v>54</v>
      </c>
      <c r="F65" s="4" t="s">
        <v>71</v>
      </c>
      <c r="G65" s="4" t="s">
        <v>35</v>
      </c>
      <c r="H65" s="4" t="s">
        <v>80</v>
      </c>
      <c r="I65" s="6">
        <v>7</v>
      </c>
      <c r="J65" s="6">
        <v>5670</v>
      </c>
      <c r="K65" s="6">
        <v>3470.33</v>
      </c>
      <c r="L65" s="6">
        <v>2199.67</v>
      </c>
    </row>
    <row r="66" spans="1:12" x14ac:dyDescent="0.3">
      <c r="A66" s="4" t="s">
        <v>222</v>
      </c>
      <c r="B66" s="5">
        <v>45597</v>
      </c>
      <c r="C66" s="4" t="s">
        <v>220</v>
      </c>
      <c r="D66" s="4" t="s">
        <v>223</v>
      </c>
      <c r="E66" s="4" t="s">
        <v>15</v>
      </c>
      <c r="F66" s="4" t="s">
        <v>90</v>
      </c>
      <c r="G66" s="4" t="s">
        <v>35</v>
      </c>
      <c r="H66" s="4" t="s">
        <v>36</v>
      </c>
      <c r="I66" s="6">
        <v>8</v>
      </c>
      <c r="J66" s="6">
        <v>2784</v>
      </c>
      <c r="K66" s="6">
        <v>2318.58</v>
      </c>
      <c r="L66" s="6">
        <v>465.42</v>
      </c>
    </row>
    <row r="67" spans="1:12" x14ac:dyDescent="0.3">
      <c r="A67" s="4" t="s">
        <v>224</v>
      </c>
      <c r="B67" s="5">
        <v>45690</v>
      </c>
      <c r="C67" s="4" t="s">
        <v>225</v>
      </c>
      <c r="D67" s="4" t="s">
        <v>226</v>
      </c>
      <c r="E67" s="4" t="s">
        <v>29</v>
      </c>
      <c r="F67" s="4" t="s">
        <v>49</v>
      </c>
      <c r="G67" s="4" t="s">
        <v>40</v>
      </c>
      <c r="H67" s="4" t="s">
        <v>56</v>
      </c>
      <c r="I67" s="6">
        <v>5</v>
      </c>
      <c r="J67" s="6">
        <v>19350</v>
      </c>
      <c r="K67" s="6">
        <v>13461.65</v>
      </c>
      <c r="L67" s="6">
        <v>5888.35</v>
      </c>
    </row>
    <row r="68" spans="1:12" x14ac:dyDescent="0.3">
      <c r="A68" s="4" t="s">
        <v>227</v>
      </c>
      <c r="B68" s="5">
        <v>45695</v>
      </c>
      <c r="C68" s="4" t="s">
        <v>228</v>
      </c>
      <c r="D68" s="4" t="s">
        <v>229</v>
      </c>
      <c r="E68" s="4" t="s">
        <v>29</v>
      </c>
      <c r="F68" s="4" t="s">
        <v>49</v>
      </c>
      <c r="G68" s="4" t="s">
        <v>24</v>
      </c>
      <c r="H68" s="4" t="s">
        <v>166</v>
      </c>
      <c r="I68" s="6">
        <v>10</v>
      </c>
      <c r="J68" s="6">
        <v>46750</v>
      </c>
      <c r="K68" s="6">
        <v>26090.7</v>
      </c>
      <c r="L68" s="6">
        <v>20659.3</v>
      </c>
    </row>
    <row r="69" spans="1:12" x14ac:dyDescent="0.3">
      <c r="A69" s="4" t="s">
        <v>230</v>
      </c>
      <c r="B69" s="5">
        <v>45558</v>
      </c>
      <c r="C69" s="4" t="s">
        <v>231</v>
      </c>
      <c r="D69" s="4" t="s">
        <v>232</v>
      </c>
      <c r="E69" s="4" t="s">
        <v>15</v>
      </c>
      <c r="F69" s="4" t="s">
        <v>90</v>
      </c>
      <c r="G69" s="4" t="s">
        <v>35</v>
      </c>
      <c r="H69" s="4" t="s">
        <v>36</v>
      </c>
      <c r="I69" s="6">
        <v>3</v>
      </c>
      <c r="J69" s="6">
        <v>12246</v>
      </c>
      <c r="K69" s="6">
        <v>7402.94</v>
      </c>
      <c r="L69" s="6">
        <v>4843.0600000000004</v>
      </c>
    </row>
    <row r="70" spans="1:12" x14ac:dyDescent="0.3">
      <c r="A70" s="4" t="s">
        <v>233</v>
      </c>
      <c r="B70" s="5">
        <v>45723</v>
      </c>
      <c r="C70" s="4" t="s">
        <v>234</v>
      </c>
      <c r="D70" s="4" t="s">
        <v>215</v>
      </c>
      <c r="E70" s="4" t="s">
        <v>29</v>
      </c>
      <c r="F70" s="4" t="s">
        <v>49</v>
      </c>
      <c r="G70" s="4" t="s">
        <v>40</v>
      </c>
      <c r="H70" s="4" t="s">
        <v>41</v>
      </c>
      <c r="I70" s="6">
        <v>6</v>
      </c>
      <c r="J70" s="6">
        <v>20430</v>
      </c>
      <c r="K70" s="6">
        <v>12941.93</v>
      </c>
      <c r="L70" s="6">
        <v>7488.07</v>
      </c>
    </row>
    <row r="71" spans="1:12" x14ac:dyDescent="0.3">
      <c r="A71" s="4" t="s">
        <v>235</v>
      </c>
      <c r="B71" s="5">
        <v>45650</v>
      </c>
      <c r="C71" s="4" t="s">
        <v>236</v>
      </c>
      <c r="D71" s="4" t="s">
        <v>237</v>
      </c>
      <c r="E71" s="4" t="s">
        <v>22</v>
      </c>
      <c r="F71" s="4" t="s">
        <v>23</v>
      </c>
      <c r="G71" s="4" t="s">
        <v>17</v>
      </c>
      <c r="H71" s="4" t="s">
        <v>18</v>
      </c>
      <c r="I71" s="6">
        <v>9</v>
      </c>
      <c r="J71" s="6">
        <v>6534</v>
      </c>
      <c r="K71" s="6">
        <v>5553.72</v>
      </c>
      <c r="L71" s="6">
        <v>980.28</v>
      </c>
    </row>
    <row r="72" spans="1:12" x14ac:dyDescent="0.3">
      <c r="A72" s="4" t="s">
        <v>238</v>
      </c>
      <c r="B72" s="5">
        <v>45536</v>
      </c>
      <c r="C72" s="4" t="s">
        <v>239</v>
      </c>
      <c r="D72" s="4" t="s">
        <v>108</v>
      </c>
      <c r="E72" s="4" t="s">
        <v>15</v>
      </c>
      <c r="F72" s="4" t="s">
        <v>16</v>
      </c>
      <c r="G72" s="4" t="s">
        <v>40</v>
      </c>
      <c r="H72" s="4" t="s">
        <v>56</v>
      </c>
      <c r="I72" s="6">
        <v>4</v>
      </c>
      <c r="J72" s="6">
        <v>1864</v>
      </c>
      <c r="K72" s="6">
        <v>1372.65</v>
      </c>
      <c r="L72" s="6">
        <v>491.35</v>
      </c>
    </row>
    <row r="73" spans="1:12" x14ac:dyDescent="0.3">
      <c r="A73" s="4" t="s">
        <v>240</v>
      </c>
      <c r="B73" s="5">
        <v>45463</v>
      </c>
      <c r="C73" s="4" t="s">
        <v>77</v>
      </c>
      <c r="D73" s="4" t="s">
        <v>48</v>
      </c>
      <c r="E73" s="4" t="s">
        <v>15</v>
      </c>
      <c r="F73" s="4" t="s">
        <v>90</v>
      </c>
      <c r="G73" s="4" t="s">
        <v>40</v>
      </c>
      <c r="H73" s="4" t="s">
        <v>56</v>
      </c>
      <c r="I73" s="6">
        <v>8</v>
      </c>
      <c r="J73" s="6">
        <v>19192</v>
      </c>
      <c r="K73" s="6">
        <v>14971.09</v>
      </c>
      <c r="L73" s="6">
        <v>4220.91</v>
      </c>
    </row>
    <row r="74" spans="1:12" x14ac:dyDescent="0.3">
      <c r="A74" s="4" t="s">
        <v>241</v>
      </c>
      <c r="B74" s="5">
        <v>45676</v>
      </c>
      <c r="C74" s="4" t="s">
        <v>242</v>
      </c>
      <c r="D74" s="4" t="s">
        <v>243</v>
      </c>
      <c r="E74" s="4" t="s">
        <v>54</v>
      </c>
      <c r="F74" s="4" t="s">
        <v>142</v>
      </c>
      <c r="G74" s="4" t="s">
        <v>17</v>
      </c>
      <c r="H74" s="4" t="s">
        <v>72</v>
      </c>
      <c r="I74" s="6">
        <v>1</v>
      </c>
      <c r="J74" s="6">
        <v>2855</v>
      </c>
      <c r="K74" s="6">
        <v>2063.42</v>
      </c>
      <c r="L74" s="6">
        <v>791.58</v>
      </c>
    </row>
    <row r="75" spans="1:12" x14ac:dyDescent="0.3">
      <c r="A75" s="4" t="s">
        <v>244</v>
      </c>
      <c r="B75" s="5">
        <v>45600</v>
      </c>
      <c r="C75" s="4" t="s">
        <v>245</v>
      </c>
      <c r="D75" s="4" t="s">
        <v>246</v>
      </c>
      <c r="E75" s="4" t="s">
        <v>15</v>
      </c>
      <c r="F75" s="4" t="s">
        <v>90</v>
      </c>
      <c r="G75" s="4" t="s">
        <v>17</v>
      </c>
      <c r="H75" s="4" t="s">
        <v>18</v>
      </c>
      <c r="I75" s="6">
        <v>4</v>
      </c>
      <c r="J75" s="6">
        <v>4536</v>
      </c>
      <c r="K75" s="6">
        <v>3443.54</v>
      </c>
      <c r="L75" s="6">
        <v>1092.46</v>
      </c>
    </row>
    <row r="76" spans="1:12" x14ac:dyDescent="0.3">
      <c r="A76" s="4" t="s">
        <v>247</v>
      </c>
      <c r="B76" s="5">
        <v>45955</v>
      </c>
      <c r="C76" s="4" t="s">
        <v>248</v>
      </c>
      <c r="D76" s="4" t="s">
        <v>249</v>
      </c>
      <c r="E76" s="4" t="s">
        <v>15</v>
      </c>
      <c r="F76" s="4" t="s">
        <v>63</v>
      </c>
      <c r="G76" s="4" t="s">
        <v>35</v>
      </c>
      <c r="H76" s="4" t="s">
        <v>45</v>
      </c>
      <c r="I76" s="6">
        <v>7</v>
      </c>
      <c r="J76" s="6">
        <v>23345</v>
      </c>
      <c r="K76" s="6">
        <v>13322.69</v>
      </c>
      <c r="L76" s="6">
        <v>10022.31</v>
      </c>
    </row>
    <row r="77" spans="1:12" x14ac:dyDescent="0.3">
      <c r="A77" s="4" t="s">
        <v>250</v>
      </c>
      <c r="B77" s="5">
        <v>45762</v>
      </c>
      <c r="C77" s="4" t="s">
        <v>251</v>
      </c>
      <c r="D77" s="4" t="s">
        <v>252</v>
      </c>
      <c r="E77" s="4" t="s">
        <v>22</v>
      </c>
      <c r="F77" s="4" t="s">
        <v>67</v>
      </c>
      <c r="G77" s="4" t="s">
        <v>24</v>
      </c>
      <c r="H77" s="4" t="s">
        <v>50</v>
      </c>
      <c r="I77" s="6">
        <v>7</v>
      </c>
      <c r="J77" s="6">
        <v>22869</v>
      </c>
      <c r="K77" s="6">
        <v>16938.509999999998</v>
      </c>
      <c r="L77" s="6">
        <v>5930.49</v>
      </c>
    </row>
    <row r="78" spans="1:12" x14ac:dyDescent="0.3">
      <c r="A78" s="4" t="s">
        <v>253</v>
      </c>
      <c r="B78" s="5">
        <v>45768</v>
      </c>
      <c r="C78" s="4" t="s">
        <v>254</v>
      </c>
      <c r="D78" s="4" t="s">
        <v>255</v>
      </c>
      <c r="E78" s="4" t="s">
        <v>29</v>
      </c>
      <c r="F78" s="4" t="s">
        <v>30</v>
      </c>
      <c r="G78" s="4" t="s">
        <v>35</v>
      </c>
      <c r="H78" s="4" t="s">
        <v>45</v>
      </c>
      <c r="I78" s="6">
        <v>5</v>
      </c>
      <c r="J78" s="6">
        <v>23540</v>
      </c>
      <c r="K78" s="6">
        <v>18417.52</v>
      </c>
      <c r="L78" s="6">
        <v>5122.4799999999996</v>
      </c>
    </row>
    <row r="79" spans="1:12" x14ac:dyDescent="0.3">
      <c r="A79" s="4" t="s">
        <v>256</v>
      </c>
      <c r="B79" s="5">
        <v>45767</v>
      </c>
      <c r="C79" s="4" t="s">
        <v>257</v>
      </c>
      <c r="D79" s="4" t="s">
        <v>258</v>
      </c>
      <c r="E79" s="4" t="s">
        <v>54</v>
      </c>
      <c r="F79" s="4" t="s">
        <v>142</v>
      </c>
      <c r="G79" s="4" t="s">
        <v>24</v>
      </c>
      <c r="H79" s="4" t="s">
        <v>50</v>
      </c>
      <c r="I79" s="6">
        <v>5</v>
      </c>
      <c r="J79" s="6">
        <v>19960</v>
      </c>
      <c r="K79" s="6">
        <v>12438.25</v>
      </c>
      <c r="L79" s="6">
        <v>7521.75</v>
      </c>
    </row>
    <row r="80" spans="1:12" x14ac:dyDescent="0.3">
      <c r="A80" s="4" t="s">
        <v>259</v>
      </c>
      <c r="B80" s="5">
        <v>45655</v>
      </c>
      <c r="C80" s="4" t="s">
        <v>260</v>
      </c>
      <c r="D80" s="4" t="s">
        <v>261</v>
      </c>
      <c r="E80" s="4" t="s">
        <v>54</v>
      </c>
      <c r="F80" s="4" t="s">
        <v>142</v>
      </c>
      <c r="G80" s="4" t="s">
        <v>35</v>
      </c>
      <c r="H80" s="4" t="s">
        <v>80</v>
      </c>
      <c r="I80" s="6">
        <v>6</v>
      </c>
      <c r="J80" s="6">
        <v>10734</v>
      </c>
      <c r="K80" s="6">
        <v>7473.71</v>
      </c>
      <c r="L80" s="6">
        <v>3260.29</v>
      </c>
    </row>
    <row r="81" spans="1:12" x14ac:dyDescent="0.3">
      <c r="A81" s="4" t="s">
        <v>262</v>
      </c>
      <c r="B81" s="5">
        <v>45487</v>
      </c>
      <c r="C81" s="4" t="s">
        <v>263</v>
      </c>
      <c r="D81" s="4" t="s">
        <v>264</v>
      </c>
      <c r="E81" s="4" t="s">
        <v>54</v>
      </c>
      <c r="F81" s="4" t="s">
        <v>71</v>
      </c>
      <c r="G81" s="4" t="s">
        <v>17</v>
      </c>
      <c r="H81" s="4" t="s">
        <v>18</v>
      </c>
      <c r="I81" s="6">
        <v>5</v>
      </c>
      <c r="J81" s="6">
        <v>24265</v>
      </c>
      <c r="K81" s="6">
        <v>13419.65</v>
      </c>
      <c r="L81" s="6">
        <v>10845.35</v>
      </c>
    </row>
    <row r="82" spans="1:12" x14ac:dyDescent="0.3">
      <c r="A82" s="4" t="s">
        <v>265</v>
      </c>
      <c r="B82" s="5">
        <v>45794</v>
      </c>
      <c r="C82" s="4" t="s">
        <v>266</v>
      </c>
      <c r="D82" s="4" t="s">
        <v>267</v>
      </c>
      <c r="E82" s="4" t="s">
        <v>22</v>
      </c>
      <c r="F82" s="4" t="s">
        <v>67</v>
      </c>
      <c r="G82" s="4" t="s">
        <v>35</v>
      </c>
      <c r="H82" s="4" t="s">
        <v>45</v>
      </c>
      <c r="I82" s="6">
        <v>4</v>
      </c>
      <c r="J82" s="6">
        <v>16800</v>
      </c>
      <c r="K82" s="6">
        <v>12495.35</v>
      </c>
      <c r="L82" s="6">
        <v>4304.6499999999996</v>
      </c>
    </row>
    <row r="83" spans="1:12" x14ac:dyDescent="0.3">
      <c r="A83" s="4" t="s">
        <v>268</v>
      </c>
      <c r="B83" s="5">
        <v>45887</v>
      </c>
      <c r="C83" s="4" t="s">
        <v>269</v>
      </c>
      <c r="D83" s="4" t="s">
        <v>108</v>
      </c>
      <c r="E83" s="4" t="s">
        <v>15</v>
      </c>
      <c r="F83" s="4" t="s">
        <v>63</v>
      </c>
      <c r="G83" s="4" t="s">
        <v>40</v>
      </c>
      <c r="H83" s="4" t="s">
        <v>56</v>
      </c>
      <c r="I83" s="6">
        <v>7</v>
      </c>
      <c r="J83" s="6">
        <v>16051</v>
      </c>
      <c r="K83" s="6">
        <v>10302.52</v>
      </c>
      <c r="L83" s="6">
        <v>5748.48</v>
      </c>
    </row>
    <row r="84" spans="1:12" x14ac:dyDescent="0.3">
      <c r="A84" s="4" t="s">
        <v>270</v>
      </c>
      <c r="B84" s="5">
        <v>45756</v>
      </c>
      <c r="C84" s="4" t="s">
        <v>271</v>
      </c>
      <c r="D84" s="4" t="s">
        <v>272</v>
      </c>
      <c r="E84" s="4" t="s">
        <v>54</v>
      </c>
      <c r="F84" s="4" t="s">
        <v>55</v>
      </c>
      <c r="G84" s="4" t="s">
        <v>17</v>
      </c>
      <c r="H84" s="4" t="s">
        <v>18</v>
      </c>
      <c r="I84" s="6">
        <v>9</v>
      </c>
      <c r="J84" s="6">
        <v>27081</v>
      </c>
      <c r="K84" s="6">
        <v>17752.759999999998</v>
      </c>
      <c r="L84" s="6">
        <v>9328.24</v>
      </c>
    </row>
    <row r="85" spans="1:12" x14ac:dyDescent="0.3">
      <c r="A85" s="4" t="s">
        <v>273</v>
      </c>
      <c r="B85" s="5">
        <v>45840</v>
      </c>
      <c r="C85" s="4" t="s">
        <v>274</v>
      </c>
      <c r="D85" s="4" t="s">
        <v>187</v>
      </c>
      <c r="E85" s="4" t="s">
        <v>54</v>
      </c>
      <c r="F85" s="4" t="s">
        <v>142</v>
      </c>
      <c r="G85" s="4" t="s">
        <v>24</v>
      </c>
      <c r="H85" s="4" t="s">
        <v>50</v>
      </c>
      <c r="I85" s="6">
        <v>4</v>
      </c>
      <c r="J85" s="6">
        <v>11536</v>
      </c>
      <c r="K85" s="6">
        <v>6758.56</v>
      </c>
      <c r="L85" s="6">
        <v>4777.4399999999996</v>
      </c>
    </row>
    <row r="86" spans="1:12" x14ac:dyDescent="0.3">
      <c r="A86" s="4" t="s">
        <v>275</v>
      </c>
      <c r="B86" s="5">
        <v>45394</v>
      </c>
      <c r="C86" s="4" t="s">
        <v>276</v>
      </c>
      <c r="D86" s="4" t="s">
        <v>277</v>
      </c>
      <c r="E86" s="4" t="s">
        <v>29</v>
      </c>
      <c r="F86" s="4" t="s">
        <v>30</v>
      </c>
      <c r="G86" s="4" t="s">
        <v>35</v>
      </c>
      <c r="H86" s="4" t="s">
        <v>80</v>
      </c>
      <c r="I86" s="6">
        <v>5</v>
      </c>
      <c r="J86" s="6">
        <v>22985</v>
      </c>
      <c r="K86" s="6">
        <v>16756.919999999998</v>
      </c>
      <c r="L86" s="6">
        <v>6228.08</v>
      </c>
    </row>
    <row r="87" spans="1:12" x14ac:dyDescent="0.3">
      <c r="A87" s="4" t="s">
        <v>278</v>
      </c>
      <c r="B87" s="5">
        <v>45421</v>
      </c>
      <c r="C87" s="4" t="s">
        <v>279</v>
      </c>
      <c r="D87" s="4" t="s">
        <v>44</v>
      </c>
      <c r="E87" s="4" t="s">
        <v>29</v>
      </c>
      <c r="F87" s="4" t="s">
        <v>49</v>
      </c>
      <c r="G87" s="4" t="s">
        <v>24</v>
      </c>
      <c r="H87" s="4" t="s">
        <v>166</v>
      </c>
      <c r="I87" s="6">
        <v>5</v>
      </c>
      <c r="J87" s="6">
        <v>2075</v>
      </c>
      <c r="K87" s="6">
        <v>1581.99</v>
      </c>
      <c r="L87" s="6">
        <v>493.01</v>
      </c>
    </row>
    <row r="88" spans="1:12" x14ac:dyDescent="0.3">
      <c r="A88" s="4" t="s">
        <v>280</v>
      </c>
      <c r="B88" s="5">
        <v>45304</v>
      </c>
      <c r="C88" s="4" t="s">
        <v>281</v>
      </c>
      <c r="D88" s="4" t="s">
        <v>282</v>
      </c>
      <c r="E88" s="4" t="s">
        <v>15</v>
      </c>
      <c r="F88" s="4" t="s">
        <v>90</v>
      </c>
      <c r="G88" s="4" t="s">
        <v>40</v>
      </c>
      <c r="H88" s="4" t="s">
        <v>99</v>
      </c>
      <c r="I88" s="6">
        <v>3</v>
      </c>
      <c r="J88" s="6">
        <v>12963</v>
      </c>
      <c r="K88" s="6">
        <v>7528.6</v>
      </c>
      <c r="L88" s="6">
        <v>5434.4</v>
      </c>
    </row>
    <row r="89" spans="1:12" x14ac:dyDescent="0.3">
      <c r="A89" s="4" t="s">
        <v>283</v>
      </c>
      <c r="B89" s="5">
        <v>45550</v>
      </c>
      <c r="C89" s="4" t="s">
        <v>284</v>
      </c>
      <c r="D89" s="4" t="s">
        <v>285</v>
      </c>
      <c r="E89" s="4" t="s">
        <v>22</v>
      </c>
      <c r="F89" s="4" t="s">
        <v>67</v>
      </c>
      <c r="G89" s="4" t="s">
        <v>35</v>
      </c>
      <c r="H89" s="4" t="s">
        <v>80</v>
      </c>
      <c r="I89" s="6">
        <v>6</v>
      </c>
      <c r="J89" s="6">
        <v>10860</v>
      </c>
      <c r="K89" s="6">
        <v>9118.59</v>
      </c>
      <c r="L89" s="6">
        <v>1741.41</v>
      </c>
    </row>
    <row r="90" spans="1:12" x14ac:dyDescent="0.3">
      <c r="A90" s="4" t="s">
        <v>286</v>
      </c>
      <c r="B90" s="5">
        <v>45868</v>
      </c>
      <c r="C90" s="4" t="s">
        <v>287</v>
      </c>
      <c r="D90" s="4" t="s">
        <v>288</v>
      </c>
      <c r="E90" s="4" t="s">
        <v>15</v>
      </c>
      <c r="F90" s="4" t="s">
        <v>63</v>
      </c>
      <c r="G90" s="4" t="s">
        <v>35</v>
      </c>
      <c r="H90" s="4" t="s">
        <v>80</v>
      </c>
      <c r="I90" s="6">
        <v>2</v>
      </c>
      <c r="J90" s="6">
        <v>1478</v>
      </c>
      <c r="K90" s="6">
        <v>880.18</v>
      </c>
      <c r="L90" s="6">
        <v>597.82000000000005</v>
      </c>
    </row>
    <row r="91" spans="1:12" x14ac:dyDescent="0.3">
      <c r="A91" s="4" t="s">
        <v>289</v>
      </c>
      <c r="B91" s="5">
        <v>45681</v>
      </c>
      <c r="C91" s="4" t="s">
        <v>290</v>
      </c>
      <c r="D91" s="4" t="s">
        <v>155</v>
      </c>
      <c r="E91" s="4" t="s">
        <v>29</v>
      </c>
      <c r="F91" s="4" t="s">
        <v>102</v>
      </c>
      <c r="G91" s="4" t="s">
        <v>35</v>
      </c>
      <c r="H91" s="4" t="s">
        <v>45</v>
      </c>
      <c r="I91" s="6">
        <v>7</v>
      </c>
      <c r="J91" s="6">
        <v>15036</v>
      </c>
      <c r="K91" s="6">
        <v>11768.8</v>
      </c>
      <c r="L91" s="6">
        <v>3267.2</v>
      </c>
    </row>
    <row r="92" spans="1:12" x14ac:dyDescent="0.3">
      <c r="A92" s="4" t="s">
        <v>291</v>
      </c>
      <c r="B92" s="5">
        <v>45916</v>
      </c>
      <c r="C92" s="4" t="s">
        <v>292</v>
      </c>
      <c r="D92" s="4" t="s">
        <v>293</v>
      </c>
      <c r="E92" s="4" t="s">
        <v>54</v>
      </c>
      <c r="F92" s="4" t="s">
        <v>71</v>
      </c>
      <c r="G92" s="4" t="s">
        <v>35</v>
      </c>
      <c r="H92" s="4" t="s">
        <v>36</v>
      </c>
      <c r="I92" s="6">
        <v>5</v>
      </c>
      <c r="J92" s="6">
        <v>24790</v>
      </c>
      <c r="K92" s="6">
        <v>18253.080000000002</v>
      </c>
      <c r="L92" s="6">
        <v>6536.92</v>
      </c>
    </row>
    <row r="93" spans="1:12" x14ac:dyDescent="0.3">
      <c r="A93" s="4" t="s">
        <v>294</v>
      </c>
      <c r="B93" s="5">
        <v>45857</v>
      </c>
      <c r="C93" s="4" t="s">
        <v>295</v>
      </c>
      <c r="D93" s="4" t="s">
        <v>296</v>
      </c>
      <c r="E93" s="4" t="s">
        <v>29</v>
      </c>
      <c r="F93" s="4" t="s">
        <v>49</v>
      </c>
      <c r="G93" s="4" t="s">
        <v>17</v>
      </c>
      <c r="H93" s="4" t="s">
        <v>31</v>
      </c>
      <c r="I93" s="6">
        <v>2</v>
      </c>
      <c r="J93" s="6">
        <v>3172</v>
      </c>
      <c r="K93" s="6">
        <v>1972.86</v>
      </c>
      <c r="L93" s="6">
        <v>1199.1400000000001</v>
      </c>
    </row>
    <row r="94" spans="1:12" x14ac:dyDescent="0.3">
      <c r="A94" s="4" t="s">
        <v>297</v>
      </c>
      <c r="B94" s="5">
        <v>45529</v>
      </c>
      <c r="C94" s="4" t="s">
        <v>298</v>
      </c>
      <c r="D94" s="4" t="s">
        <v>299</v>
      </c>
      <c r="E94" s="4" t="s">
        <v>15</v>
      </c>
      <c r="F94" s="4" t="s">
        <v>63</v>
      </c>
      <c r="G94" s="4" t="s">
        <v>35</v>
      </c>
      <c r="H94" s="4" t="s">
        <v>80</v>
      </c>
      <c r="I94" s="6">
        <v>10</v>
      </c>
      <c r="J94" s="6">
        <v>41490</v>
      </c>
      <c r="K94" s="6">
        <v>26444.799999999999</v>
      </c>
      <c r="L94" s="6">
        <v>15045.2</v>
      </c>
    </row>
    <row r="95" spans="1:12" x14ac:dyDescent="0.3">
      <c r="A95" s="4" t="s">
        <v>300</v>
      </c>
      <c r="B95" s="5">
        <v>45932</v>
      </c>
      <c r="C95" s="4" t="s">
        <v>301</v>
      </c>
      <c r="D95" s="4" t="s">
        <v>302</v>
      </c>
      <c r="E95" s="4" t="s">
        <v>22</v>
      </c>
      <c r="F95" s="4" t="s">
        <v>23</v>
      </c>
      <c r="G95" s="4" t="s">
        <v>17</v>
      </c>
      <c r="H95" s="4" t="s">
        <v>31</v>
      </c>
      <c r="I95" s="6">
        <v>4</v>
      </c>
      <c r="J95" s="6">
        <v>9868</v>
      </c>
      <c r="K95" s="6">
        <v>7759.69</v>
      </c>
      <c r="L95" s="6">
        <v>2108.31</v>
      </c>
    </row>
    <row r="96" spans="1:12" x14ac:dyDescent="0.3">
      <c r="A96" s="4" t="s">
        <v>303</v>
      </c>
      <c r="B96" s="5">
        <v>45365</v>
      </c>
      <c r="C96" s="4" t="s">
        <v>120</v>
      </c>
      <c r="D96" s="4" t="s">
        <v>121</v>
      </c>
      <c r="E96" s="4" t="s">
        <v>15</v>
      </c>
      <c r="F96" s="4" t="s">
        <v>90</v>
      </c>
      <c r="G96" s="4" t="s">
        <v>40</v>
      </c>
      <c r="H96" s="4" t="s">
        <v>56</v>
      </c>
      <c r="I96" s="6">
        <v>3</v>
      </c>
      <c r="J96" s="6">
        <v>7428</v>
      </c>
      <c r="K96" s="6">
        <v>5927.46</v>
      </c>
      <c r="L96" s="6">
        <v>1500.54</v>
      </c>
    </row>
    <row r="97" spans="1:12" x14ac:dyDescent="0.3">
      <c r="A97" s="4" t="s">
        <v>304</v>
      </c>
      <c r="B97" s="5">
        <v>45771</v>
      </c>
      <c r="C97" s="4" t="s">
        <v>287</v>
      </c>
      <c r="D97" s="4" t="s">
        <v>305</v>
      </c>
      <c r="E97" s="4" t="s">
        <v>54</v>
      </c>
      <c r="F97" s="4" t="s">
        <v>71</v>
      </c>
      <c r="G97" s="4" t="s">
        <v>17</v>
      </c>
      <c r="H97" s="4" t="s">
        <v>18</v>
      </c>
      <c r="I97" s="6">
        <v>10</v>
      </c>
      <c r="J97" s="6">
        <v>26640</v>
      </c>
      <c r="K97" s="6">
        <v>18161.71</v>
      </c>
      <c r="L97" s="6">
        <v>8478.2900000000009</v>
      </c>
    </row>
    <row r="98" spans="1:12" x14ac:dyDescent="0.3">
      <c r="A98" s="4" t="s">
        <v>306</v>
      </c>
      <c r="B98" s="5">
        <v>45332</v>
      </c>
      <c r="C98" s="4" t="s">
        <v>307</v>
      </c>
      <c r="D98" s="4" t="s">
        <v>308</v>
      </c>
      <c r="E98" s="4" t="s">
        <v>54</v>
      </c>
      <c r="F98" s="4" t="s">
        <v>71</v>
      </c>
      <c r="G98" s="4" t="s">
        <v>35</v>
      </c>
      <c r="H98" s="4" t="s">
        <v>45</v>
      </c>
      <c r="I98" s="6">
        <v>8</v>
      </c>
      <c r="J98" s="6">
        <v>31088</v>
      </c>
      <c r="K98" s="6">
        <v>17848.63</v>
      </c>
      <c r="L98" s="6">
        <v>13239.37</v>
      </c>
    </row>
    <row r="99" spans="1:12" x14ac:dyDescent="0.3">
      <c r="A99" s="4" t="s">
        <v>309</v>
      </c>
      <c r="B99" s="5">
        <v>45980</v>
      </c>
      <c r="C99" s="4" t="s">
        <v>310</v>
      </c>
      <c r="D99" s="4" t="s">
        <v>311</v>
      </c>
      <c r="E99" s="4" t="s">
        <v>54</v>
      </c>
      <c r="F99" s="4" t="s">
        <v>142</v>
      </c>
      <c r="G99" s="4" t="s">
        <v>24</v>
      </c>
      <c r="H99" s="4" t="s">
        <v>50</v>
      </c>
      <c r="I99" s="6">
        <v>4</v>
      </c>
      <c r="J99" s="6">
        <v>1876</v>
      </c>
      <c r="K99" s="6">
        <v>1594.36</v>
      </c>
      <c r="L99" s="6">
        <v>281.64</v>
      </c>
    </row>
    <row r="100" spans="1:12" x14ac:dyDescent="0.3">
      <c r="A100" s="4" t="s">
        <v>312</v>
      </c>
      <c r="B100" s="5">
        <v>45477</v>
      </c>
      <c r="C100" s="4" t="s">
        <v>313</v>
      </c>
      <c r="D100" s="4" t="s">
        <v>314</v>
      </c>
      <c r="E100" s="4" t="s">
        <v>15</v>
      </c>
      <c r="F100" s="4" t="s">
        <v>16</v>
      </c>
      <c r="G100" s="4" t="s">
        <v>35</v>
      </c>
      <c r="H100" s="4" t="s">
        <v>80</v>
      </c>
      <c r="I100" s="6">
        <v>9</v>
      </c>
      <c r="J100" s="6">
        <v>35298</v>
      </c>
      <c r="K100" s="6">
        <v>29114.560000000001</v>
      </c>
      <c r="L100" s="6">
        <v>6183.44</v>
      </c>
    </row>
    <row r="101" spans="1:12" x14ac:dyDescent="0.3">
      <c r="A101" s="4" t="s">
        <v>315</v>
      </c>
      <c r="B101" s="5">
        <v>45978</v>
      </c>
      <c r="C101" s="4" t="s">
        <v>316</v>
      </c>
      <c r="D101" s="4" t="s">
        <v>86</v>
      </c>
      <c r="E101" s="4" t="s">
        <v>22</v>
      </c>
      <c r="F101" s="4" t="s">
        <v>23</v>
      </c>
      <c r="G101" s="4" t="s">
        <v>35</v>
      </c>
      <c r="H101" s="4" t="s">
        <v>80</v>
      </c>
      <c r="I101" s="6">
        <v>6</v>
      </c>
      <c r="J101" s="6">
        <v>21870</v>
      </c>
      <c r="K101" s="6">
        <v>14215.34</v>
      </c>
      <c r="L101" s="6">
        <v>7654.66</v>
      </c>
    </row>
    <row r="102" spans="1:12" x14ac:dyDescent="0.3">
      <c r="A102" s="4" t="s">
        <v>317</v>
      </c>
      <c r="B102" s="5">
        <v>45702</v>
      </c>
      <c r="C102" s="4" t="s">
        <v>318</v>
      </c>
      <c r="D102" s="4" t="s">
        <v>319</v>
      </c>
      <c r="E102" s="4" t="s">
        <v>54</v>
      </c>
      <c r="F102" s="4" t="s">
        <v>55</v>
      </c>
      <c r="G102" s="4" t="s">
        <v>17</v>
      </c>
      <c r="H102" s="4" t="s">
        <v>18</v>
      </c>
      <c r="I102" s="6">
        <v>8</v>
      </c>
      <c r="J102" s="6">
        <v>21288</v>
      </c>
      <c r="K102" s="6">
        <v>15939.92</v>
      </c>
      <c r="L102" s="6">
        <v>5348.08</v>
      </c>
    </row>
    <row r="103" spans="1:12" x14ac:dyDescent="0.3">
      <c r="A103" s="4" t="s">
        <v>320</v>
      </c>
      <c r="B103" s="5">
        <v>45705</v>
      </c>
      <c r="C103" s="4" t="s">
        <v>321</v>
      </c>
      <c r="D103" s="4" t="s">
        <v>322</v>
      </c>
      <c r="E103" s="4" t="s">
        <v>22</v>
      </c>
      <c r="F103" s="4" t="s">
        <v>23</v>
      </c>
      <c r="G103" s="4" t="s">
        <v>40</v>
      </c>
      <c r="H103" s="4" t="s">
        <v>41</v>
      </c>
      <c r="I103" s="6">
        <v>5</v>
      </c>
      <c r="J103" s="6">
        <v>14740</v>
      </c>
      <c r="K103" s="6">
        <v>8619.61</v>
      </c>
      <c r="L103" s="6">
        <v>6120.39</v>
      </c>
    </row>
    <row r="104" spans="1:12" x14ac:dyDescent="0.3">
      <c r="A104" s="4" t="s">
        <v>323</v>
      </c>
      <c r="B104" s="5">
        <v>45802</v>
      </c>
      <c r="C104" s="4" t="s">
        <v>324</v>
      </c>
      <c r="D104" s="4" t="s">
        <v>325</v>
      </c>
      <c r="E104" s="4" t="s">
        <v>22</v>
      </c>
      <c r="F104" s="4" t="s">
        <v>67</v>
      </c>
      <c r="G104" s="4" t="s">
        <v>24</v>
      </c>
      <c r="H104" s="4" t="s">
        <v>25</v>
      </c>
      <c r="I104" s="6">
        <v>4</v>
      </c>
      <c r="J104" s="6">
        <v>18188</v>
      </c>
      <c r="K104" s="6">
        <v>11977.41</v>
      </c>
      <c r="L104" s="6">
        <v>6210.59</v>
      </c>
    </row>
    <row r="105" spans="1:12" x14ac:dyDescent="0.3">
      <c r="A105" s="4" t="s">
        <v>326</v>
      </c>
      <c r="B105" s="5">
        <v>46007</v>
      </c>
      <c r="C105" s="4" t="s">
        <v>212</v>
      </c>
      <c r="D105" s="4" t="s">
        <v>327</v>
      </c>
      <c r="E105" s="4" t="s">
        <v>29</v>
      </c>
      <c r="F105" s="4" t="s">
        <v>49</v>
      </c>
      <c r="G105" s="4" t="s">
        <v>35</v>
      </c>
      <c r="H105" s="4" t="s">
        <v>45</v>
      </c>
      <c r="I105" s="6">
        <v>3</v>
      </c>
      <c r="J105" s="6">
        <v>7977</v>
      </c>
      <c r="K105" s="6">
        <v>5435.81</v>
      </c>
      <c r="L105" s="6">
        <v>2541.19</v>
      </c>
    </row>
    <row r="106" spans="1:12" x14ac:dyDescent="0.3">
      <c r="A106" s="4" t="s">
        <v>328</v>
      </c>
      <c r="B106" s="5">
        <v>45306</v>
      </c>
      <c r="C106" s="4" t="s">
        <v>329</v>
      </c>
      <c r="D106" s="4" t="s">
        <v>218</v>
      </c>
      <c r="E106" s="4" t="s">
        <v>15</v>
      </c>
      <c r="F106" s="4" t="s">
        <v>90</v>
      </c>
      <c r="G106" s="4" t="s">
        <v>17</v>
      </c>
      <c r="H106" s="4" t="s">
        <v>72</v>
      </c>
      <c r="I106" s="6">
        <v>4</v>
      </c>
      <c r="J106" s="6">
        <v>6388</v>
      </c>
      <c r="K106" s="6">
        <v>4108.92</v>
      </c>
      <c r="L106" s="6">
        <v>2279.08</v>
      </c>
    </row>
    <row r="107" spans="1:12" x14ac:dyDescent="0.3">
      <c r="A107" s="4" t="s">
        <v>330</v>
      </c>
      <c r="B107" s="5">
        <v>45449</v>
      </c>
      <c r="C107" s="4" t="s">
        <v>331</v>
      </c>
      <c r="D107" s="4" t="s">
        <v>332</v>
      </c>
      <c r="E107" s="4" t="s">
        <v>15</v>
      </c>
      <c r="F107" s="4" t="s">
        <v>16</v>
      </c>
      <c r="G107" s="4" t="s">
        <v>24</v>
      </c>
      <c r="H107" s="4" t="s">
        <v>50</v>
      </c>
      <c r="I107" s="6">
        <v>8</v>
      </c>
      <c r="J107" s="6">
        <v>10096</v>
      </c>
      <c r="K107" s="6">
        <v>7514.58</v>
      </c>
      <c r="L107" s="6">
        <v>2581.42</v>
      </c>
    </row>
    <row r="108" spans="1:12" x14ac:dyDescent="0.3">
      <c r="A108" s="4" t="s">
        <v>333</v>
      </c>
      <c r="B108" s="5">
        <v>45440</v>
      </c>
      <c r="C108" s="4" t="s">
        <v>334</v>
      </c>
      <c r="D108" s="4" t="s">
        <v>335</v>
      </c>
      <c r="E108" s="4" t="s">
        <v>54</v>
      </c>
      <c r="F108" s="4" t="s">
        <v>55</v>
      </c>
      <c r="G108" s="4" t="s">
        <v>35</v>
      </c>
      <c r="H108" s="4" t="s">
        <v>80</v>
      </c>
      <c r="I108" s="6">
        <v>8</v>
      </c>
      <c r="J108" s="6">
        <v>18368</v>
      </c>
      <c r="K108" s="6">
        <v>12619.48</v>
      </c>
      <c r="L108" s="6">
        <v>5748.52</v>
      </c>
    </row>
    <row r="109" spans="1:12" x14ac:dyDescent="0.3">
      <c r="A109" s="4" t="s">
        <v>336</v>
      </c>
      <c r="B109" s="5">
        <v>45811</v>
      </c>
      <c r="C109" s="4" t="s">
        <v>337</v>
      </c>
      <c r="D109" s="4" t="s">
        <v>338</v>
      </c>
      <c r="E109" s="4" t="s">
        <v>29</v>
      </c>
      <c r="F109" s="4" t="s">
        <v>102</v>
      </c>
      <c r="G109" s="4" t="s">
        <v>40</v>
      </c>
      <c r="H109" s="4" t="s">
        <v>99</v>
      </c>
      <c r="I109" s="6">
        <v>7</v>
      </c>
      <c r="J109" s="6">
        <v>21588</v>
      </c>
      <c r="K109" s="6">
        <v>17923.97</v>
      </c>
      <c r="L109" s="6">
        <v>3664.03</v>
      </c>
    </row>
    <row r="110" spans="1:12" x14ac:dyDescent="0.3">
      <c r="A110" s="4" t="s">
        <v>339</v>
      </c>
      <c r="B110" s="5">
        <v>45749</v>
      </c>
      <c r="C110" s="4" t="s">
        <v>140</v>
      </c>
      <c r="D110" s="4" t="s">
        <v>340</v>
      </c>
      <c r="E110" s="4" t="s">
        <v>54</v>
      </c>
      <c r="F110" s="4" t="s">
        <v>71</v>
      </c>
      <c r="G110" s="4" t="s">
        <v>40</v>
      </c>
      <c r="H110" s="4" t="s">
        <v>99</v>
      </c>
      <c r="I110" s="6">
        <v>10</v>
      </c>
      <c r="J110" s="6">
        <v>43110</v>
      </c>
      <c r="K110" s="6">
        <v>34900.92</v>
      </c>
      <c r="L110" s="6">
        <v>8209.08</v>
      </c>
    </row>
    <row r="111" spans="1:12" x14ac:dyDescent="0.3">
      <c r="A111" s="4" t="s">
        <v>341</v>
      </c>
      <c r="B111" s="5">
        <v>45621</v>
      </c>
      <c r="C111" s="4" t="s">
        <v>342</v>
      </c>
      <c r="D111" s="4" t="s">
        <v>89</v>
      </c>
      <c r="E111" s="4" t="s">
        <v>54</v>
      </c>
      <c r="F111" s="4" t="s">
        <v>55</v>
      </c>
      <c r="G111" s="4" t="s">
        <v>35</v>
      </c>
      <c r="H111" s="4" t="s">
        <v>45</v>
      </c>
      <c r="I111" s="6">
        <v>9</v>
      </c>
      <c r="J111" s="6">
        <v>30510</v>
      </c>
      <c r="K111" s="6">
        <v>20948.27</v>
      </c>
      <c r="L111" s="6">
        <v>9561.73</v>
      </c>
    </row>
    <row r="112" spans="1:12" x14ac:dyDescent="0.3">
      <c r="A112" s="4" t="s">
        <v>343</v>
      </c>
      <c r="B112" s="5">
        <v>46014</v>
      </c>
      <c r="C112" s="4" t="s">
        <v>344</v>
      </c>
      <c r="D112" s="4" t="s">
        <v>75</v>
      </c>
      <c r="E112" s="4" t="s">
        <v>22</v>
      </c>
      <c r="F112" s="4" t="s">
        <v>23</v>
      </c>
      <c r="G112" s="4" t="s">
        <v>35</v>
      </c>
      <c r="H112" s="4" t="s">
        <v>36</v>
      </c>
      <c r="I112" s="6">
        <v>1</v>
      </c>
      <c r="J112" s="6">
        <v>2906</v>
      </c>
      <c r="K112" s="6">
        <v>2247.5300000000002</v>
      </c>
      <c r="L112" s="6">
        <v>658.47</v>
      </c>
    </row>
    <row r="113" spans="1:12" x14ac:dyDescent="0.3">
      <c r="A113" s="4" t="s">
        <v>345</v>
      </c>
      <c r="B113" s="5">
        <v>45631</v>
      </c>
      <c r="C113" s="4" t="s">
        <v>346</v>
      </c>
      <c r="D113" s="4" t="s">
        <v>347</v>
      </c>
      <c r="E113" s="4" t="s">
        <v>29</v>
      </c>
      <c r="F113" s="4" t="s">
        <v>49</v>
      </c>
      <c r="G113" s="4" t="s">
        <v>24</v>
      </c>
      <c r="H113" s="4" t="s">
        <v>25</v>
      </c>
      <c r="I113" s="6">
        <v>3</v>
      </c>
      <c r="J113" s="6">
        <v>13242</v>
      </c>
      <c r="K113" s="6">
        <v>11118.06</v>
      </c>
      <c r="L113" s="6">
        <v>2123.94</v>
      </c>
    </row>
    <row r="114" spans="1:12" x14ac:dyDescent="0.3">
      <c r="A114" s="4" t="s">
        <v>348</v>
      </c>
      <c r="B114" s="5">
        <v>45962</v>
      </c>
      <c r="C114" s="4" t="s">
        <v>349</v>
      </c>
      <c r="D114" s="4" t="s">
        <v>350</v>
      </c>
      <c r="E114" s="4" t="s">
        <v>15</v>
      </c>
      <c r="F114" s="4" t="s">
        <v>90</v>
      </c>
      <c r="G114" s="4" t="s">
        <v>35</v>
      </c>
      <c r="H114" s="4" t="s">
        <v>80</v>
      </c>
      <c r="I114" s="6">
        <v>1</v>
      </c>
      <c r="J114" s="6">
        <v>1480</v>
      </c>
      <c r="K114" s="6">
        <v>996.03</v>
      </c>
      <c r="L114" s="6">
        <v>483.97</v>
      </c>
    </row>
    <row r="115" spans="1:12" x14ac:dyDescent="0.3">
      <c r="A115" s="4" t="s">
        <v>351</v>
      </c>
      <c r="B115" s="5">
        <v>45628</v>
      </c>
      <c r="C115" s="4" t="s">
        <v>52</v>
      </c>
      <c r="D115" s="4" t="s">
        <v>258</v>
      </c>
      <c r="E115" s="4" t="s">
        <v>22</v>
      </c>
      <c r="F115" s="4" t="s">
        <v>67</v>
      </c>
      <c r="G115" s="4" t="s">
        <v>40</v>
      </c>
      <c r="H115" s="4" t="s">
        <v>41</v>
      </c>
      <c r="I115" s="6">
        <v>10</v>
      </c>
      <c r="J115" s="6">
        <v>35560</v>
      </c>
      <c r="K115" s="6">
        <v>26490.46</v>
      </c>
      <c r="L115" s="6">
        <v>9069.5400000000009</v>
      </c>
    </row>
    <row r="116" spans="1:12" x14ac:dyDescent="0.3">
      <c r="A116" s="4" t="s">
        <v>352</v>
      </c>
      <c r="B116" s="5">
        <v>45362</v>
      </c>
      <c r="C116" s="4" t="s">
        <v>353</v>
      </c>
      <c r="D116" s="4" t="s">
        <v>354</v>
      </c>
      <c r="E116" s="4" t="s">
        <v>54</v>
      </c>
      <c r="F116" s="4" t="s">
        <v>71</v>
      </c>
      <c r="G116" s="4" t="s">
        <v>17</v>
      </c>
      <c r="H116" s="4" t="s">
        <v>18</v>
      </c>
      <c r="I116" s="6">
        <v>8</v>
      </c>
      <c r="J116" s="6">
        <v>37856</v>
      </c>
      <c r="K116" s="6">
        <v>21228.5</v>
      </c>
      <c r="L116" s="6">
        <v>16627.5</v>
      </c>
    </row>
    <row r="117" spans="1:12" x14ac:dyDescent="0.3">
      <c r="A117" s="4" t="s">
        <v>355</v>
      </c>
      <c r="B117" s="5">
        <v>46012</v>
      </c>
      <c r="C117" s="4" t="s">
        <v>346</v>
      </c>
      <c r="D117" s="4" t="s">
        <v>356</v>
      </c>
      <c r="E117" s="4" t="s">
        <v>29</v>
      </c>
      <c r="F117" s="4" t="s">
        <v>30</v>
      </c>
      <c r="G117" s="4" t="s">
        <v>24</v>
      </c>
      <c r="H117" s="4" t="s">
        <v>50</v>
      </c>
      <c r="I117" s="6">
        <v>7</v>
      </c>
      <c r="J117" s="6">
        <v>7742</v>
      </c>
      <c r="K117" s="6">
        <v>6024.13</v>
      </c>
      <c r="L117" s="6">
        <v>1717.87</v>
      </c>
    </row>
    <row r="118" spans="1:12" x14ac:dyDescent="0.3">
      <c r="A118" s="4" t="s">
        <v>357</v>
      </c>
      <c r="B118" s="5">
        <v>45349</v>
      </c>
      <c r="C118" s="4" t="s">
        <v>358</v>
      </c>
      <c r="D118" s="4" t="s">
        <v>359</v>
      </c>
      <c r="E118" s="4" t="s">
        <v>29</v>
      </c>
      <c r="F118" s="4" t="s">
        <v>30</v>
      </c>
      <c r="G118" s="4" t="s">
        <v>40</v>
      </c>
      <c r="H118" s="4" t="s">
        <v>99</v>
      </c>
      <c r="I118" s="6">
        <v>1</v>
      </c>
      <c r="J118" s="6">
        <v>676</v>
      </c>
      <c r="K118" s="6">
        <v>437.58</v>
      </c>
      <c r="L118" s="6">
        <v>238.42</v>
      </c>
    </row>
    <row r="119" spans="1:12" x14ac:dyDescent="0.3">
      <c r="A119" s="4" t="s">
        <v>360</v>
      </c>
      <c r="B119" s="5">
        <v>45990</v>
      </c>
      <c r="C119" s="4" t="s">
        <v>361</v>
      </c>
      <c r="D119" s="4" t="s">
        <v>362</v>
      </c>
      <c r="E119" s="4" t="s">
        <v>54</v>
      </c>
      <c r="F119" s="4" t="s">
        <v>55</v>
      </c>
      <c r="G119" s="4" t="s">
        <v>24</v>
      </c>
      <c r="H119" s="4" t="s">
        <v>166</v>
      </c>
      <c r="I119" s="6">
        <v>4</v>
      </c>
      <c r="J119" s="6">
        <v>18604</v>
      </c>
      <c r="K119" s="6">
        <v>12531.94</v>
      </c>
      <c r="L119" s="6">
        <v>6072.06</v>
      </c>
    </row>
    <row r="120" spans="1:12" x14ac:dyDescent="0.3">
      <c r="A120" s="4" t="s">
        <v>363</v>
      </c>
      <c r="B120" s="5">
        <v>45889</v>
      </c>
      <c r="C120" s="4" t="s">
        <v>364</v>
      </c>
      <c r="D120" s="4" t="s">
        <v>365</v>
      </c>
      <c r="E120" s="4" t="s">
        <v>29</v>
      </c>
      <c r="F120" s="4" t="s">
        <v>102</v>
      </c>
      <c r="G120" s="4" t="s">
        <v>17</v>
      </c>
      <c r="H120" s="4" t="s">
        <v>72</v>
      </c>
      <c r="I120" s="6">
        <v>7</v>
      </c>
      <c r="J120" s="6">
        <v>15904</v>
      </c>
      <c r="K120" s="6">
        <v>11121.67</v>
      </c>
      <c r="L120" s="6">
        <v>4782.33</v>
      </c>
    </row>
    <row r="121" spans="1:12" x14ac:dyDescent="0.3">
      <c r="A121" s="4" t="s">
        <v>366</v>
      </c>
      <c r="B121" s="5">
        <v>45768</v>
      </c>
      <c r="C121" s="4" t="s">
        <v>298</v>
      </c>
      <c r="D121" s="4" t="s">
        <v>158</v>
      </c>
      <c r="E121" s="4" t="s">
        <v>22</v>
      </c>
      <c r="F121" s="4" t="s">
        <v>79</v>
      </c>
      <c r="G121" s="4" t="s">
        <v>40</v>
      </c>
      <c r="H121" s="4" t="s">
        <v>99</v>
      </c>
      <c r="I121" s="6">
        <v>8</v>
      </c>
      <c r="J121" s="6">
        <v>19128</v>
      </c>
      <c r="K121" s="6">
        <v>14347</v>
      </c>
      <c r="L121" s="6">
        <v>4781</v>
      </c>
    </row>
    <row r="122" spans="1:12" x14ac:dyDescent="0.3">
      <c r="A122" s="4" t="s">
        <v>367</v>
      </c>
      <c r="B122" s="5">
        <v>45726</v>
      </c>
      <c r="C122" s="4" t="s">
        <v>368</v>
      </c>
      <c r="D122" s="4" t="s">
        <v>369</v>
      </c>
      <c r="E122" s="4" t="s">
        <v>29</v>
      </c>
      <c r="F122" s="4" t="s">
        <v>102</v>
      </c>
      <c r="G122" s="4" t="s">
        <v>35</v>
      </c>
      <c r="H122" s="4" t="s">
        <v>80</v>
      </c>
      <c r="I122" s="6">
        <v>6</v>
      </c>
      <c r="J122" s="6">
        <v>16500</v>
      </c>
      <c r="K122" s="6">
        <v>12237.75</v>
      </c>
      <c r="L122" s="6">
        <v>4262.25</v>
      </c>
    </row>
    <row r="123" spans="1:12" x14ac:dyDescent="0.3">
      <c r="A123" s="4" t="s">
        <v>370</v>
      </c>
      <c r="B123" s="5">
        <v>45877</v>
      </c>
      <c r="C123" s="4" t="s">
        <v>371</v>
      </c>
      <c r="D123" s="4" t="s">
        <v>372</v>
      </c>
      <c r="E123" s="4" t="s">
        <v>54</v>
      </c>
      <c r="F123" s="4" t="s">
        <v>142</v>
      </c>
      <c r="G123" s="4" t="s">
        <v>35</v>
      </c>
      <c r="H123" s="4" t="s">
        <v>36</v>
      </c>
      <c r="I123" s="6">
        <v>8</v>
      </c>
      <c r="J123" s="6">
        <v>9384</v>
      </c>
      <c r="K123" s="6">
        <v>5828.98</v>
      </c>
      <c r="L123" s="6">
        <v>3555.02</v>
      </c>
    </row>
    <row r="124" spans="1:12" x14ac:dyDescent="0.3">
      <c r="A124" s="4" t="s">
        <v>373</v>
      </c>
      <c r="B124" s="5">
        <v>45871</v>
      </c>
      <c r="C124" s="4" t="s">
        <v>374</v>
      </c>
      <c r="D124" s="4" t="s">
        <v>375</v>
      </c>
      <c r="E124" s="4" t="s">
        <v>54</v>
      </c>
      <c r="F124" s="4" t="s">
        <v>71</v>
      </c>
      <c r="G124" s="4" t="s">
        <v>40</v>
      </c>
      <c r="H124" s="4" t="s">
        <v>99</v>
      </c>
      <c r="I124" s="6">
        <v>1</v>
      </c>
      <c r="J124" s="6">
        <v>3542</v>
      </c>
      <c r="K124" s="6">
        <v>2239.7600000000002</v>
      </c>
      <c r="L124" s="6">
        <v>1302.24</v>
      </c>
    </row>
    <row r="125" spans="1:12" x14ac:dyDescent="0.3">
      <c r="A125" s="4" t="s">
        <v>376</v>
      </c>
      <c r="B125" s="5">
        <v>45927</v>
      </c>
      <c r="C125" s="4" t="s">
        <v>368</v>
      </c>
      <c r="D125" s="4" t="s">
        <v>377</v>
      </c>
      <c r="E125" s="4" t="s">
        <v>54</v>
      </c>
      <c r="F125" s="4" t="s">
        <v>142</v>
      </c>
      <c r="G125" s="4" t="s">
        <v>17</v>
      </c>
      <c r="H125" s="4" t="s">
        <v>72</v>
      </c>
      <c r="I125" s="6">
        <v>6</v>
      </c>
      <c r="J125" s="6">
        <v>12564</v>
      </c>
      <c r="K125" s="6">
        <v>9309.74</v>
      </c>
      <c r="L125" s="6">
        <v>3254.26</v>
      </c>
    </row>
    <row r="126" spans="1:12" x14ac:dyDescent="0.3">
      <c r="A126" s="4" t="s">
        <v>378</v>
      </c>
      <c r="B126" s="5">
        <v>45326</v>
      </c>
      <c r="C126" s="4" t="s">
        <v>379</v>
      </c>
      <c r="D126" s="4" t="s">
        <v>160</v>
      </c>
      <c r="E126" s="4" t="s">
        <v>15</v>
      </c>
      <c r="F126" s="4" t="s">
        <v>90</v>
      </c>
      <c r="G126" s="4" t="s">
        <v>17</v>
      </c>
      <c r="H126" s="4" t="s">
        <v>31</v>
      </c>
      <c r="I126" s="6">
        <v>1</v>
      </c>
      <c r="J126" s="6">
        <v>2830</v>
      </c>
      <c r="K126" s="6">
        <v>2226.0300000000002</v>
      </c>
      <c r="L126" s="6">
        <v>603.97</v>
      </c>
    </row>
    <row r="127" spans="1:12" x14ac:dyDescent="0.3">
      <c r="A127" s="4" t="s">
        <v>380</v>
      </c>
      <c r="B127" s="5">
        <v>45427</v>
      </c>
      <c r="C127" s="4" t="s">
        <v>214</v>
      </c>
      <c r="D127" s="4" t="s">
        <v>381</v>
      </c>
      <c r="E127" s="4" t="s">
        <v>29</v>
      </c>
      <c r="F127" s="4" t="s">
        <v>102</v>
      </c>
      <c r="G127" s="4" t="s">
        <v>40</v>
      </c>
      <c r="H127" s="4" t="s">
        <v>99</v>
      </c>
      <c r="I127" s="6">
        <v>6</v>
      </c>
      <c r="J127" s="6">
        <v>22218</v>
      </c>
      <c r="K127" s="6">
        <v>13390.61</v>
      </c>
      <c r="L127" s="6">
        <v>8827.39</v>
      </c>
    </row>
    <row r="128" spans="1:12" x14ac:dyDescent="0.3">
      <c r="A128" s="4" t="s">
        <v>382</v>
      </c>
      <c r="B128" s="5">
        <v>45638</v>
      </c>
      <c r="C128" s="4" t="s">
        <v>77</v>
      </c>
      <c r="D128" s="4" t="s">
        <v>383</v>
      </c>
      <c r="E128" s="4" t="s">
        <v>54</v>
      </c>
      <c r="F128" s="4" t="s">
        <v>142</v>
      </c>
      <c r="G128" s="4" t="s">
        <v>40</v>
      </c>
      <c r="H128" s="4" t="s">
        <v>99</v>
      </c>
      <c r="I128" s="6">
        <v>8</v>
      </c>
      <c r="J128" s="6">
        <v>21736</v>
      </c>
      <c r="K128" s="6">
        <v>16822.96</v>
      </c>
      <c r="L128" s="6">
        <v>4913.04</v>
      </c>
    </row>
    <row r="129" spans="1:12" x14ac:dyDescent="0.3">
      <c r="A129" s="4" t="s">
        <v>384</v>
      </c>
      <c r="B129" s="5">
        <v>45696</v>
      </c>
      <c r="C129" s="4" t="s">
        <v>118</v>
      </c>
      <c r="D129" s="4" t="s">
        <v>385</v>
      </c>
      <c r="E129" s="4" t="s">
        <v>15</v>
      </c>
      <c r="F129" s="4" t="s">
        <v>16</v>
      </c>
      <c r="G129" s="4" t="s">
        <v>40</v>
      </c>
      <c r="H129" s="4" t="s">
        <v>56</v>
      </c>
      <c r="I129" s="6">
        <v>7</v>
      </c>
      <c r="J129" s="6">
        <v>34055</v>
      </c>
      <c r="K129" s="6">
        <v>22467.19</v>
      </c>
      <c r="L129" s="6">
        <v>11587.81</v>
      </c>
    </row>
    <row r="130" spans="1:12" x14ac:dyDescent="0.3">
      <c r="A130" s="4" t="s">
        <v>386</v>
      </c>
      <c r="B130" s="5">
        <v>45672</v>
      </c>
      <c r="C130" s="4" t="s">
        <v>113</v>
      </c>
      <c r="D130" s="4" t="s">
        <v>387</v>
      </c>
      <c r="E130" s="4" t="s">
        <v>15</v>
      </c>
      <c r="F130" s="4" t="s">
        <v>63</v>
      </c>
      <c r="G130" s="4" t="s">
        <v>40</v>
      </c>
      <c r="H130" s="4" t="s">
        <v>41</v>
      </c>
      <c r="I130" s="6">
        <v>5</v>
      </c>
      <c r="J130" s="6">
        <v>17105</v>
      </c>
      <c r="K130" s="6">
        <v>13627.98</v>
      </c>
      <c r="L130" s="6">
        <v>3477.02</v>
      </c>
    </row>
    <row r="131" spans="1:12" x14ac:dyDescent="0.3">
      <c r="A131" s="4" t="s">
        <v>388</v>
      </c>
      <c r="B131" s="5">
        <v>45518</v>
      </c>
      <c r="C131" s="4" t="s">
        <v>74</v>
      </c>
      <c r="D131" s="4" t="s">
        <v>389</v>
      </c>
      <c r="E131" s="4" t="s">
        <v>22</v>
      </c>
      <c r="F131" s="4" t="s">
        <v>23</v>
      </c>
      <c r="G131" s="4" t="s">
        <v>17</v>
      </c>
      <c r="H131" s="4" t="s">
        <v>72</v>
      </c>
      <c r="I131" s="6">
        <v>9</v>
      </c>
      <c r="J131" s="6">
        <v>26883</v>
      </c>
      <c r="K131" s="6">
        <v>22167.1</v>
      </c>
      <c r="L131" s="6">
        <v>4715.8999999999996</v>
      </c>
    </row>
    <row r="132" spans="1:12" x14ac:dyDescent="0.3">
      <c r="A132" s="4" t="s">
        <v>390</v>
      </c>
      <c r="B132" s="5">
        <v>45330</v>
      </c>
      <c r="C132" s="4" t="s">
        <v>287</v>
      </c>
      <c r="D132" s="4" t="s">
        <v>70</v>
      </c>
      <c r="E132" s="4" t="s">
        <v>54</v>
      </c>
      <c r="F132" s="4" t="s">
        <v>71</v>
      </c>
      <c r="G132" s="4" t="s">
        <v>35</v>
      </c>
      <c r="H132" s="4" t="s">
        <v>36</v>
      </c>
      <c r="I132" s="6">
        <v>2</v>
      </c>
      <c r="J132" s="6">
        <v>2890</v>
      </c>
      <c r="K132" s="6">
        <v>1628.82</v>
      </c>
      <c r="L132" s="6">
        <v>1261.18</v>
      </c>
    </row>
    <row r="133" spans="1:12" x14ac:dyDescent="0.3">
      <c r="A133" s="4" t="s">
        <v>391</v>
      </c>
      <c r="B133" s="5">
        <v>45671</v>
      </c>
      <c r="C133" s="4" t="s">
        <v>214</v>
      </c>
      <c r="D133" s="4" t="s">
        <v>223</v>
      </c>
      <c r="E133" s="4" t="s">
        <v>15</v>
      </c>
      <c r="F133" s="4" t="s">
        <v>16</v>
      </c>
      <c r="G133" s="4" t="s">
        <v>40</v>
      </c>
      <c r="H133" s="4" t="s">
        <v>56</v>
      </c>
      <c r="I133" s="6">
        <v>9</v>
      </c>
      <c r="J133" s="6">
        <v>12699</v>
      </c>
      <c r="K133" s="6">
        <v>8465.07</v>
      </c>
      <c r="L133" s="6">
        <v>4233.93</v>
      </c>
    </row>
    <row r="134" spans="1:12" x14ac:dyDescent="0.3">
      <c r="A134" s="4" t="s">
        <v>392</v>
      </c>
      <c r="B134" s="5">
        <v>45578</v>
      </c>
      <c r="C134" s="4" t="s">
        <v>393</v>
      </c>
      <c r="D134" s="4" t="s">
        <v>394</v>
      </c>
      <c r="E134" s="4" t="s">
        <v>29</v>
      </c>
      <c r="F134" s="4" t="s">
        <v>49</v>
      </c>
      <c r="G134" s="4" t="s">
        <v>17</v>
      </c>
      <c r="H134" s="4" t="s">
        <v>31</v>
      </c>
      <c r="I134" s="6">
        <v>2</v>
      </c>
      <c r="J134" s="6">
        <v>8616</v>
      </c>
      <c r="K134" s="6">
        <v>6330.14</v>
      </c>
      <c r="L134" s="6">
        <v>2285.86</v>
      </c>
    </row>
    <row r="135" spans="1:12" x14ac:dyDescent="0.3">
      <c r="A135" s="4" t="s">
        <v>395</v>
      </c>
      <c r="B135" s="5">
        <v>45994</v>
      </c>
      <c r="C135" s="4" t="s">
        <v>269</v>
      </c>
      <c r="D135" s="4" t="s">
        <v>145</v>
      </c>
      <c r="E135" s="4" t="s">
        <v>29</v>
      </c>
      <c r="F135" s="4" t="s">
        <v>49</v>
      </c>
      <c r="G135" s="4" t="s">
        <v>35</v>
      </c>
      <c r="H135" s="4" t="s">
        <v>80</v>
      </c>
      <c r="I135" s="6">
        <v>4</v>
      </c>
      <c r="J135" s="6">
        <v>13084</v>
      </c>
      <c r="K135" s="6">
        <v>7586.19</v>
      </c>
      <c r="L135" s="6">
        <v>5497.81</v>
      </c>
    </row>
    <row r="136" spans="1:12" x14ac:dyDescent="0.3">
      <c r="A136" s="4" t="s">
        <v>396</v>
      </c>
      <c r="B136" s="5">
        <v>45757</v>
      </c>
      <c r="C136" s="4" t="s">
        <v>397</v>
      </c>
      <c r="D136" s="4" t="s">
        <v>62</v>
      </c>
      <c r="E136" s="4" t="s">
        <v>54</v>
      </c>
      <c r="F136" s="4" t="s">
        <v>142</v>
      </c>
      <c r="G136" s="4" t="s">
        <v>35</v>
      </c>
      <c r="H136" s="4" t="s">
        <v>36</v>
      </c>
      <c r="I136" s="6">
        <v>5</v>
      </c>
      <c r="J136" s="6">
        <v>9270</v>
      </c>
      <c r="K136" s="6">
        <v>7791.08</v>
      </c>
      <c r="L136" s="6">
        <v>1478.92</v>
      </c>
    </row>
    <row r="137" spans="1:12" x14ac:dyDescent="0.3">
      <c r="A137" s="4" t="s">
        <v>398</v>
      </c>
      <c r="B137" s="5">
        <v>45502</v>
      </c>
      <c r="C137" s="4" t="s">
        <v>43</v>
      </c>
      <c r="D137" s="4" t="s">
        <v>399</v>
      </c>
      <c r="E137" s="4" t="s">
        <v>15</v>
      </c>
      <c r="F137" s="4" t="s">
        <v>16</v>
      </c>
      <c r="G137" s="4" t="s">
        <v>40</v>
      </c>
      <c r="H137" s="4" t="s">
        <v>41</v>
      </c>
      <c r="I137" s="6">
        <v>4</v>
      </c>
      <c r="J137" s="6">
        <v>5324</v>
      </c>
      <c r="K137" s="6">
        <v>4185.16</v>
      </c>
      <c r="L137" s="6">
        <v>1138.8399999999999</v>
      </c>
    </row>
    <row r="138" spans="1:12" x14ac:dyDescent="0.3">
      <c r="A138" s="4" t="s">
        <v>400</v>
      </c>
      <c r="B138" s="5">
        <v>45902</v>
      </c>
      <c r="C138" s="4" t="s">
        <v>82</v>
      </c>
      <c r="D138" s="4" t="s">
        <v>401</v>
      </c>
      <c r="E138" s="4" t="s">
        <v>29</v>
      </c>
      <c r="F138" s="4" t="s">
        <v>30</v>
      </c>
      <c r="G138" s="4" t="s">
        <v>40</v>
      </c>
      <c r="H138" s="4" t="s">
        <v>56</v>
      </c>
      <c r="I138" s="6">
        <v>4</v>
      </c>
      <c r="J138" s="6">
        <v>11964</v>
      </c>
      <c r="K138" s="6">
        <v>9359.56</v>
      </c>
      <c r="L138" s="6">
        <v>2604.44</v>
      </c>
    </row>
    <row r="139" spans="1:12" x14ac:dyDescent="0.3">
      <c r="A139" s="4" t="s">
        <v>402</v>
      </c>
      <c r="B139" s="5">
        <v>45318</v>
      </c>
      <c r="C139" s="4" t="s">
        <v>403</v>
      </c>
      <c r="D139" s="4" t="s">
        <v>404</v>
      </c>
      <c r="E139" s="4" t="s">
        <v>29</v>
      </c>
      <c r="F139" s="4" t="s">
        <v>102</v>
      </c>
      <c r="G139" s="4" t="s">
        <v>35</v>
      </c>
      <c r="H139" s="4" t="s">
        <v>45</v>
      </c>
      <c r="I139" s="6">
        <v>5</v>
      </c>
      <c r="J139" s="6">
        <v>8645</v>
      </c>
      <c r="K139" s="6">
        <v>5039.84</v>
      </c>
      <c r="L139" s="6">
        <v>3605.16</v>
      </c>
    </row>
    <row r="140" spans="1:12" x14ac:dyDescent="0.3">
      <c r="A140" s="4" t="s">
        <v>405</v>
      </c>
      <c r="B140" s="5">
        <v>45345</v>
      </c>
      <c r="C140" s="4" t="s">
        <v>239</v>
      </c>
      <c r="D140" s="4" t="s">
        <v>406</v>
      </c>
      <c r="E140" s="4" t="s">
        <v>54</v>
      </c>
      <c r="F140" s="4" t="s">
        <v>142</v>
      </c>
      <c r="G140" s="4" t="s">
        <v>17</v>
      </c>
      <c r="H140" s="4" t="s">
        <v>72</v>
      </c>
      <c r="I140" s="6">
        <v>6</v>
      </c>
      <c r="J140" s="6">
        <v>2574</v>
      </c>
      <c r="K140" s="6">
        <v>1550.25</v>
      </c>
      <c r="L140" s="6">
        <v>1023.75</v>
      </c>
    </row>
    <row r="141" spans="1:12" x14ac:dyDescent="0.3">
      <c r="A141" s="4" t="s">
        <v>407</v>
      </c>
      <c r="B141" s="5">
        <v>45817</v>
      </c>
      <c r="C141" s="4" t="s">
        <v>113</v>
      </c>
      <c r="D141" s="4" t="s">
        <v>408</v>
      </c>
      <c r="E141" s="4" t="s">
        <v>15</v>
      </c>
      <c r="F141" s="4" t="s">
        <v>90</v>
      </c>
      <c r="G141" s="4" t="s">
        <v>24</v>
      </c>
      <c r="H141" s="4" t="s">
        <v>50</v>
      </c>
      <c r="I141" s="6">
        <v>8</v>
      </c>
      <c r="J141" s="6">
        <v>31776</v>
      </c>
      <c r="K141" s="6">
        <v>24893.48</v>
      </c>
      <c r="L141" s="6">
        <v>6882.52</v>
      </c>
    </row>
    <row r="142" spans="1:12" x14ac:dyDescent="0.3">
      <c r="A142" s="4" t="s">
        <v>409</v>
      </c>
      <c r="B142" s="5">
        <v>45323</v>
      </c>
      <c r="C142" s="4" t="s">
        <v>126</v>
      </c>
      <c r="D142" s="4" t="s">
        <v>410</v>
      </c>
      <c r="E142" s="4" t="s">
        <v>29</v>
      </c>
      <c r="F142" s="4" t="s">
        <v>30</v>
      </c>
      <c r="G142" s="4" t="s">
        <v>24</v>
      </c>
      <c r="H142" s="4" t="s">
        <v>25</v>
      </c>
      <c r="I142" s="6">
        <v>9</v>
      </c>
      <c r="J142" s="6">
        <v>24930</v>
      </c>
      <c r="K142" s="6">
        <v>17137.2</v>
      </c>
      <c r="L142" s="6">
        <v>7792.8</v>
      </c>
    </row>
    <row r="143" spans="1:12" x14ac:dyDescent="0.3">
      <c r="A143" s="4" t="s">
        <v>411</v>
      </c>
      <c r="B143" s="5">
        <v>45746</v>
      </c>
      <c r="C143" s="4" t="s">
        <v>412</v>
      </c>
      <c r="D143" s="4" t="s">
        <v>215</v>
      </c>
      <c r="E143" s="4" t="s">
        <v>22</v>
      </c>
      <c r="F143" s="4" t="s">
        <v>67</v>
      </c>
      <c r="G143" s="4" t="s">
        <v>17</v>
      </c>
      <c r="H143" s="4" t="s">
        <v>31</v>
      </c>
      <c r="I143" s="6">
        <v>2</v>
      </c>
      <c r="J143" s="6">
        <v>8632</v>
      </c>
      <c r="K143" s="6">
        <v>6592.43</v>
      </c>
      <c r="L143" s="6">
        <v>2039.57</v>
      </c>
    </row>
    <row r="144" spans="1:12" x14ac:dyDescent="0.3">
      <c r="A144" s="4" t="s">
        <v>413</v>
      </c>
      <c r="B144" s="5">
        <v>45940</v>
      </c>
      <c r="C144" s="4" t="s">
        <v>313</v>
      </c>
      <c r="D144" s="4" t="s">
        <v>414</v>
      </c>
      <c r="E144" s="4" t="s">
        <v>54</v>
      </c>
      <c r="F144" s="4" t="s">
        <v>71</v>
      </c>
      <c r="G144" s="4" t="s">
        <v>24</v>
      </c>
      <c r="H144" s="4" t="s">
        <v>166</v>
      </c>
      <c r="I144" s="6">
        <v>2</v>
      </c>
      <c r="J144" s="6">
        <v>2666</v>
      </c>
      <c r="K144" s="6">
        <v>1686.26</v>
      </c>
      <c r="L144" s="6">
        <v>979.74</v>
      </c>
    </row>
    <row r="145" spans="1:12" x14ac:dyDescent="0.3">
      <c r="A145" s="4" t="s">
        <v>415</v>
      </c>
      <c r="B145" s="5">
        <v>45911</v>
      </c>
      <c r="C145" s="4" t="s">
        <v>416</v>
      </c>
      <c r="D145" s="4" t="s">
        <v>417</v>
      </c>
      <c r="E145" s="4" t="s">
        <v>54</v>
      </c>
      <c r="F145" s="4" t="s">
        <v>55</v>
      </c>
      <c r="G145" s="4" t="s">
        <v>17</v>
      </c>
      <c r="H145" s="4" t="s">
        <v>72</v>
      </c>
      <c r="I145" s="6">
        <v>9</v>
      </c>
      <c r="J145" s="6">
        <v>24435</v>
      </c>
      <c r="K145" s="6">
        <v>16765.21</v>
      </c>
      <c r="L145" s="6">
        <v>7669.79</v>
      </c>
    </row>
    <row r="146" spans="1:12" x14ac:dyDescent="0.3">
      <c r="A146" s="4" t="s">
        <v>418</v>
      </c>
      <c r="B146" s="5">
        <v>45525</v>
      </c>
      <c r="C146" s="4" t="s">
        <v>419</v>
      </c>
      <c r="D146" s="4" t="s">
        <v>420</v>
      </c>
      <c r="E146" s="4" t="s">
        <v>15</v>
      </c>
      <c r="F146" s="4" t="s">
        <v>90</v>
      </c>
      <c r="G146" s="4" t="s">
        <v>17</v>
      </c>
      <c r="H146" s="4" t="s">
        <v>31</v>
      </c>
      <c r="I146" s="6">
        <v>9</v>
      </c>
      <c r="J146" s="6">
        <v>18549</v>
      </c>
      <c r="K146" s="6">
        <v>12595.16</v>
      </c>
      <c r="L146" s="6">
        <v>5953.84</v>
      </c>
    </row>
    <row r="147" spans="1:12" x14ac:dyDescent="0.3">
      <c r="A147" s="4" t="s">
        <v>421</v>
      </c>
      <c r="B147" s="5">
        <v>45973</v>
      </c>
      <c r="C147" s="4" t="s">
        <v>422</v>
      </c>
      <c r="D147" s="4" t="s">
        <v>423</v>
      </c>
      <c r="E147" s="4" t="s">
        <v>22</v>
      </c>
      <c r="F147" s="4" t="s">
        <v>67</v>
      </c>
      <c r="G147" s="4" t="s">
        <v>35</v>
      </c>
      <c r="H147" s="4" t="s">
        <v>36</v>
      </c>
      <c r="I147" s="6">
        <v>2</v>
      </c>
      <c r="J147" s="6">
        <v>5720</v>
      </c>
      <c r="K147" s="6">
        <v>3878.33</v>
      </c>
      <c r="L147" s="6">
        <v>1841.67</v>
      </c>
    </row>
    <row r="148" spans="1:12" x14ac:dyDescent="0.3">
      <c r="A148" s="4" t="s">
        <v>424</v>
      </c>
      <c r="B148" s="5">
        <v>45387</v>
      </c>
      <c r="C148" s="4" t="s">
        <v>307</v>
      </c>
      <c r="D148" s="4" t="s">
        <v>425</v>
      </c>
      <c r="E148" s="4" t="s">
        <v>29</v>
      </c>
      <c r="F148" s="4" t="s">
        <v>30</v>
      </c>
      <c r="G148" s="4" t="s">
        <v>35</v>
      </c>
      <c r="H148" s="4" t="s">
        <v>80</v>
      </c>
      <c r="I148" s="6">
        <v>2</v>
      </c>
      <c r="J148" s="6">
        <v>2094</v>
      </c>
      <c r="K148" s="6">
        <v>1674.22</v>
      </c>
      <c r="L148" s="6">
        <v>419.78</v>
      </c>
    </row>
    <row r="149" spans="1:12" x14ac:dyDescent="0.3">
      <c r="A149" s="4" t="s">
        <v>426</v>
      </c>
      <c r="B149" s="5">
        <v>45978</v>
      </c>
      <c r="C149" s="4" t="s">
        <v>427</v>
      </c>
      <c r="D149" s="4" t="s">
        <v>428</v>
      </c>
      <c r="E149" s="4" t="s">
        <v>54</v>
      </c>
      <c r="F149" s="4" t="s">
        <v>142</v>
      </c>
      <c r="G149" s="4" t="s">
        <v>35</v>
      </c>
      <c r="H149" s="4" t="s">
        <v>45</v>
      </c>
      <c r="I149" s="6">
        <v>1</v>
      </c>
      <c r="J149" s="6">
        <v>4900</v>
      </c>
      <c r="K149" s="6">
        <v>3520.67</v>
      </c>
      <c r="L149" s="6">
        <v>1379.33</v>
      </c>
    </row>
    <row r="150" spans="1:12" x14ac:dyDescent="0.3">
      <c r="A150" s="4" t="s">
        <v>429</v>
      </c>
      <c r="B150" s="5">
        <v>45652</v>
      </c>
      <c r="C150" s="4" t="s">
        <v>316</v>
      </c>
      <c r="D150" s="4" t="s">
        <v>311</v>
      </c>
      <c r="E150" s="4" t="s">
        <v>54</v>
      </c>
      <c r="F150" s="4" t="s">
        <v>71</v>
      </c>
      <c r="G150" s="4" t="s">
        <v>35</v>
      </c>
      <c r="H150" s="4" t="s">
        <v>36</v>
      </c>
      <c r="I150" s="6">
        <v>1</v>
      </c>
      <c r="J150" s="6">
        <v>2656</v>
      </c>
      <c r="K150" s="6">
        <v>1939.21</v>
      </c>
      <c r="L150" s="6">
        <v>716.79</v>
      </c>
    </row>
    <row r="151" spans="1:12" x14ac:dyDescent="0.3">
      <c r="A151" s="4" t="s">
        <v>430</v>
      </c>
      <c r="B151" s="5">
        <v>45650</v>
      </c>
      <c r="C151" s="4" t="s">
        <v>123</v>
      </c>
      <c r="D151" s="4" t="s">
        <v>431</v>
      </c>
      <c r="E151" s="4" t="s">
        <v>29</v>
      </c>
      <c r="F151" s="4" t="s">
        <v>102</v>
      </c>
      <c r="G151" s="4" t="s">
        <v>17</v>
      </c>
      <c r="H151" s="4" t="s">
        <v>31</v>
      </c>
      <c r="I151" s="6">
        <v>8</v>
      </c>
      <c r="J151" s="6">
        <v>17096</v>
      </c>
      <c r="K151" s="6">
        <v>13748.3</v>
      </c>
      <c r="L151" s="6">
        <v>3347.7</v>
      </c>
    </row>
    <row r="152" spans="1:12" x14ac:dyDescent="0.3">
      <c r="A152" s="4" t="s">
        <v>432</v>
      </c>
      <c r="B152" s="5">
        <v>45928</v>
      </c>
      <c r="C152" s="4" t="s">
        <v>433</v>
      </c>
      <c r="D152" s="4" t="s">
        <v>229</v>
      </c>
      <c r="E152" s="4" t="s">
        <v>15</v>
      </c>
      <c r="F152" s="4" t="s">
        <v>63</v>
      </c>
      <c r="G152" s="4" t="s">
        <v>17</v>
      </c>
      <c r="H152" s="4" t="s">
        <v>72</v>
      </c>
      <c r="I152" s="6">
        <v>4</v>
      </c>
      <c r="J152" s="6">
        <v>15260</v>
      </c>
      <c r="K152" s="6">
        <v>12262.12</v>
      </c>
      <c r="L152" s="6">
        <v>2997.88</v>
      </c>
    </row>
    <row r="153" spans="1:12" x14ac:dyDescent="0.3">
      <c r="A153" s="4" t="s">
        <v>434</v>
      </c>
      <c r="B153" s="5">
        <v>45651</v>
      </c>
      <c r="C153" s="4" t="s">
        <v>435</v>
      </c>
      <c r="D153" s="4" t="s">
        <v>436</v>
      </c>
      <c r="E153" s="4" t="s">
        <v>54</v>
      </c>
      <c r="F153" s="4" t="s">
        <v>142</v>
      </c>
      <c r="G153" s="4" t="s">
        <v>24</v>
      </c>
      <c r="H153" s="4" t="s">
        <v>166</v>
      </c>
      <c r="I153" s="6">
        <v>5</v>
      </c>
      <c r="J153" s="6">
        <v>14155</v>
      </c>
      <c r="K153" s="6">
        <v>11698.56</v>
      </c>
      <c r="L153" s="6">
        <v>2456.44</v>
      </c>
    </row>
    <row r="154" spans="1:12" x14ac:dyDescent="0.3">
      <c r="A154" s="4" t="s">
        <v>437</v>
      </c>
      <c r="B154" s="5">
        <v>45940</v>
      </c>
      <c r="C154" s="4" t="s">
        <v>438</v>
      </c>
      <c r="D154" s="4" t="s">
        <v>439</v>
      </c>
      <c r="E154" s="4" t="s">
        <v>29</v>
      </c>
      <c r="F154" s="4" t="s">
        <v>30</v>
      </c>
      <c r="G154" s="4" t="s">
        <v>17</v>
      </c>
      <c r="H154" s="4" t="s">
        <v>31</v>
      </c>
      <c r="I154" s="6">
        <v>7</v>
      </c>
      <c r="J154" s="6">
        <v>6090</v>
      </c>
      <c r="K154" s="6">
        <v>3608.7</v>
      </c>
      <c r="L154" s="6">
        <v>2481.3000000000002</v>
      </c>
    </row>
    <row r="155" spans="1:12" x14ac:dyDescent="0.3">
      <c r="A155" s="4" t="s">
        <v>440</v>
      </c>
      <c r="B155" s="5">
        <v>45611</v>
      </c>
      <c r="C155" s="4" t="s">
        <v>441</v>
      </c>
      <c r="D155" s="4" t="s">
        <v>442</v>
      </c>
      <c r="E155" s="4" t="s">
        <v>29</v>
      </c>
      <c r="F155" s="4" t="s">
        <v>49</v>
      </c>
      <c r="G155" s="4" t="s">
        <v>35</v>
      </c>
      <c r="H155" s="4" t="s">
        <v>36</v>
      </c>
      <c r="I155" s="6">
        <v>8</v>
      </c>
      <c r="J155" s="6">
        <v>24736</v>
      </c>
      <c r="K155" s="6">
        <v>14772.9</v>
      </c>
      <c r="L155" s="6">
        <v>9963.1</v>
      </c>
    </row>
    <row r="156" spans="1:12" x14ac:dyDescent="0.3">
      <c r="A156" s="4" t="s">
        <v>443</v>
      </c>
      <c r="B156" s="5">
        <v>45570</v>
      </c>
      <c r="C156" s="4" t="s">
        <v>324</v>
      </c>
      <c r="D156" s="4" t="s">
        <v>302</v>
      </c>
      <c r="E156" s="4" t="s">
        <v>15</v>
      </c>
      <c r="F156" s="4" t="s">
        <v>16</v>
      </c>
      <c r="G156" s="4" t="s">
        <v>24</v>
      </c>
      <c r="H156" s="4" t="s">
        <v>166</v>
      </c>
      <c r="I156" s="6">
        <v>3</v>
      </c>
      <c r="J156" s="6">
        <v>2121</v>
      </c>
      <c r="K156" s="6">
        <v>1595.4</v>
      </c>
      <c r="L156" s="6">
        <v>525.6</v>
      </c>
    </row>
    <row r="157" spans="1:12" x14ac:dyDescent="0.3">
      <c r="A157" s="4" t="s">
        <v>444</v>
      </c>
      <c r="B157" s="5">
        <v>45816</v>
      </c>
      <c r="C157" s="4" t="s">
        <v>77</v>
      </c>
      <c r="D157" s="4" t="s">
        <v>177</v>
      </c>
      <c r="E157" s="4" t="s">
        <v>22</v>
      </c>
      <c r="F157" s="4" t="s">
        <v>79</v>
      </c>
      <c r="G157" s="4" t="s">
        <v>35</v>
      </c>
      <c r="H157" s="4" t="s">
        <v>80</v>
      </c>
      <c r="I157" s="6">
        <v>7</v>
      </c>
      <c r="J157" s="6">
        <v>17759</v>
      </c>
      <c r="K157" s="6">
        <v>10915.94</v>
      </c>
      <c r="L157" s="6">
        <v>6843.06</v>
      </c>
    </row>
    <row r="158" spans="1:12" x14ac:dyDescent="0.3">
      <c r="A158" s="4" t="s">
        <v>445</v>
      </c>
      <c r="B158" s="5">
        <v>45607</v>
      </c>
      <c r="C158" s="4" t="s">
        <v>446</v>
      </c>
      <c r="D158" s="4" t="s">
        <v>447</v>
      </c>
      <c r="E158" s="4" t="s">
        <v>22</v>
      </c>
      <c r="F158" s="4" t="s">
        <v>23</v>
      </c>
      <c r="G158" s="4" t="s">
        <v>40</v>
      </c>
      <c r="H158" s="4" t="s">
        <v>99</v>
      </c>
      <c r="I158" s="6">
        <v>10</v>
      </c>
      <c r="J158" s="6">
        <v>42860</v>
      </c>
      <c r="K158" s="6">
        <v>30348.32</v>
      </c>
      <c r="L158" s="6">
        <v>12511.68</v>
      </c>
    </row>
    <row r="159" spans="1:12" x14ac:dyDescent="0.3">
      <c r="A159" s="4" t="s">
        <v>448</v>
      </c>
      <c r="B159" s="5">
        <v>45508</v>
      </c>
      <c r="C159" s="4" t="s">
        <v>449</v>
      </c>
      <c r="D159" s="4" t="s">
        <v>180</v>
      </c>
      <c r="E159" s="4" t="s">
        <v>22</v>
      </c>
      <c r="F159" s="4" t="s">
        <v>79</v>
      </c>
      <c r="G159" s="4" t="s">
        <v>24</v>
      </c>
      <c r="H159" s="4" t="s">
        <v>25</v>
      </c>
      <c r="I159" s="6">
        <v>1</v>
      </c>
      <c r="J159" s="6">
        <v>1974</v>
      </c>
      <c r="K159" s="6">
        <v>1264.2</v>
      </c>
      <c r="L159" s="6">
        <v>709.8</v>
      </c>
    </row>
    <row r="160" spans="1:12" x14ac:dyDescent="0.3">
      <c r="A160" s="4" t="s">
        <v>450</v>
      </c>
      <c r="B160" s="5">
        <v>45471</v>
      </c>
      <c r="C160" s="4" t="s">
        <v>451</v>
      </c>
      <c r="D160" s="4" t="s">
        <v>258</v>
      </c>
      <c r="E160" s="4" t="s">
        <v>54</v>
      </c>
      <c r="F160" s="4" t="s">
        <v>55</v>
      </c>
      <c r="G160" s="4" t="s">
        <v>24</v>
      </c>
      <c r="H160" s="4" t="s">
        <v>50</v>
      </c>
      <c r="I160" s="6">
        <v>1</v>
      </c>
      <c r="J160" s="6">
        <v>4374</v>
      </c>
      <c r="K160" s="6">
        <v>3385.93</v>
      </c>
      <c r="L160" s="6">
        <v>988.07</v>
      </c>
    </row>
    <row r="161" spans="1:12" x14ac:dyDescent="0.3">
      <c r="A161" s="4" t="s">
        <v>452</v>
      </c>
      <c r="B161" s="5">
        <v>45335</v>
      </c>
      <c r="C161" s="4" t="s">
        <v>254</v>
      </c>
      <c r="D161" s="4" t="s">
        <v>453</v>
      </c>
      <c r="E161" s="4" t="s">
        <v>29</v>
      </c>
      <c r="F161" s="4" t="s">
        <v>30</v>
      </c>
      <c r="G161" s="4" t="s">
        <v>35</v>
      </c>
      <c r="H161" s="4" t="s">
        <v>45</v>
      </c>
      <c r="I161" s="6">
        <v>6</v>
      </c>
      <c r="J161" s="6">
        <v>5340</v>
      </c>
      <c r="K161" s="6">
        <v>3573.11</v>
      </c>
      <c r="L161" s="6">
        <v>1766.89</v>
      </c>
    </row>
    <row r="162" spans="1:12" x14ac:dyDescent="0.3">
      <c r="A162" s="4" t="s">
        <v>454</v>
      </c>
      <c r="B162" s="5">
        <v>46018</v>
      </c>
      <c r="C162" s="4" t="s">
        <v>455</v>
      </c>
      <c r="D162" s="4" t="s">
        <v>456</v>
      </c>
      <c r="E162" s="4" t="s">
        <v>22</v>
      </c>
      <c r="F162" s="4" t="s">
        <v>23</v>
      </c>
      <c r="G162" s="4" t="s">
        <v>40</v>
      </c>
      <c r="H162" s="4" t="s">
        <v>41</v>
      </c>
      <c r="I162" s="6">
        <v>10</v>
      </c>
      <c r="J162" s="6">
        <v>38160</v>
      </c>
      <c r="K162" s="6">
        <v>27552.28</v>
      </c>
      <c r="L162" s="6">
        <v>10607.72</v>
      </c>
    </row>
    <row r="163" spans="1:12" x14ac:dyDescent="0.3">
      <c r="A163" s="4" t="s">
        <v>457</v>
      </c>
      <c r="B163" s="5">
        <v>45924</v>
      </c>
      <c r="C163" s="4" t="s">
        <v>458</v>
      </c>
      <c r="D163" s="4" t="s">
        <v>459</v>
      </c>
      <c r="E163" s="4" t="s">
        <v>15</v>
      </c>
      <c r="F163" s="4" t="s">
        <v>63</v>
      </c>
      <c r="G163" s="4" t="s">
        <v>24</v>
      </c>
      <c r="H163" s="4" t="s">
        <v>25</v>
      </c>
      <c r="I163" s="6">
        <v>6</v>
      </c>
      <c r="J163" s="6">
        <v>10242</v>
      </c>
      <c r="K163" s="6">
        <v>8095.24</v>
      </c>
      <c r="L163" s="6">
        <v>2146.7600000000002</v>
      </c>
    </row>
    <row r="164" spans="1:12" x14ac:dyDescent="0.3">
      <c r="A164" s="4" t="s">
        <v>460</v>
      </c>
      <c r="B164" s="5">
        <v>45828</v>
      </c>
      <c r="C164" s="4" t="s">
        <v>461</v>
      </c>
      <c r="D164" s="4" t="s">
        <v>462</v>
      </c>
      <c r="E164" s="4" t="s">
        <v>15</v>
      </c>
      <c r="F164" s="4" t="s">
        <v>63</v>
      </c>
      <c r="G164" s="4" t="s">
        <v>24</v>
      </c>
      <c r="H164" s="4" t="s">
        <v>50</v>
      </c>
      <c r="I164" s="6">
        <v>4</v>
      </c>
      <c r="J164" s="6">
        <v>15476</v>
      </c>
      <c r="K164" s="6">
        <v>11245.81</v>
      </c>
      <c r="L164" s="6">
        <v>4230.1899999999996</v>
      </c>
    </row>
    <row r="165" spans="1:12" x14ac:dyDescent="0.3">
      <c r="A165" s="4" t="s">
        <v>463</v>
      </c>
      <c r="B165" s="5">
        <v>45370</v>
      </c>
      <c r="C165" s="4" t="s">
        <v>464</v>
      </c>
      <c r="D165" s="4" t="s">
        <v>285</v>
      </c>
      <c r="E165" s="4" t="s">
        <v>54</v>
      </c>
      <c r="F165" s="4" t="s">
        <v>71</v>
      </c>
      <c r="G165" s="4" t="s">
        <v>40</v>
      </c>
      <c r="H165" s="4" t="s">
        <v>41</v>
      </c>
      <c r="I165" s="6">
        <v>4</v>
      </c>
      <c r="J165" s="6">
        <v>12112</v>
      </c>
      <c r="K165" s="6">
        <v>9492.6</v>
      </c>
      <c r="L165" s="6">
        <v>2619.4</v>
      </c>
    </row>
    <row r="166" spans="1:12" x14ac:dyDescent="0.3">
      <c r="A166" s="4" t="s">
        <v>465</v>
      </c>
      <c r="B166" s="5">
        <v>45554</v>
      </c>
      <c r="C166" s="4" t="s">
        <v>301</v>
      </c>
      <c r="D166" s="4" t="s">
        <v>466</v>
      </c>
      <c r="E166" s="4" t="s">
        <v>29</v>
      </c>
      <c r="F166" s="4" t="s">
        <v>49</v>
      </c>
      <c r="G166" s="4" t="s">
        <v>40</v>
      </c>
      <c r="H166" s="4" t="s">
        <v>41</v>
      </c>
      <c r="I166" s="6">
        <v>3</v>
      </c>
      <c r="J166" s="6">
        <v>6705</v>
      </c>
      <c r="K166" s="6">
        <v>3894.54</v>
      </c>
      <c r="L166" s="6">
        <v>2810.46</v>
      </c>
    </row>
    <row r="167" spans="1:12" x14ac:dyDescent="0.3">
      <c r="A167" s="4" t="s">
        <v>467</v>
      </c>
      <c r="B167" s="5">
        <v>45869</v>
      </c>
      <c r="C167" s="4" t="s">
        <v>379</v>
      </c>
      <c r="D167" s="4" t="s">
        <v>468</v>
      </c>
      <c r="E167" s="4" t="s">
        <v>29</v>
      </c>
      <c r="F167" s="4" t="s">
        <v>30</v>
      </c>
      <c r="G167" s="4" t="s">
        <v>24</v>
      </c>
      <c r="H167" s="4" t="s">
        <v>50</v>
      </c>
      <c r="I167" s="6">
        <v>3</v>
      </c>
      <c r="J167" s="6">
        <v>13041</v>
      </c>
      <c r="K167" s="6">
        <v>8987.67</v>
      </c>
      <c r="L167" s="6">
        <v>4053.33</v>
      </c>
    </row>
    <row r="168" spans="1:12" x14ac:dyDescent="0.3">
      <c r="A168" s="4" t="s">
        <v>469</v>
      </c>
      <c r="B168" s="5">
        <v>45744</v>
      </c>
      <c r="C168" s="4" t="s">
        <v>287</v>
      </c>
      <c r="D168" s="4" t="s">
        <v>470</v>
      </c>
      <c r="E168" s="4" t="s">
        <v>54</v>
      </c>
      <c r="F168" s="4" t="s">
        <v>71</v>
      </c>
      <c r="G168" s="4" t="s">
        <v>40</v>
      </c>
      <c r="H168" s="4" t="s">
        <v>41</v>
      </c>
      <c r="I168" s="6">
        <v>3</v>
      </c>
      <c r="J168" s="6">
        <v>11706</v>
      </c>
      <c r="K168" s="6">
        <v>6678.11</v>
      </c>
      <c r="L168" s="6">
        <v>5027.8900000000003</v>
      </c>
    </row>
    <row r="169" spans="1:12" x14ac:dyDescent="0.3">
      <c r="A169" s="4" t="s">
        <v>471</v>
      </c>
      <c r="B169" s="5">
        <v>45330</v>
      </c>
      <c r="C169" s="4" t="s">
        <v>472</v>
      </c>
      <c r="D169" s="4" t="s">
        <v>431</v>
      </c>
      <c r="E169" s="4" t="s">
        <v>15</v>
      </c>
      <c r="F169" s="4" t="s">
        <v>63</v>
      </c>
      <c r="G169" s="4" t="s">
        <v>35</v>
      </c>
      <c r="H169" s="4" t="s">
        <v>45</v>
      </c>
      <c r="I169" s="6">
        <v>2</v>
      </c>
      <c r="J169" s="6">
        <v>5684</v>
      </c>
      <c r="K169" s="6">
        <v>3913.56</v>
      </c>
      <c r="L169" s="6">
        <v>1770.44</v>
      </c>
    </row>
    <row r="170" spans="1:12" x14ac:dyDescent="0.3">
      <c r="A170" s="4" t="s">
        <v>473</v>
      </c>
      <c r="B170" s="5">
        <v>45886</v>
      </c>
      <c r="C170" s="4" t="s">
        <v>474</v>
      </c>
      <c r="D170" s="4" t="s">
        <v>475</v>
      </c>
      <c r="E170" s="4" t="s">
        <v>54</v>
      </c>
      <c r="F170" s="4" t="s">
        <v>142</v>
      </c>
      <c r="G170" s="4" t="s">
        <v>17</v>
      </c>
      <c r="H170" s="4" t="s">
        <v>31</v>
      </c>
      <c r="I170" s="6">
        <v>2</v>
      </c>
      <c r="J170" s="6">
        <v>8906</v>
      </c>
      <c r="K170" s="6">
        <v>5925.56</v>
      </c>
      <c r="L170" s="6">
        <v>2980.44</v>
      </c>
    </row>
    <row r="171" spans="1:12" x14ac:dyDescent="0.3">
      <c r="A171" s="4" t="s">
        <v>476</v>
      </c>
      <c r="B171" s="5">
        <v>45805</v>
      </c>
      <c r="C171" s="4" t="s">
        <v>477</v>
      </c>
      <c r="D171" s="4" t="s">
        <v>478</v>
      </c>
      <c r="E171" s="4" t="s">
        <v>22</v>
      </c>
      <c r="F171" s="4" t="s">
        <v>79</v>
      </c>
      <c r="G171" s="4" t="s">
        <v>17</v>
      </c>
      <c r="H171" s="4" t="s">
        <v>31</v>
      </c>
      <c r="I171" s="6">
        <v>4</v>
      </c>
      <c r="J171" s="6">
        <v>11732</v>
      </c>
      <c r="K171" s="6">
        <v>8581.98</v>
      </c>
      <c r="L171" s="6">
        <v>3150.02</v>
      </c>
    </row>
    <row r="172" spans="1:12" x14ac:dyDescent="0.3">
      <c r="A172" s="4" t="s">
        <v>479</v>
      </c>
      <c r="B172" s="5">
        <v>45332</v>
      </c>
      <c r="C172" s="4" t="s">
        <v>480</v>
      </c>
      <c r="D172" s="4" t="s">
        <v>481</v>
      </c>
      <c r="E172" s="4" t="s">
        <v>22</v>
      </c>
      <c r="F172" s="4" t="s">
        <v>23</v>
      </c>
      <c r="G172" s="4" t="s">
        <v>40</v>
      </c>
      <c r="H172" s="4" t="s">
        <v>41</v>
      </c>
      <c r="I172" s="6">
        <v>2</v>
      </c>
      <c r="J172" s="6">
        <v>8866</v>
      </c>
      <c r="K172" s="6">
        <v>6594.87</v>
      </c>
      <c r="L172" s="6">
        <v>2271.13</v>
      </c>
    </row>
    <row r="173" spans="1:12" x14ac:dyDescent="0.3">
      <c r="A173" s="4" t="s">
        <v>482</v>
      </c>
      <c r="B173" s="5">
        <v>45581</v>
      </c>
      <c r="C173" s="4" t="s">
        <v>483</v>
      </c>
      <c r="D173" s="4" t="s">
        <v>484</v>
      </c>
      <c r="E173" s="4" t="s">
        <v>22</v>
      </c>
      <c r="F173" s="4" t="s">
        <v>79</v>
      </c>
      <c r="G173" s="4" t="s">
        <v>35</v>
      </c>
      <c r="H173" s="4" t="s">
        <v>45</v>
      </c>
      <c r="I173" s="6">
        <v>10</v>
      </c>
      <c r="J173" s="6">
        <v>16000</v>
      </c>
      <c r="K173" s="6">
        <v>10546.71</v>
      </c>
      <c r="L173" s="6">
        <v>5453.29</v>
      </c>
    </row>
    <row r="174" spans="1:12" x14ac:dyDescent="0.3">
      <c r="A174" s="4" t="s">
        <v>485</v>
      </c>
      <c r="B174" s="5">
        <v>45388</v>
      </c>
      <c r="C174" s="4" t="s">
        <v>433</v>
      </c>
      <c r="D174" s="4" t="s">
        <v>75</v>
      </c>
      <c r="E174" s="4" t="s">
        <v>54</v>
      </c>
      <c r="F174" s="4" t="s">
        <v>71</v>
      </c>
      <c r="G174" s="4" t="s">
        <v>17</v>
      </c>
      <c r="H174" s="4" t="s">
        <v>72</v>
      </c>
      <c r="I174" s="6">
        <v>1</v>
      </c>
      <c r="J174" s="6">
        <v>3041</v>
      </c>
      <c r="K174" s="6">
        <v>1732.68</v>
      </c>
      <c r="L174" s="6">
        <v>1308.32</v>
      </c>
    </row>
    <row r="175" spans="1:12" x14ac:dyDescent="0.3">
      <c r="A175" s="4" t="s">
        <v>486</v>
      </c>
      <c r="B175" s="5">
        <v>45888</v>
      </c>
      <c r="C175" s="4" t="s">
        <v>487</v>
      </c>
      <c r="D175" s="4" t="s">
        <v>488</v>
      </c>
      <c r="E175" s="4" t="s">
        <v>54</v>
      </c>
      <c r="F175" s="4" t="s">
        <v>55</v>
      </c>
      <c r="G175" s="4" t="s">
        <v>17</v>
      </c>
      <c r="H175" s="4" t="s">
        <v>18</v>
      </c>
      <c r="I175" s="6">
        <v>10</v>
      </c>
      <c r="J175" s="6">
        <v>15310</v>
      </c>
      <c r="K175" s="6">
        <v>9951.6299999999992</v>
      </c>
      <c r="L175" s="6">
        <v>5358.37</v>
      </c>
    </row>
    <row r="176" spans="1:12" x14ac:dyDescent="0.3">
      <c r="A176" s="4" t="s">
        <v>489</v>
      </c>
      <c r="B176" s="5">
        <v>45378</v>
      </c>
      <c r="C176" s="4" t="s">
        <v>490</v>
      </c>
      <c r="D176" s="4" t="s">
        <v>207</v>
      </c>
      <c r="E176" s="4" t="s">
        <v>54</v>
      </c>
      <c r="F176" s="4" t="s">
        <v>71</v>
      </c>
      <c r="G176" s="4" t="s">
        <v>17</v>
      </c>
      <c r="H176" s="4" t="s">
        <v>18</v>
      </c>
      <c r="I176" s="6">
        <v>7</v>
      </c>
      <c r="J176" s="6">
        <v>9492</v>
      </c>
      <c r="K176" s="6">
        <v>6915.04</v>
      </c>
      <c r="L176" s="6">
        <v>2576.96</v>
      </c>
    </row>
    <row r="177" spans="1:12" x14ac:dyDescent="0.3">
      <c r="A177" s="4" t="s">
        <v>491</v>
      </c>
      <c r="B177" s="5">
        <v>45978</v>
      </c>
      <c r="C177" s="4" t="s">
        <v>95</v>
      </c>
      <c r="D177" s="4" t="s">
        <v>492</v>
      </c>
      <c r="E177" s="4" t="s">
        <v>22</v>
      </c>
      <c r="F177" s="4" t="s">
        <v>79</v>
      </c>
      <c r="G177" s="4" t="s">
        <v>40</v>
      </c>
      <c r="H177" s="4" t="s">
        <v>41</v>
      </c>
      <c r="I177" s="6">
        <v>3</v>
      </c>
      <c r="J177" s="6">
        <v>13836</v>
      </c>
      <c r="K177" s="6">
        <v>7997.7</v>
      </c>
      <c r="L177" s="6">
        <v>5838.3</v>
      </c>
    </row>
    <row r="178" spans="1:12" x14ac:dyDescent="0.3">
      <c r="A178" s="4" t="s">
        <v>493</v>
      </c>
      <c r="B178" s="5">
        <v>45641</v>
      </c>
      <c r="C178" s="4" t="s">
        <v>212</v>
      </c>
      <c r="D178" s="4" t="s">
        <v>187</v>
      </c>
      <c r="E178" s="4" t="s">
        <v>54</v>
      </c>
      <c r="F178" s="4" t="s">
        <v>142</v>
      </c>
      <c r="G178" s="4" t="s">
        <v>40</v>
      </c>
      <c r="H178" s="4" t="s">
        <v>41</v>
      </c>
      <c r="I178" s="6">
        <v>5</v>
      </c>
      <c r="J178" s="6">
        <v>8880</v>
      </c>
      <c r="K178" s="6">
        <v>7417.92</v>
      </c>
      <c r="L178" s="6">
        <v>1462.08</v>
      </c>
    </row>
    <row r="179" spans="1:12" x14ac:dyDescent="0.3">
      <c r="A179" s="4" t="s">
        <v>494</v>
      </c>
      <c r="B179" s="5">
        <v>45395</v>
      </c>
      <c r="C179" s="4" t="s">
        <v>495</v>
      </c>
      <c r="D179" s="4" t="s">
        <v>496</v>
      </c>
      <c r="E179" s="4" t="s">
        <v>29</v>
      </c>
      <c r="F179" s="4" t="s">
        <v>102</v>
      </c>
      <c r="G179" s="4" t="s">
        <v>24</v>
      </c>
      <c r="H179" s="4" t="s">
        <v>166</v>
      </c>
      <c r="I179" s="6">
        <v>2</v>
      </c>
      <c r="J179" s="6">
        <v>5446</v>
      </c>
      <c r="K179" s="6">
        <v>4374.93</v>
      </c>
      <c r="L179" s="6">
        <v>1071.07</v>
      </c>
    </row>
    <row r="180" spans="1:12" x14ac:dyDescent="0.3">
      <c r="A180" s="4" t="s">
        <v>497</v>
      </c>
      <c r="B180" s="5">
        <v>45449</v>
      </c>
      <c r="C180" s="4" t="s">
        <v>498</v>
      </c>
      <c r="D180" s="4" t="s">
        <v>436</v>
      </c>
      <c r="E180" s="4" t="s">
        <v>15</v>
      </c>
      <c r="F180" s="4" t="s">
        <v>90</v>
      </c>
      <c r="G180" s="4" t="s">
        <v>40</v>
      </c>
      <c r="H180" s="4" t="s">
        <v>41</v>
      </c>
      <c r="I180" s="6">
        <v>10</v>
      </c>
      <c r="J180" s="6">
        <v>13730</v>
      </c>
      <c r="K180" s="6">
        <v>10011.56</v>
      </c>
      <c r="L180" s="6">
        <v>3718.44</v>
      </c>
    </row>
    <row r="181" spans="1:12" x14ac:dyDescent="0.3">
      <c r="A181" s="4" t="s">
        <v>499</v>
      </c>
      <c r="B181" s="5">
        <v>45535</v>
      </c>
      <c r="C181" s="4" t="s">
        <v>500</v>
      </c>
      <c r="D181" s="4" t="s">
        <v>282</v>
      </c>
      <c r="E181" s="4" t="s">
        <v>29</v>
      </c>
      <c r="F181" s="4" t="s">
        <v>30</v>
      </c>
      <c r="G181" s="4" t="s">
        <v>35</v>
      </c>
      <c r="H181" s="4" t="s">
        <v>80</v>
      </c>
      <c r="I181" s="6">
        <v>1</v>
      </c>
      <c r="J181" s="6">
        <v>3665</v>
      </c>
      <c r="K181" s="6">
        <v>2416.3000000000002</v>
      </c>
      <c r="L181" s="6">
        <v>1248.7</v>
      </c>
    </row>
    <row r="182" spans="1:12" x14ac:dyDescent="0.3">
      <c r="A182" s="4" t="s">
        <v>501</v>
      </c>
      <c r="B182" s="5">
        <v>45772</v>
      </c>
      <c r="C182" s="4" t="s">
        <v>276</v>
      </c>
      <c r="D182" s="4" t="s">
        <v>431</v>
      </c>
      <c r="E182" s="4" t="s">
        <v>22</v>
      </c>
      <c r="F182" s="4" t="s">
        <v>23</v>
      </c>
      <c r="G182" s="4" t="s">
        <v>35</v>
      </c>
      <c r="H182" s="4" t="s">
        <v>45</v>
      </c>
      <c r="I182" s="6">
        <v>4</v>
      </c>
      <c r="J182" s="6">
        <v>11340</v>
      </c>
      <c r="K182" s="6">
        <v>9521.9599999999991</v>
      </c>
      <c r="L182" s="6">
        <v>1818.04</v>
      </c>
    </row>
    <row r="183" spans="1:12" x14ac:dyDescent="0.3">
      <c r="A183" s="4" t="s">
        <v>502</v>
      </c>
      <c r="B183" s="5">
        <v>45457</v>
      </c>
      <c r="C183" s="4" t="s">
        <v>503</v>
      </c>
      <c r="D183" s="4" t="s">
        <v>377</v>
      </c>
      <c r="E183" s="4" t="s">
        <v>22</v>
      </c>
      <c r="F183" s="4" t="s">
        <v>67</v>
      </c>
      <c r="G183" s="4" t="s">
        <v>40</v>
      </c>
      <c r="H183" s="4" t="s">
        <v>99</v>
      </c>
      <c r="I183" s="6">
        <v>7</v>
      </c>
      <c r="J183" s="6">
        <v>30933</v>
      </c>
      <c r="K183" s="6">
        <v>21907.919999999998</v>
      </c>
      <c r="L183" s="6">
        <v>9025.08</v>
      </c>
    </row>
    <row r="184" spans="1:12" x14ac:dyDescent="0.3">
      <c r="A184" s="4" t="s">
        <v>504</v>
      </c>
      <c r="B184" s="5">
        <v>45397</v>
      </c>
      <c r="C184" s="4" t="s">
        <v>505</v>
      </c>
      <c r="D184" s="4" t="s">
        <v>39</v>
      </c>
      <c r="E184" s="4" t="s">
        <v>54</v>
      </c>
      <c r="F184" s="4" t="s">
        <v>142</v>
      </c>
      <c r="G184" s="4" t="s">
        <v>17</v>
      </c>
      <c r="H184" s="4" t="s">
        <v>31</v>
      </c>
      <c r="I184" s="6">
        <v>8</v>
      </c>
      <c r="J184" s="6">
        <v>26720</v>
      </c>
      <c r="K184" s="6">
        <v>19141.2</v>
      </c>
      <c r="L184" s="6">
        <v>7578.8</v>
      </c>
    </row>
    <row r="185" spans="1:12" x14ac:dyDescent="0.3">
      <c r="A185" s="4" t="s">
        <v>506</v>
      </c>
      <c r="B185" s="5">
        <v>45442</v>
      </c>
      <c r="C185" s="4" t="s">
        <v>254</v>
      </c>
      <c r="D185" s="4" t="s">
        <v>439</v>
      </c>
      <c r="E185" s="4" t="s">
        <v>54</v>
      </c>
      <c r="F185" s="4" t="s">
        <v>142</v>
      </c>
      <c r="G185" s="4" t="s">
        <v>24</v>
      </c>
      <c r="H185" s="4" t="s">
        <v>166</v>
      </c>
      <c r="I185" s="6">
        <v>5</v>
      </c>
      <c r="J185" s="6">
        <v>19900</v>
      </c>
      <c r="K185" s="6">
        <v>16349.68</v>
      </c>
      <c r="L185" s="6">
        <v>3550.32</v>
      </c>
    </row>
    <row r="186" spans="1:12" x14ac:dyDescent="0.3">
      <c r="A186" s="4" t="s">
        <v>507</v>
      </c>
      <c r="B186" s="5">
        <v>45806</v>
      </c>
      <c r="C186" s="4" t="s">
        <v>85</v>
      </c>
      <c r="D186" s="4" t="s">
        <v>508</v>
      </c>
      <c r="E186" s="4" t="s">
        <v>29</v>
      </c>
      <c r="F186" s="4" t="s">
        <v>49</v>
      </c>
      <c r="G186" s="4" t="s">
        <v>40</v>
      </c>
      <c r="H186" s="4" t="s">
        <v>41</v>
      </c>
      <c r="I186" s="6">
        <v>1</v>
      </c>
      <c r="J186" s="6">
        <v>3698</v>
      </c>
      <c r="K186" s="6">
        <v>2092.98</v>
      </c>
      <c r="L186" s="6">
        <v>1605.02</v>
      </c>
    </row>
    <row r="187" spans="1:12" x14ac:dyDescent="0.3">
      <c r="A187" s="4" t="s">
        <v>509</v>
      </c>
      <c r="B187" s="5">
        <v>45393</v>
      </c>
      <c r="C187" s="4" t="s">
        <v>195</v>
      </c>
      <c r="D187" s="4" t="s">
        <v>510</v>
      </c>
      <c r="E187" s="4" t="s">
        <v>22</v>
      </c>
      <c r="F187" s="4" t="s">
        <v>23</v>
      </c>
      <c r="G187" s="4" t="s">
        <v>40</v>
      </c>
      <c r="H187" s="4" t="s">
        <v>41</v>
      </c>
      <c r="I187" s="6">
        <v>4</v>
      </c>
      <c r="J187" s="6">
        <v>2120</v>
      </c>
      <c r="K187" s="6">
        <v>1368.68</v>
      </c>
      <c r="L187" s="6">
        <v>751.32</v>
      </c>
    </row>
    <row r="188" spans="1:12" x14ac:dyDescent="0.3">
      <c r="A188" s="4" t="s">
        <v>511</v>
      </c>
      <c r="B188" s="5">
        <v>45772</v>
      </c>
      <c r="C188" s="4" t="s">
        <v>266</v>
      </c>
      <c r="D188" s="4" t="s">
        <v>512</v>
      </c>
      <c r="E188" s="4" t="s">
        <v>29</v>
      </c>
      <c r="F188" s="4" t="s">
        <v>102</v>
      </c>
      <c r="G188" s="4" t="s">
        <v>40</v>
      </c>
      <c r="H188" s="4" t="s">
        <v>99</v>
      </c>
      <c r="I188" s="6">
        <v>8</v>
      </c>
      <c r="J188" s="6">
        <v>11488</v>
      </c>
      <c r="K188" s="6">
        <v>8933.67</v>
      </c>
      <c r="L188" s="6">
        <v>2554.33</v>
      </c>
    </row>
    <row r="189" spans="1:12" x14ac:dyDescent="0.3">
      <c r="A189" s="4" t="s">
        <v>513</v>
      </c>
      <c r="B189" s="5">
        <v>45915</v>
      </c>
      <c r="C189" s="4" t="s">
        <v>514</v>
      </c>
      <c r="D189" s="4" t="s">
        <v>111</v>
      </c>
      <c r="E189" s="4" t="s">
        <v>15</v>
      </c>
      <c r="F189" s="4" t="s">
        <v>16</v>
      </c>
      <c r="G189" s="4" t="s">
        <v>40</v>
      </c>
      <c r="H189" s="4" t="s">
        <v>99</v>
      </c>
      <c r="I189" s="6">
        <v>4</v>
      </c>
      <c r="J189" s="6">
        <v>6096</v>
      </c>
      <c r="K189" s="6">
        <v>4356.45</v>
      </c>
      <c r="L189" s="6">
        <v>1739.55</v>
      </c>
    </row>
    <row r="190" spans="1:12" x14ac:dyDescent="0.3">
      <c r="A190" s="4" t="s">
        <v>515</v>
      </c>
      <c r="B190" s="5">
        <v>45721</v>
      </c>
      <c r="C190" s="4" t="s">
        <v>516</v>
      </c>
      <c r="D190" s="4" t="s">
        <v>517</v>
      </c>
      <c r="E190" s="4" t="s">
        <v>15</v>
      </c>
      <c r="F190" s="4" t="s">
        <v>63</v>
      </c>
      <c r="G190" s="4" t="s">
        <v>40</v>
      </c>
      <c r="H190" s="4" t="s">
        <v>56</v>
      </c>
      <c r="I190" s="6">
        <v>5</v>
      </c>
      <c r="J190" s="6">
        <v>6490</v>
      </c>
      <c r="K190" s="6">
        <v>3662.47</v>
      </c>
      <c r="L190" s="6">
        <v>2827.53</v>
      </c>
    </row>
    <row r="191" spans="1:12" x14ac:dyDescent="0.3">
      <c r="A191" s="4" t="s">
        <v>518</v>
      </c>
      <c r="B191" s="5">
        <v>45880</v>
      </c>
      <c r="C191" s="4" t="s">
        <v>519</v>
      </c>
      <c r="D191" s="4" t="s">
        <v>520</v>
      </c>
      <c r="E191" s="4" t="s">
        <v>15</v>
      </c>
      <c r="F191" s="4" t="s">
        <v>63</v>
      </c>
      <c r="G191" s="4" t="s">
        <v>17</v>
      </c>
      <c r="H191" s="4" t="s">
        <v>72</v>
      </c>
      <c r="I191" s="6">
        <v>9</v>
      </c>
      <c r="J191" s="6">
        <v>3906</v>
      </c>
      <c r="K191" s="6">
        <v>2888.82</v>
      </c>
      <c r="L191" s="6">
        <v>1017.18</v>
      </c>
    </row>
    <row r="192" spans="1:12" x14ac:dyDescent="0.3">
      <c r="A192" s="4" t="s">
        <v>521</v>
      </c>
      <c r="B192" s="5">
        <v>45718</v>
      </c>
      <c r="C192" s="4" t="s">
        <v>522</v>
      </c>
      <c r="D192" s="4" t="s">
        <v>288</v>
      </c>
      <c r="E192" s="4" t="s">
        <v>54</v>
      </c>
      <c r="F192" s="4" t="s">
        <v>55</v>
      </c>
      <c r="G192" s="4" t="s">
        <v>24</v>
      </c>
      <c r="H192" s="4" t="s">
        <v>25</v>
      </c>
      <c r="I192" s="6">
        <v>10</v>
      </c>
      <c r="J192" s="6">
        <v>31900</v>
      </c>
      <c r="K192" s="6">
        <v>19847.2</v>
      </c>
      <c r="L192" s="6">
        <v>12052.8</v>
      </c>
    </row>
    <row r="193" spans="1:12" x14ac:dyDescent="0.3">
      <c r="A193" s="4" t="s">
        <v>523</v>
      </c>
      <c r="B193" s="5">
        <v>45811</v>
      </c>
      <c r="C193" s="4" t="s">
        <v>474</v>
      </c>
      <c r="D193" s="4" t="s">
        <v>524</v>
      </c>
      <c r="E193" s="4" t="s">
        <v>54</v>
      </c>
      <c r="F193" s="4" t="s">
        <v>142</v>
      </c>
      <c r="G193" s="4" t="s">
        <v>35</v>
      </c>
      <c r="H193" s="4" t="s">
        <v>45</v>
      </c>
      <c r="I193" s="6">
        <v>9</v>
      </c>
      <c r="J193" s="6">
        <v>40104</v>
      </c>
      <c r="K193" s="6">
        <v>31518.68</v>
      </c>
      <c r="L193" s="6">
        <v>8585.32</v>
      </c>
    </row>
    <row r="194" spans="1:12" x14ac:dyDescent="0.3">
      <c r="A194" s="4" t="s">
        <v>525</v>
      </c>
      <c r="B194" s="5">
        <v>45308</v>
      </c>
      <c r="C194" s="4" t="s">
        <v>526</v>
      </c>
      <c r="D194" s="4" t="s">
        <v>527</v>
      </c>
      <c r="E194" s="4" t="s">
        <v>22</v>
      </c>
      <c r="F194" s="4" t="s">
        <v>67</v>
      </c>
      <c r="G194" s="4" t="s">
        <v>24</v>
      </c>
      <c r="H194" s="4" t="s">
        <v>25</v>
      </c>
      <c r="I194" s="6">
        <v>7</v>
      </c>
      <c r="J194" s="6">
        <v>23506</v>
      </c>
      <c r="K194" s="6">
        <v>14716.99</v>
      </c>
      <c r="L194" s="6">
        <v>8789.01</v>
      </c>
    </row>
    <row r="195" spans="1:12" x14ac:dyDescent="0.3">
      <c r="A195" s="4" t="s">
        <v>528</v>
      </c>
      <c r="B195" s="5">
        <v>45652</v>
      </c>
      <c r="C195" s="4" t="s">
        <v>13</v>
      </c>
      <c r="D195" s="4" t="s">
        <v>420</v>
      </c>
      <c r="E195" s="4" t="s">
        <v>54</v>
      </c>
      <c r="F195" s="4" t="s">
        <v>142</v>
      </c>
      <c r="G195" s="4" t="s">
        <v>17</v>
      </c>
      <c r="H195" s="4" t="s">
        <v>18</v>
      </c>
      <c r="I195" s="6">
        <v>2</v>
      </c>
      <c r="J195" s="6">
        <v>6046</v>
      </c>
      <c r="K195" s="6">
        <v>3567.28</v>
      </c>
      <c r="L195" s="6">
        <v>2478.7199999999998</v>
      </c>
    </row>
    <row r="196" spans="1:12" x14ac:dyDescent="0.3">
      <c r="A196" s="4" t="s">
        <v>529</v>
      </c>
      <c r="B196" s="5">
        <v>45356</v>
      </c>
      <c r="C196" s="4" t="s">
        <v>516</v>
      </c>
      <c r="D196" s="4" t="s">
        <v>319</v>
      </c>
      <c r="E196" s="4" t="s">
        <v>29</v>
      </c>
      <c r="F196" s="4" t="s">
        <v>30</v>
      </c>
      <c r="G196" s="4" t="s">
        <v>35</v>
      </c>
      <c r="H196" s="4" t="s">
        <v>80</v>
      </c>
      <c r="I196" s="6">
        <v>8</v>
      </c>
      <c r="J196" s="6">
        <v>14344</v>
      </c>
      <c r="K196" s="6">
        <v>11381.24</v>
      </c>
      <c r="L196" s="6">
        <v>2962.76</v>
      </c>
    </row>
    <row r="197" spans="1:12" x14ac:dyDescent="0.3">
      <c r="A197" s="4" t="s">
        <v>530</v>
      </c>
      <c r="B197" s="5">
        <v>45609</v>
      </c>
      <c r="C197" s="4" t="s">
        <v>321</v>
      </c>
      <c r="D197" s="4" t="s">
        <v>531</v>
      </c>
      <c r="E197" s="4" t="s">
        <v>54</v>
      </c>
      <c r="F197" s="4" t="s">
        <v>142</v>
      </c>
      <c r="G197" s="4" t="s">
        <v>24</v>
      </c>
      <c r="H197" s="4" t="s">
        <v>25</v>
      </c>
      <c r="I197" s="6">
        <v>4</v>
      </c>
      <c r="J197" s="6">
        <v>2572</v>
      </c>
      <c r="K197" s="6">
        <v>1658.11</v>
      </c>
      <c r="L197" s="6">
        <v>913.89</v>
      </c>
    </row>
    <row r="198" spans="1:12" x14ac:dyDescent="0.3">
      <c r="A198" s="4" t="s">
        <v>532</v>
      </c>
      <c r="B198" s="5">
        <v>45340</v>
      </c>
      <c r="C198" s="4" t="s">
        <v>104</v>
      </c>
      <c r="D198" s="4" t="s">
        <v>533</v>
      </c>
      <c r="E198" s="4" t="s">
        <v>22</v>
      </c>
      <c r="F198" s="4" t="s">
        <v>67</v>
      </c>
      <c r="G198" s="4" t="s">
        <v>24</v>
      </c>
      <c r="H198" s="4" t="s">
        <v>25</v>
      </c>
      <c r="I198" s="6">
        <v>4</v>
      </c>
      <c r="J198" s="6">
        <v>10572</v>
      </c>
      <c r="K198" s="6">
        <v>6946.78</v>
      </c>
      <c r="L198" s="6">
        <v>3625.22</v>
      </c>
    </row>
    <row r="199" spans="1:12" x14ac:dyDescent="0.3">
      <c r="A199" s="4" t="s">
        <v>534</v>
      </c>
      <c r="B199" s="5">
        <v>45687</v>
      </c>
      <c r="C199" s="4" t="s">
        <v>535</v>
      </c>
      <c r="D199" s="4" t="s">
        <v>536</v>
      </c>
      <c r="E199" s="4" t="s">
        <v>15</v>
      </c>
      <c r="F199" s="4" t="s">
        <v>63</v>
      </c>
      <c r="G199" s="4" t="s">
        <v>35</v>
      </c>
      <c r="H199" s="4" t="s">
        <v>36</v>
      </c>
      <c r="I199" s="6">
        <v>7</v>
      </c>
      <c r="J199" s="6">
        <v>27314</v>
      </c>
      <c r="K199" s="6">
        <v>22353.54</v>
      </c>
      <c r="L199" s="6">
        <v>4960.46</v>
      </c>
    </row>
    <row r="200" spans="1:12" x14ac:dyDescent="0.3">
      <c r="A200" s="4" t="s">
        <v>537</v>
      </c>
      <c r="B200" s="5">
        <v>45376</v>
      </c>
      <c r="C200" s="4" t="s">
        <v>538</v>
      </c>
      <c r="D200" s="4" t="s">
        <v>539</v>
      </c>
      <c r="E200" s="4" t="s">
        <v>22</v>
      </c>
      <c r="F200" s="4" t="s">
        <v>79</v>
      </c>
      <c r="G200" s="4" t="s">
        <v>35</v>
      </c>
      <c r="H200" s="4" t="s">
        <v>80</v>
      </c>
      <c r="I200" s="6">
        <v>6</v>
      </c>
      <c r="J200" s="6">
        <v>27318</v>
      </c>
      <c r="K200" s="6">
        <v>17210.78</v>
      </c>
      <c r="L200" s="6">
        <v>10107.219999999999</v>
      </c>
    </row>
    <row r="201" spans="1:12" x14ac:dyDescent="0.3">
      <c r="A201" s="4" t="s">
        <v>540</v>
      </c>
      <c r="B201" s="5">
        <v>45373</v>
      </c>
      <c r="C201" s="4" t="s">
        <v>541</v>
      </c>
      <c r="D201" s="4" t="s">
        <v>277</v>
      </c>
      <c r="E201" s="4" t="s">
        <v>22</v>
      </c>
      <c r="F201" s="4" t="s">
        <v>79</v>
      </c>
      <c r="G201" s="4" t="s">
        <v>24</v>
      </c>
      <c r="H201" s="4" t="s">
        <v>166</v>
      </c>
      <c r="I201" s="6">
        <v>9</v>
      </c>
      <c r="J201" s="6">
        <v>24354</v>
      </c>
      <c r="K201" s="6">
        <v>15741.53</v>
      </c>
      <c r="L201" s="6">
        <v>8612.4699999999993</v>
      </c>
    </row>
    <row r="202" spans="1:12" x14ac:dyDescent="0.3">
      <c r="A202" s="4" t="s">
        <v>542</v>
      </c>
      <c r="B202" s="5">
        <v>45651</v>
      </c>
      <c r="C202" s="4" t="s">
        <v>209</v>
      </c>
      <c r="D202" s="4" t="s">
        <v>475</v>
      </c>
      <c r="E202" s="4" t="s">
        <v>54</v>
      </c>
      <c r="F202" s="4" t="s">
        <v>55</v>
      </c>
      <c r="G202" s="4" t="s">
        <v>17</v>
      </c>
      <c r="H202" s="4" t="s">
        <v>72</v>
      </c>
      <c r="I202" s="6">
        <v>7</v>
      </c>
      <c r="J202" s="6">
        <v>11655</v>
      </c>
      <c r="K202" s="6">
        <v>8822.01</v>
      </c>
      <c r="L202" s="6">
        <v>2832.99</v>
      </c>
    </row>
    <row r="203" spans="1:12" x14ac:dyDescent="0.3">
      <c r="A203" s="4" t="s">
        <v>543</v>
      </c>
      <c r="B203" s="5">
        <v>45944</v>
      </c>
      <c r="C203" s="4" t="s">
        <v>544</v>
      </c>
      <c r="D203" s="4" t="s">
        <v>160</v>
      </c>
      <c r="E203" s="4" t="s">
        <v>54</v>
      </c>
      <c r="F203" s="4" t="s">
        <v>71</v>
      </c>
      <c r="G203" s="4" t="s">
        <v>35</v>
      </c>
      <c r="H203" s="4" t="s">
        <v>36</v>
      </c>
      <c r="I203" s="6">
        <v>5</v>
      </c>
      <c r="J203" s="6">
        <v>3845</v>
      </c>
      <c r="K203" s="6">
        <v>2201.31</v>
      </c>
      <c r="L203" s="6">
        <v>1643.69</v>
      </c>
    </row>
    <row r="204" spans="1:12" x14ac:dyDescent="0.3">
      <c r="A204" s="4" t="s">
        <v>545</v>
      </c>
      <c r="B204" s="5">
        <v>45360</v>
      </c>
      <c r="C204" s="4" t="s">
        <v>353</v>
      </c>
      <c r="D204" s="4" t="s">
        <v>381</v>
      </c>
      <c r="E204" s="4" t="s">
        <v>29</v>
      </c>
      <c r="F204" s="4" t="s">
        <v>102</v>
      </c>
      <c r="G204" s="4" t="s">
        <v>24</v>
      </c>
      <c r="H204" s="4" t="s">
        <v>166</v>
      </c>
      <c r="I204" s="6">
        <v>10</v>
      </c>
      <c r="J204" s="6">
        <v>38890</v>
      </c>
      <c r="K204" s="6">
        <v>21795.5</v>
      </c>
      <c r="L204" s="6">
        <v>17094.5</v>
      </c>
    </row>
    <row r="205" spans="1:12" x14ac:dyDescent="0.3">
      <c r="A205" s="4" t="s">
        <v>546</v>
      </c>
      <c r="B205" s="5">
        <v>45671</v>
      </c>
      <c r="C205" s="4" t="s">
        <v>547</v>
      </c>
      <c r="D205" s="4" t="s">
        <v>356</v>
      </c>
      <c r="E205" s="4" t="s">
        <v>54</v>
      </c>
      <c r="F205" s="4" t="s">
        <v>55</v>
      </c>
      <c r="G205" s="4" t="s">
        <v>17</v>
      </c>
      <c r="H205" s="4" t="s">
        <v>72</v>
      </c>
      <c r="I205" s="6">
        <v>1</v>
      </c>
      <c r="J205" s="6">
        <v>1556</v>
      </c>
      <c r="K205" s="6">
        <v>1172.79</v>
      </c>
      <c r="L205" s="6">
        <v>383.21</v>
      </c>
    </row>
    <row r="206" spans="1:12" x14ac:dyDescent="0.3">
      <c r="A206" s="4" t="s">
        <v>548</v>
      </c>
      <c r="B206" s="5">
        <v>45957</v>
      </c>
      <c r="C206" s="4" t="s">
        <v>27</v>
      </c>
      <c r="D206" s="4" t="s">
        <v>114</v>
      </c>
      <c r="E206" s="4" t="s">
        <v>15</v>
      </c>
      <c r="F206" s="4" t="s">
        <v>90</v>
      </c>
      <c r="G206" s="4" t="s">
        <v>24</v>
      </c>
      <c r="H206" s="4" t="s">
        <v>166</v>
      </c>
      <c r="I206" s="6">
        <v>9</v>
      </c>
      <c r="J206" s="6">
        <v>29754</v>
      </c>
      <c r="K206" s="6">
        <v>19917.63</v>
      </c>
      <c r="L206" s="6">
        <v>9836.3700000000008</v>
      </c>
    </row>
    <row r="207" spans="1:12" x14ac:dyDescent="0.3">
      <c r="A207" s="4" t="s">
        <v>549</v>
      </c>
      <c r="B207" s="5">
        <v>45867</v>
      </c>
      <c r="C207" s="4" t="s">
        <v>550</v>
      </c>
      <c r="D207" s="4" t="s">
        <v>83</v>
      </c>
      <c r="E207" s="4" t="s">
        <v>15</v>
      </c>
      <c r="F207" s="4" t="s">
        <v>16</v>
      </c>
      <c r="G207" s="4" t="s">
        <v>17</v>
      </c>
      <c r="H207" s="4" t="s">
        <v>18</v>
      </c>
      <c r="I207" s="6">
        <v>3</v>
      </c>
      <c r="J207" s="6">
        <v>13164</v>
      </c>
      <c r="K207" s="6">
        <v>9284.8799999999992</v>
      </c>
      <c r="L207" s="6">
        <v>3879.12</v>
      </c>
    </row>
    <row r="208" spans="1:12" x14ac:dyDescent="0.3">
      <c r="A208" s="4" t="s">
        <v>551</v>
      </c>
      <c r="B208" s="5">
        <v>45794</v>
      </c>
      <c r="C208" s="4" t="s">
        <v>503</v>
      </c>
      <c r="D208" s="4" t="s">
        <v>327</v>
      </c>
      <c r="E208" s="4" t="s">
        <v>54</v>
      </c>
      <c r="F208" s="4" t="s">
        <v>71</v>
      </c>
      <c r="G208" s="4" t="s">
        <v>35</v>
      </c>
      <c r="H208" s="4" t="s">
        <v>80</v>
      </c>
      <c r="I208" s="6">
        <v>4</v>
      </c>
      <c r="J208" s="6">
        <v>10556</v>
      </c>
      <c r="K208" s="6">
        <v>8003.5</v>
      </c>
      <c r="L208" s="6">
        <v>2552.5</v>
      </c>
    </row>
    <row r="209" spans="1:12" x14ac:dyDescent="0.3">
      <c r="A209" s="4" t="s">
        <v>552</v>
      </c>
      <c r="B209" s="5">
        <v>45990</v>
      </c>
      <c r="C209" s="4" t="s">
        <v>553</v>
      </c>
      <c r="D209" s="4" t="s">
        <v>554</v>
      </c>
      <c r="E209" s="4" t="s">
        <v>29</v>
      </c>
      <c r="F209" s="4" t="s">
        <v>102</v>
      </c>
      <c r="G209" s="4" t="s">
        <v>35</v>
      </c>
      <c r="H209" s="4" t="s">
        <v>80</v>
      </c>
      <c r="I209" s="6">
        <v>3</v>
      </c>
      <c r="J209" s="6">
        <v>11838</v>
      </c>
      <c r="K209" s="6">
        <v>10052.58</v>
      </c>
      <c r="L209" s="6">
        <v>1785.42</v>
      </c>
    </row>
    <row r="210" spans="1:12" x14ac:dyDescent="0.3">
      <c r="A210" s="4" t="s">
        <v>555</v>
      </c>
      <c r="B210" s="5">
        <v>46020</v>
      </c>
      <c r="C210" s="4" t="s">
        <v>556</v>
      </c>
      <c r="D210" s="4" t="s">
        <v>459</v>
      </c>
      <c r="E210" s="4" t="s">
        <v>15</v>
      </c>
      <c r="F210" s="4" t="s">
        <v>90</v>
      </c>
      <c r="G210" s="4" t="s">
        <v>35</v>
      </c>
      <c r="H210" s="4" t="s">
        <v>45</v>
      </c>
      <c r="I210" s="6">
        <v>5</v>
      </c>
      <c r="J210" s="6">
        <v>13785</v>
      </c>
      <c r="K210" s="6">
        <v>11102.56</v>
      </c>
      <c r="L210" s="6">
        <v>2682.44</v>
      </c>
    </row>
    <row r="211" spans="1:12" x14ac:dyDescent="0.3">
      <c r="A211" s="4" t="s">
        <v>557</v>
      </c>
      <c r="B211" s="5">
        <v>45318</v>
      </c>
      <c r="C211" s="4" t="s">
        <v>558</v>
      </c>
      <c r="D211" s="4" t="s">
        <v>399</v>
      </c>
      <c r="E211" s="4" t="s">
        <v>29</v>
      </c>
      <c r="F211" s="4" t="s">
        <v>102</v>
      </c>
      <c r="G211" s="4" t="s">
        <v>40</v>
      </c>
      <c r="H211" s="4" t="s">
        <v>56</v>
      </c>
      <c r="I211" s="6">
        <v>3</v>
      </c>
      <c r="J211" s="6">
        <v>6717</v>
      </c>
      <c r="K211" s="6">
        <v>5287.03</v>
      </c>
      <c r="L211" s="6">
        <v>1429.97</v>
      </c>
    </row>
    <row r="212" spans="1:12" x14ac:dyDescent="0.3">
      <c r="A212" s="4" t="s">
        <v>559</v>
      </c>
      <c r="B212" s="5">
        <v>45699</v>
      </c>
      <c r="C212" s="4" t="s">
        <v>560</v>
      </c>
      <c r="D212" s="4" t="s">
        <v>561</v>
      </c>
      <c r="E212" s="4" t="s">
        <v>54</v>
      </c>
      <c r="F212" s="4" t="s">
        <v>55</v>
      </c>
      <c r="G212" s="4" t="s">
        <v>35</v>
      </c>
      <c r="H212" s="4" t="s">
        <v>45</v>
      </c>
      <c r="I212" s="6">
        <v>3</v>
      </c>
      <c r="J212" s="6">
        <v>3018</v>
      </c>
      <c r="K212" s="6">
        <v>1719.43</v>
      </c>
      <c r="L212" s="6">
        <v>1298.57</v>
      </c>
    </row>
    <row r="213" spans="1:12" x14ac:dyDescent="0.3">
      <c r="A213" s="4" t="s">
        <v>562</v>
      </c>
      <c r="B213" s="5">
        <v>45949</v>
      </c>
      <c r="C213" s="4" t="s">
        <v>412</v>
      </c>
      <c r="D213" s="4" t="s">
        <v>563</v>
      </c>
      <c r="E213" s="4" t="s">
        <v>22</v>
      </c>
      <c r="F213" s="4" t="s">
        <v>67</v>
      </c>
      <c r="G213" s="4" t="s">
        <v>17</v>
      </c>
      <c r="H213" s="4" t="s">
        <v>72</v>
      </c>
      <c r="I213" s="6">
        <v>2</v>
      </c>
      <c r="J213" s="6">
        <v>2652</v>
      </c>
      <c r="K213" s="6">
        <v>2232.23</v>
      </c>
      <c r="L213" s="6">
        <v>419.77</v>
      </c>
    </row>
    <row r="214" spans="1:12" x14ac:dyDescent="0.3">
      <c r="A214" s="4" t="s">
        <v>564</v>
      </c>
      <c r="B214" s="5">
        <v>45856</v>
      </c>
      <c r="C214" s="4" t="s">
        <v>565</v>
      </c>
      <c r="D214" s="4" t="s">
        <v>566</v>
      </c>
      <c r="E214" s="4" t="s">
        <v>22</v>
      </c>
      <c r="F214" s="4" t="s">
        <v>79</v>
      </c>
      <c r="G214" s="4" t="s">
        <v>35</v>
      </c>
      <c r="H214" s="4" t="s">
        <v>45</v>
      </c>
      <c r="I214" s="6">
        <v>6</v>
      </c>
      <c r="J214" s="6">
        <v>8106</v>
      </c>
      <c r="K214" s="6">
        <v>6593.32</v>
      </c>
      <c r="L214" s="6">
        <v>1512.68</v>
      </c>
    </row>
    <row r="215" spans="1:12" x14ac:dyDescent="0.3">
      <c r="A215" s="4" t="s">
        <v>567</v>
      </c>
      <c r="B215" s="5">
        <v>45460</v>
      </c>
      <c r="C215" s="4" t="s">
        <v>154</v>
      </c>
      <c r="D215" s="4" t="s">
        <v>308</v>
      </c>
      <c r="E215" s="4" t="s">
        <v>22</v>
      </c>
      <c r="F215" s="4" t="s">
        <v>79</v>
      </c>
      <c r="G215" s="4" t="s">
        <v>24</v>
      </c>
      <c r="H215" s="4" t="s">
        <v>25</v>
      </c>
      <c r="I215" s="6">
        <v>2</v>
      </c>
      <c r="J215" s="6">
        <v>9088</v>
      </c>
      <c r="K215" s="6">
        <v>5415.58</v>
      </c>
      <c r="L215" s="6">
        <v>3672.42</v>
      </c>
    </row>
    <row r="216" spans="1:12" x14ac:dyDescent="0.3">
      <c r="A216" s="4" t="s">
        <v>568</v>
      </c>
      <c r="B216" s="5">
        <v>45942</v>
      </c>
      <c r="C216" s="4" t="s">
        <v>329</v>
      </c>
      <c r="D216" s="4" t="s">
        <v>470</v>
      </c>
      <c r="E216" s="4" t="s">
        <v>29</v>
      </c>
      <c r="F216" s="4" t="s">
        <v>49</v>
      </c>
      <c r="G216" s="4" t="s">
        <v>35</v>
      </c>
      <c r="H216" s="4" t="s">
        <v>45</v>
      </c>
      <c r="I216" s="6">
        <v>5</v>
      </c>
      <c r="J216" s="6">
        <v>4730</v>
      </c>
      <c r="K216" s="6">
        <v>2957.11</v>
      </c>
      <c r="L216" s="6">
        <v>1772.89</v>
      </c>
    </row>
    <row r="217" spans="1:12" x14ac:dyDescent="0.3">
      <c r="A217" s="4" t="s">
        <v>569</v>
      </c>
      <c r="B217" s="5">
        <v>45948</v>
      </c>
      <c r="C217" s="4" t="s">
        <v>570</v>
      </c>
      <c r="D217" s="4" t="s">
        <v>571</v>
      </c>
      <c r="E217" s="4" t="s">
        <v>29</v>
      </c>
      <c r="F217" s="4" t="s">
        <v>30</v>
      </c>
      <c r="G217" s="4" t="s">
        <v>40</v>
      </c>
      <c r="H217" s="4" t="s">
        <v>99</v>
      </c>
      <c r="I217" s="6">
        <v>10</v>
      </c>
      <c r="J217" s="6">
        <v>46700</v>
      </c>
      <c r="K217" s="6">
        <v>26993.93</v>
      </c>
      <c r="L217" s="6">
        <v>19706.07</v>
      </c>
    </row>
    <row r="218" spans="1:12" x14ac:dyDescent="0.3">
      <c r="A218" s="4" t="s">
        <v>572</v>
      </c>
      <c r="B218" s="5">
        <v>45869</v>
      </c>
      <c r="C218" s="4" t="s">
        <v>573</v>
      </c>
      <c r="D218" s="4" t="s">
        <v>174</v>
      </c>
      <c r="E218" s="4" t="s">
        <v>29</v>
      </c>
      <c r="F218" s="4" t="s">
        <v>102</v>
      </c>
      <c r="G218" s="4" t="s">
        <v>17</v>
      </c>
      <c r="H218" s="4" t="s">
        <v>31</v>
      </c>
      <c r="I218" s="6">
        <v>10</v>
      </c>
      <c r="J218" s="6">
        <v>30650</v>
      </c>
      <c r="K218" s="6">
        <v>24604.560000000001</v>
      </c>
      <c r="L218" s="6">
        <v>6045.44</v>
      </c>
    </row>
    <row r="219" spans="1:12" x14ac:dyDescent="0.3">
      <c r="A219" s="4" t="s">
        <v>574</v>
      </c>
      <c r="B219" s="5">
        <v>45877</v>
      </c>
      <c r="C219" s="4" t="s">
        <v>455</v>
      </c>
      <c r="D219" s="4" t="s">
        <v>575</v>
      </c>
      <c r="E219" s="4" t="s">
        <v>15</v>
      </c>
      <c r="F219" s="4" t="s">
        <v>16</v>
      </c>
      <c r="G219" s="4" t="s">
        <v>17</v>
      </c>
      <c r="H219" s="4" t="s">
        <v>31</v>
      </c>
      <c r="I219" s="6">
        <v>10</v>
      </c>
      <c r="J219" s="6">
        <v>24680</v>
      </c>
      <c r="K219" s="6">
        <v>18394.97</v>
      </c>
      <c r="L219" s="6">
        <v>6285.03</v>
      </c>
    </row>
    <row r="220" spans="1:12" x14ac:dyDescent="0.3">
      <c r="A220" s="4" t="s">
        <v>576</v>
      </c>
      <c r="B220" s="5">
        <v>45993</v>
      </c>
      <c r="C220" s="4" t="s">
        <v>544</v>
      </c>
      <c r="D220" s="4" t="s">
        <v>577</v>
      </c>
      <c r="E220" s="4" t="s">
        <v>22</v>
      </c>
      <c r="F220" s="4" t="s">
        <v>79</v>
      </c>
      <c r="G220" s="4" t="s">
        <v>35</v>
      </c>
      <c r="H220" s="4" t="s">
        <v>45</v>
      </c>
      <c r="I220" s="6">
        <v>5</v>
      </c>
      <c r="J220" s="6">
        <v>13870</v>
      </c>
      <c r="K220" s="6">
        <v>9638.0300000000007</v>
      </c>
      <c r="L220" s="6">
        <v>4231.97</v>
      </c>
    </row>
    <row r="221" spans="1:12" x14ac:dyDescent="0.3">
      <c r="A221" s="4" t="s">
        <v>578</v>
      </c>
      <c r="B221" s="5">
        <v>45787</v>
      </c>
      <c r="C221" s="4" t="s">
        <v>579</v>
      </c>
      <c r="D221" s="4" t="s">
        <v>580</v>
      </c>
      <c r="E221" s="4" t="s">
        <v>22</v>
      </c>
      <c r="F221" s="4" t="s">
        <v>23</v>
      </c>
      <c r="G221" s="4" t="s">
        <v>17</v>
      </c>
      <c r="H221" s="4" t="s">
        <v>18</v>
      </c>
      <c r="I221" s="6">
        <v>1</v>
      </c>
      <c r="J221" s="6">
        <v>1594</v>
      </c>
      <c r="K221" s="6">
        <v>1086.92</v>
      </c>
      <c r="L221" s="6">
        <v>507.08</v>
      </c>
    </row>
    <row r="222" spans="1:12" x14ac:dyDescent="0.3">
      <c r="A222" s="4" t="s">
        <v>581</v>
      </c>
      <c r="B222" s="5">
        <v>45645</v>
      </c>
      <c r="C222" s="4" t="s">
        <v>171</v>
      </c>
      <c r="D222" s="4" t="s">
        <v>566</v>
      </c>
      <c r="E222" s="4" t="s">
        <v>54</v>
      </c>
      <c r="F222" s="4" t="s">
        <v>71</v>
      </c>
      <c r="G222" s="4" t="s">
        <v>24</v>
      </c>
      <c r="H222" s="4" t="s">
        <v>166</v>
      </c>
      <c r="I222" s="6">
        <v>6</v>
      </c>
      <c r="J222" s="6">
        <v>17490</v>
      </c>
      <c r="K222" s="6">
        <v>13471.85</v>
      </c>
      <c r="L222" s="6">
        <v>4018.15</v>
      </c>
    </row>
    <row r="223" spans="1:12" x14ac:dyDescent="0.3">
      <c r="A223" s="4" t="s">
        <v>582</v>
      </c>
      <c r="B223" s="5">
        <v>45417</v>
      </c>
      <c r="C223" s="4" t="s">
        <v>337</v>
      </c>
      <c r="D223" s="4" t="s">
        <v>563</v>
      </c>
      <c r="E223" s="4" t="s">
        <v>54</v>
      </c>
      <c r="F223" s="4" t="s">
        <v>71</v>
      </c>
      <c r="G223" s="4" t="s">
        <v>35</v>
      </c>
      <c r="H223" s="4" t="s">
        <v>45</v>
      </c>
      <c r="I223" s="6">
        <v>2</v>
      </c>
      <c r="J223" s="6">
        <v>5828</v>
      </c>
      <c r="K223" s="6">
        <v>3628.05</v>
      </c>
      <c r="L223" s="6">
        <v>2199.9499999999998</v>
      </c>
    </row>
    <row r="224" spans="1:12" x14ac:dyDescent="0.3">
      <c r="A224" s="4" t="s">
        <v>583</v>
      </c>
      <c r="B224" s="5">
        <v>45922</v>
      </c>
      <c r="C224" s="4" t="s">
        <v>584</v>
      </c>
      <c r="D224" s="4" t="s">
        <v>114</v>
      </c>
      <c r="E224" s="4" t="s">
        <v>29</v>
      </c>
      <c r="F224" s="4" t="s">
        <v>102</v>
      </c>
      <c r="G224" s="4" t="s">
        <v>24</v>
      </c>
      <c r="H224" s="4" t="s">
        <v>50</v>
      </c>
      <c r="I224" s="6">
        <v>1</v>
      </c>
      <c r="J224" s="6">
        <v>2677</v>
      </c>
      <c r="K224" s="6">
        <v>2231.59</v>
      </c>
      <c r="L224" s="6">
        <v>445.41</v>
      </c>
    </row>
    <row r="225" spans="1:12" x14ac:dyDescent="0.3">
      <c r="A225" s="4" t="s">
        <v>585</v>
      </c>
      <c r="B225" s="5">
        <v>45802</v>
      </c>
      <c r="C225" s="4" t="s">
        <v>321</v>
      </c>
      <c r="D225" s="4" t="s">
        <v>383</v>
      </c>
      <c r="E225" s="4" t="s">
        <v>29</v>
      </c>
      <c r="F225" s="4" t="s">
        <v>49</v>
      </c>
      <c r="G225" s="4" t="s">
        <v>17</v>
      </c>
      <c r="H225" s="4" t="s">
        <v>72</v>
      </c>
      <c r="I225" s="6">
        <v>6</v>
      </c>
      <c r="J225" s="6">
        <v>11130</v>
      </c>
      <c r="K225" s="6">
        <v>8669.56</v>
      </c>
      <c r="L225" s="6">
        <v>2460.44</v>
      </c>
    </row>
    <row r="226" spans="1:12" x14ac:dyDescent="0.3">
      <c r="A226" s="4" t="s">
        <v>586</v>
      </c>
      <c r="B226" s="5">
        <v>45809</v>
      </c>
      <c r="C226" s="4" t="s">
        <v>516</v>
      </c>
      <c r="D226" s="4" t="s">
        <v>264</v>
      </c>
      <c r="E226" s="4" t="s">
        <v>22</v>
      </c>
      <c r="F226" s="4" t="s">
        <v>67</v>
      </c>
      <c r="G226" s="4" t="s">
        <v>35</v>
      </c>
      <c r="H226" s="4" t="s">
        <v>80</v>
      </c>
      <c r="I226" s="6">
        <v>1</v>
      </c>
      <c r="J226" s="6">
        <v>1037</v>
      </c>
      <c r="K226" s="6">
        <v>864.41</v>
      </c>
      <c r="L226" s="6">
        <v>172.59</v>
      </c>
    </row>
    <row r="227" spans="1:12" x14ac:dyDescent="0.3">
      <c r="A227" s="4" t="s">
        <v>587</v>
      </c>
      <c r="B227" s="5">
        <v>45903</v>
      </c>
      <c r="C227" s="4" t="s">
        <v>588</v>
      </c>
      <c r="D227" s="4" t="s">
        <v>589</v>
      </c>
      <c r="E227" s="4" t="s">
        <v>29</v>
      </c>
      <c r="F227" s="4" t="s">
        <v>30</v>
      </c>
      <c r="G227" s="4" t="s">
        <v>40</v>
      </c>
      <c r="H227" s="4" t="s">
        <v>41</v>
      </c>
      <c r="I227" s="6">
        <v>1</v>
      </c>
      <c r="J227" s="6">
        <v>714</v>
      </c>
      <c r="K227" s="6">
        <v>452.97</v>
      </c>
      <c r="L227" s="6">
        <v>261.02999999999997</v>
      </c>
    </row>
    <row r="228" spans="1:12" x14ac:dyDescent="0.3">
      <c r="A228" s="4" t="s">
        <v>590</v>
      </c>
      <c r="B228" s="5">
        <v>45704</v>
      </c>
      <c r="C228" s="4" t="s">
        <v>591</v>
      </c>
      <c r="D228" s="4" t="s">
        <v>44</v>
      </c>
      <c r="E228" s="4" t="s">
        <v>15</v>
      </c>
      <c r="F228" s="4" t="s">
        <v>16</v>
      </c>
      <c r="G228" s="4" t="s">
        <v>35</v>
      </c>
      <c r="H228" s="4" t="s">
        <v>36</v>
      </c>
      <c r="I228" s="6">
        <v>3</v>
      </c>
      <c r="J228" s="6">
        <v>7398</v>
      </c>
      <c r="K228" s="6">
        <v>5683.53</v>
      </c>
      <c r="L228" s="6">
        <v>1714.47</v>
      </c>
    </row>
    <row r="229" spans="1:12" x14ac:dyDescent="0.3">
      <c r="A229" s="4" t="s">
        <v>592</v>
      </c>
      <c r="B229" s="5">
        <v>45587</v>
      </c>
      <c r="C229" s="4" t="s">
        <v>412</v>
      </c>
      <c r="D229" s="4" t="s">
        <v>75</v>
      </c>
      <c r="E229" s="4" t="s">
        <v>22</v>
      </c>
      <c r="F229" s="4" t="s">
        <v>23</v>
      </c>
      <c r="G229" s="4" t="s">
        <v>17</v>
      </c>
      <c r="H229" s="4" t="s">
        <v>72</v>
      </c>
      <c r="I229" s="6">
        <v>9</v>
      </c>
      <c r="J229" s="6">
        <v>17046</v>
      </c>
      <c r="K229" s="6">
        <v>11229.17</v>
      </c>
      <c r="L229" s="6">
        <v>5816.83</v>
      </c>
    </row>
    <row r="230" spans="1:12" x14ac:dyDescent="0.3">
      <c r="A230" s="4" t="s">
        <v>593</v>
      </c>
      <c r="B230" s="5">
        <v>45391</v>
      </c>
      <c r="C230" s="4" t="s">
        <v>594</v>
      </c>
      <c r="D230" s="4" t="s">
        <v>423</v>
      </c>
      <c r="E230" s="4" t="s">
        <v>22</v>
      </c>
      <c r="F230" s="4" t="s">
        <v>79</v>
      </c>
      <c r="G230" s="4" t="s">
        <v>40</v>
      </c>
      <c r="H230" s="4" t="s">
        <v>99</v>
      </c>
      <c r="I230" s="6">
        <v>10</v>
      </c>
      <c r="J230" s="6">
        <v>12730</v>
      </c>
      <c r="K230" s="6">
        <v>7492.87</v>
      </c>
      <c r="L230" s="6">
        <v>5237.13</v>
      </c>
    </row>
    <row r="231" spans="1:12" x14ac:dyDescent="0.3">
      <c r="A231" s="4" t="s">
        <v>595</v>
      </c>
      <c r="B231" s="5">
        <v>45703</v>
      </c>
      <c r="C231" s="4" t="s">
        <v>596</v>
      </c>
      <c r="D231" s="4" t="s">
        <v>597</v>
      </c>
      <c r="E231" s="4" t="s">
        <v>54</v>
      </c>
      <c r="F231" s="4" t="s">
        <v>71</v>
      </c>
      <c r="G231" s="4" t="s">
        <v>40</v>
      </c>
      <c r="H231" s="4" t="s">
        <v>41</v>
      </c>
      <c r="I231" s="6">
        <v>3</v>
      </c>
      <c r="J231" s="6">
        <v>5790</v>
      </c>
      <c r="K231" s="6">
        <v>4230.9799999999996</v>
      </c>
      <c r="L231" s="6">
        <v>1559.02</v>
      </c>
    </row>
    <row r="232" spans="1:12" x14ac:dyDescent="0.3">
      <c r="A232" s="4" t="s">
        <v>598</v>
      </c>
      <c r="B232" s="5">
        <v>45444</v>
      </c>
      <c r="C232" s="4" t="s">
        <v>321</v>
      </c>
      <c r="D232" s="4" t="s">
        <v>599</v>
      </c>
      <c r="E232" s="4" t="s">
        <v>15</v>
      </c>
      <c r="F232" s="4" t="s">
        <v>16</v>
      </c>
      <c r="G232" s="4" t="s">
        <v>24</v>
      </c>
      <c r="H232" s="4" t="s">
        <v>166</v>
      </c>
      <c r="I232" s="6">
        <v>6</v>
      </c>
      <c r="J232" s="6">
        <v>25080</v>
      </c>
      <c r="K232" s="6">
        <v>17701.46</v>
      </c>
      <c r="L232" s="6">
        <v>7378.54</v>
      </c>
    </row>
    <row r="233" spans="1:12" x14ac:dyDescent="0.3">
      <c r="A233" s="4" t="s">
        <v>600</v>
      </c>
      <c r="B233" s="5">
        <v>45598</v>
      </c>
      <c r="C233" s="4" t="s">
        <v>225</v>
      </c>
      <c r="D233" s="4" t="s">
        <v>184</v>
      </c>
      <c r="E233" s="4" t="s">
        <v>54</v>
      </c>
      <c r="F233" s="4" t="s">
        <v>71</v>
      </c>
      <c r="G233" s="4" t="s">
        <v>40</v>
      </c>
      <c r="H233" s="4" t="s">
        <v>41</v>
      </c>
      <c r="I233" s="6">
        <v>3</v>
      </c>
      <c r="J233" s="6">
        <v>10557</v>
      </c>
      <c r="K233" s="6">
        <v>8943.73</v>
      </c>
      <c r="L233" s="6">
        <v>1613.27</v>
      </c>
    </row>
    <row r="234" spans="1:12" x14ac:dyDescent="0.3">
      <c r="A234" s="4" t="s">
        <v>601</v>
      </c>
      <c r="B234" s="5">
        <v>45669</v>
      </c>
      <c r="C234" s="4" t="s">
        <v>104</v>
      </c>
      <c r="D234" s="4" t="s">
        <v>602</v>
      </c>
      <c r="E234" s="4" t="s">
        <v>22</v>
      </c>
      <c r="F234" s="4" t="s">
        <v>79</v>
      </c>
      <c r="G234" s="4" t="s">
        <v>17</v>
      </c>
      <c r="H234" s="4" t="s">
        <v>72</v>
      </c>
      <c r="I234" s="6">
        <v>5</v>
      </c>
      <c r="J234" s="6">
        <v>20950</v>
      </c>
      <c r="K234" s="6">
        <v>16649.48</v>
      </c>
      <c r="L234" s="6">
        <v>4300.5200000000004</v>
      </c>
    </row>
    <row r="235" spans="1:12" x14ac:dyDescent="0.3">
      <c r="A235" s="4" t="s">
        <v>603</v>
      </c>
      <c r="B235" s="5">
        <v>45963</v>
      </c>
      <c r="C235" s="4" t="s">
        <v>379</v>
      </c>
      <c r="D235" s="4" t="s">
        <v>311</v>
      </c>
      <c r="E235" s="4" t="s">
        <v>22</v>
      </c>
      <c r="F235" s="4" t="s">
        <v>79</v>
      </c>
      <c r="G235" s="4" t="s">
        <v>40</v>
      </c>
      <c r="H235" s="4" t="s">
        <v>99</v>
      </c>
      <c r="I235" s="6">
        <v>1</v>
      </c>
      <c r="J235" s="6">
        <v>4187</v>
      </c>
      <c r="K235" s="6">
        <v>2636.38</v>
      </c>
      <c r="L235" s="6">
        <v>1550.62</v>
      </c>
    </row>
    <row r="236" spans="1:12" x14ac:dyDescent="0.3">
      <c r="A236" s="4" t="s">
        <v>604</v>
      </c>
      <c r="B236" s="5">
        <v>45936</v>
      </c>
      <c r="C236" s="4" t="s">
        <v>231</v>
      </c>
      <c r="D236" s="4" t="s">
        <v>605</v>
      </c>
      <c r="E236" s="4" t="s">
        <v>29</v>
      </c>
      <c r="F236" s="4" t="s">
        <v>30</v>
      </c>
      <c r="G236" s="4" t="s">
        <v>24</v>
      </c>
      <c r="H236" s="4" t="s">
        <v>25</v>
      </c>
      <c r="I236" s="6">
        <v>10</v>
      </c>
      <c r="J236" s="6">
        <v>42350</v>
      </c>
      <c r="K236" s="6">
        <v>25458.86</v>
      </c>
      <c r="L236" s="6">
        <v>16891.14</v>
      </c>
    </row>
    <row r="237" spans="1:12" x14ac:dyDescent="0.3">
      <c r="A237" s="4" t="s">
        <v>606</v>
      </c>
      <c r="B237" s="5">
        <v>45613</v>
      </c>
      <c r="C237" s="4" t="s">
        <v>584</v>
      </c>
      <c r="D237" s="4" t="s">
        <v>607</v>
      </c>
      <c r="E237" s="4" t="s">
        <v>29</v>
      </c>
      <c r="F237" s="4" t="s">
        <v>102</v>
      </c>
      <c r="G237" s="4" t="s">
        <v>17</v>
      </c>
      <c r="H237" s="4" t="s">
        <v>72</v>
      </c>
      <c r="I237" s="6">
        <v>2</v>
      </c>
      <c r="J237" s="6">
        <v>3724</v>
      </c>
      <c r="K237" s="6">
        <v>2069.36</v>
      </c>
      <c r="L237" s="6">
        <v>1654.64</v>
      </c>
    </row>
    <row r="238" spans="1:12" x14ac:dyDescent="0.3">
      <c r="A238" s="4" t="s">
        <v>608</v>
      </c>
      <c r="B238" s="5">
        <v>45774</v>
      </c>
      <c r="C238" s="4" t="s">
        <v>126</v>
      </c>
      <c r="D238" s="4" t="s">
        <v>377</v>
      </c>
      <c r="E238" s="4" t="s">
        <v>22</v>
      </c>
      <c r="F238" s="4" t="s">
        <v>79</v>
      </c>
      <c r="G238" s="4" t="s">
        <v>40</v>
      </c>
      <c r="H238" s="4" t="s">
        <v>56</v>
      </c>
      <c r="I238" s="6">
        <v>7</v>
      </c>
      <c r="J238" s="6">
        <v>30870</v>
      </c>
      <c r="K238" s="6">
        <v>24155.52</v>
      </c>
      <c r="L238" s="6">
        <v>6714.48</v>
      </c>
    </row>
    <row r="239" spans="1:12" x14ac:dyDescent="0.3">
      <c r="A239" s="4" t="s">
        <v>609</v>
      </c>
      <c r="B239" s="5">
        <v>45469</v>
      </c>
      <c r="C239" s="4" t="s">
        <v>458</v>
      </c>
      <c r="D239" s="4" t="s">
        <v>610</v>
      </c>
      <c r="E239" s="4" t="s">
        <v>29</v>
      </c>
      <c r="F239" s="4" t="s">
        <v>30</v>
      </c>
      <c r="G239" s="4" t="s">
        <v>40</v>
      </c>
      <c r="H239" s="4" t="s">
        <v>41</v>
      </c>
      <c r="I239" s="6">
        <v>8</v>
      </c>
      <c r="J239" s="6">
        <v>36832</v>
      </c>
      <c r="K239" s="6">
        <v>24421.360000000001</v>
      </c>
      <c r="L239" s="6">
        <v>12410.64</v>
      </c>
    </row>
    <row r="240" spans="1:12" x14ac:dyDescent="0.3">
      <c r="A240" s="4" t="s">
        <v>611</v>
      </c>
      <c r="B240" s="5">
        <v>45544</v>
      </c>
      <c r="C240" s="4" t="s">
        <v>27</v>
      </c>
      <c r="D240" s="4" t="s">
        <v>612</v>
      </c>
      <c r="E240" s="4" t="s">
        <v>54</v>
      </c>
      <c r="F240" s="4" t="s">
        <v>71</v>
      </c>
      <c r="G240" s="4" t="s">
        <v>40</v>
      </c>
      <c r="H240" s="4" t="s">
        <v>41</v>
      </c>
      <c r="I240" s="6">
        <v>5</v>
      </c>
      <c r="J240" s="6">
        <v>21330</v>
      </c>
      <c r="K240" s="6">
        <v>12961.8</v>
      </c>
      <c r="L240" s="6">
        <v>8368.2000000000007</v>
      </c>
    </row>
    <row r="241" spans="1:12" x14ac:dyDescent="0.3">
      <c r="A241" s="4" t="s">
        <v>613</v>
      </c>
      <c r="B241" s="5">
        <v>45792</v>
      </c>
      <c r="C241" s="4" t="s">
        <v>614</v>
      </c>
      <c r="D241" s="4" t="s">
        <v>410</v>
      </c>
      <c r="E241" s="4" t="s">
        <v>54</v>
      </c>
      <c r="F241" s="4" t="s">
        <v>142</v>
      </c>
      <c r="G241" s="4" t="s">
        <v>40</v>
      </c>
      <c r="H241" s="4" t="s">
        <v>99</v>
      </c>
      <c r="I241" s="6">
        <v>5</v>
      </c>
      <c r="J241" s="6">
        <v>9990</v>
      </c>
      <c r="K241" s="6">
        <v>7563.15</v>
      </c>
      <c r="L241" s="6">
        <v>2426.85</v>
      </c>
    </row>
    <row r="242" spans="1:12" x14ac:dyDescent="0.3">
      <c r="A242" s="4" t="s">
        <v>615</v>
      </c>
      <c r="B242" s="5">
        <v>45984</v>
      </c>
      <c r="C242" s="4" t="s">
        <v>616</v>
      </c>
      <c r="D242" s="4" t="s">
        <v>258</v>
      </c>
      <c r="E242" s="4" t="s">
        <v>54</v>
      </c>
      <c r="F242" s="4" t="s">
        <v>71</v>
      </c>
      <c r="G242" s="4" t="s">
        <v>17</v>
      </c>
      <c r="H242" s="4" t="s">
        <v>18</v>
      </c>
      <c r="I242" s="6">
        <v>5</v>
      </c>
      <c r="J242" s="6">
        <v>13285</v>
      </c>
      <c r="K242" s="6">
        <v>7792.48</v>
      </c>
      <c r="L242" s="6">
        <v>5492.52</v>
      </c>
    </row>
    <row r="243" spans="1:12" x14ac:dyDescent="0.3">
      <c r="A243" s="4" t="s">
        <v>617</v>
      </c>
      <c r="B243" s="5">
        <v>45372</v>
      </c>
      <c r="C243" s="4" t="s">
        <v>618</v>
      </c>
      <c r="D243" s="4" t="s">
        <v>155</v>
      </c>
      <c r="E243" s="4" t="s">
        <v>22</v>
      </c>
      <c r="F243" s="4" t="s">
        <v>67</v>
      </c>
      <c r="G243" s="4" t="s">
        <v>24</v>
      </c>
      <c r="H243" s="4" t="s">
        <v>166</v>
      </c>
      <c r="I243" s="6">
        <v>5</v>
      </c>
      <c r="J243" s="6">
        <v>3220</v>
      </c>
      <c r="K243" s="6">
        <v>2048.85</v>
      </c>
      <c r="L243" s="6">
        <v>1171.1500000000001</v>
      </c>
    </row>
    <row r="244" spans="1:12" x14ac:dyDescent="0.3">
      <c r="A244" s="4" t="s">
        <v>619</v>
      </c>
      <c r="B244" s="5">
        <v>45569</v>
      </c>
      <c r="C244" s="4" t="s">
        <v>65</v>
      </c>
      <c r="D244" s="4" t="s">
        <v>533</v>
      </c>
      <c r="E244" s="4" t="s">
        <v>54</v>
      </c>
      <c r="F244" s="4" t="s">
        <v>71</v>
      </c>
      <c r="G244" s="4" t="s">
        <v>35</v>
      </c>
      <c r="H244" s="4" t="s">
        <v>80</v>
      </c>
      <c r="I244" s="6">
        <v>4</v>
      </c>
      <c r="J244" s="6">
        <v>7820</v>
      </c>
      <c r="K244" s="6">
        <v>6243.37</v>
      </c>
      <c r="L244" s="6">
        <v>1576.63</v>
      </c>
    </row>
    <row r="245" spans="1:12" x14ac:dyDescent="0.3">
      <c r="A245" s="4" t="s">
        <v>620</v>
      </c>
      <c r="B245" s="5">
        <v>45977</v>
      </c>
      <c r="C245" s="4" t="s">
        <v>206</v>
      </c>
      <c r="D245" s="4" t="s">
        <v>621</v>
      </c>
      <c r="E245" s="4" t="s">
        <v>29</v>
      </c>
      <c r="F245" s="4" t="s">
        <v>102</v>
      </c>
      <c r="G245" s="4" t="s">
        <v>17</v>
      </c>
      <c r="H245" s="4" t="s">
        <v>72</v>
      </c>
      <c r="I245" s="6">
        <v>10</v>
      </c>
      <c r="J245" s="6">
        <v>22600</v>
      </c>
      <c r="K245" s="6">
        <v>14073.87</v>
      </c>
      <c r="L245" s="6">
        <v>8526.1299999999992</v>
      </c>
    </row>
    <row r="246" spans="1:12" x14ac:dyDescent="0.3">
      <c r="A246" s="4" t="s">
        <v>622</v>
      </c>
      <c r="B246" s="5">
        <v>45394</v>
      </c>
      <c r="C246" s="4" t="s">
        <v>449</v>
      </c>
      <c r="D246" s="4" t="s">
        <v>512</v>
      </c>
      <c r="E246" s="4" t="s">
        <v>29</v>
      </c>
      <c r="F246" s="4" t="s">
        <v>102</v>
      </c>
      <c r="G246" s="4" t="s">
        <v>24</v>
      </c>
      <c r="H246" s="4" t="s">
        <v>50</v>
      </c>
      <c r="I246" s="6">
        <v>7</v>
      </c>
      <c r="J246" s="6">
        <v>21035</v>
      </c>
      <c r="K246" s="6">
        <v>16096.14</v>
      </c>
      <c r="L246" s="6">
        <v>4938.8599999999997</v>
      </c>
    </row>
    <row r="247" spans="1:12" x14ac:dyDescent="0.3">
      <c r="A247" s="4" t="s">
        <v>623</v>
      </c>
      <c r="B247" s="5">
        <v>45586</v>
      </c>
      <c r="C247" s="4" t="s">
        <v>624</v>
      </c>
      <c r="D247" s="4" t="s">
        <v>589</v>
      </c>
      <c r="E247" s="4" t="s">
        <v>29</v>
      </c>
      <c r="F247" s="4" t="s">
        <v>49</v>
      </c>
      <c r="G247" s="4" t="s">
        <v>17</v>
      </c>
      <c r="H247" s="4" t="s">
        <v>31</v>
      </c>
      <c r="I247" s="6">
        <v>8</v>
      </c>
      <c r="J247" s="6">
        <v>33688</v>
      </c>
      <c r="K247" s="6">
        <v>25103</v>
      </c>
      <c r="L247" s="6">
        <v>8585</v>
      </c>
    </row>
    <row r="248" spans="1:12" x14ac:dyDescent="0.3">
      <c r="A248" s="4" t="s">
        <v>625</v>
      </c>
      <c r="B248" s="5">
        <v>45330</v>
      </c>
      <c r="C248" s="4" t="s">
        <v>556</v>
      </c>
      <c r="D248" s="4" t="s">
        <v>626</v>
      </c>
      <c r="E248" s="4" t="s">
        <v>15</v>
      </c>
      <c r="F248" s="4" t="s">
        <v>16</v>
      </c>
      <c r="G248" s="4" t="s">
        <v>17</v>
      </c>
      <c r="H248" s="4" t="s">
        <v>31</v>
      </c>
      <c r="I248" s="6">
        <v>10</v>
      </c>
      <c r="J248" s="6">
        <v>22020</v>
      </c>
      <c r="K248" s="6">
        <v>15646.22</v>
      </c>
      <c r="L248" s="6">
        <v>6373.78</v>
      </c>
    </row>
    <row r="249" spans="1:12" x14ac:dyDescent="0.3">
      <c r="A249" s="4" t="s">
        <v>627</v>
      </c>
      <c r="B249" s="5">
        <v>45588</v>
      </c>
      <c r="C249" s="4" t="s">
        <v>628</v>
      </c>
      <c r="D249" s="4" t="s">
        <v>629</v>
      </c>
      <c r="E249" s="4" t="s">
        <v>29</v>
      </c>
      <c r="F249" s="4" t="s">
        <v>102</v>
      </c>
      <c r="G249" s="4" t="s">
        <v>35</v>
      </c>
      <c r="H249" s="4" t="s">
        <v>36</v>
      </c>
      <c r="I249" s="6">
        <v>8</v>
      </c>
      <c r="J249" s="6">
        <v>14608</v>
      </c>
      <c r="K249" s="6">
        <v>12138.99</v>
      </c>
      <c r="L249" s="6">
        <v>2469.0100000000002</v>
      </c>
    </row>
    <row r="250" spans="1:12" x14ac:dyDescent="0.3">
      <c r="A250" s="4" t="s">
        <v>630</v>
      </c>
      <c r="B250" s="5">
        <v>45948</v>
      </c>
      <c r="C250" s="4" t="s">
        <v>616</v>
      </c>
      <c r="D250" s="4" t="s">
        <v>631</v>
      </c>
      <c r="E250" s="4" t="s">
        <v>54</v>
      </c>
      <c r="F250" s="4" t="s">
        <v>71</v>
      </c>
      <c r="G250" s="4" t="s">
        <v>17</v>
      </c>
      <c r="H250" s="4" t="s">
        <v>72</v>
      </c>
      <c r="I250" s="6">
        <v>2</v>
      </c>
      <c r="J250" s="6">
        <v>6088</v>
      </c>
      <c r="K250" s="6">
        <v>3868.12</v>
      </c>
      <c r="L250" s="6">
        <v>2219.88</v>
      </c>
    </row>
    <row r="251" spans="1:12" x14ac:dyDescent="0.3">
      <c r="A251" s="4" t="s">
        <v>632</v>
      </c>
      <c r="B251" s="5">
        <v>45407</v>
      </c>
      <c r="C251" s="4" t="s">
        <v>104</v>
      </c>
      <c r="D251" s="4" t="s">
        <v>48</v>
      </c>
      <c r="E251" s="4" t="s">
        <v>22</v>
      </c>
      <c r="F251" s="4" t="s">
        <v>23</v>
      </c>
      <c r="G251" s="4" t="s">
        <v>35</v>
      </c>
      <c r="H251" s="4" t="s">
        <v>45</v>
      </c>
      <c r="I251" s="6">
        <v>8</v>
      </c>
      <c r="J251" s="6">
        <v>20280</v>
      </c>
      <c r="K251" s="6">
        <v>12327.06</v>
      </c>
      <c r="L251" s="6">
        <v>7952.94</v>
      </c>
    </row>
    <row r="252" spans="1:12" x14ac:dyDescent="0.3">
      <c r="A252" s="4" t="s">
        <v>633</v>
      </c>
      <c r="B252" s="5">
        <v>45594</v>
      </c>
      <c r="C252" s="4" t="s">
        <v>634</v>
      </c>
      <c r="D252" s="4" t="s">
        <v>187</v>
      </c>
      <c r="E252" s="4" t="s">
        <v>22</v>
      </c>
      <c r="F252" s="4" t="s">
        <v>79</v>
      </c>
      <c r="G252" s="4" t="s">
        <v>40</v>
      </c>
      <c r="H252" s="4" t="s">
        <v>99</v>
      </c>
      <c r="I252" s="6">
        <v>3</v>
      </c>
      <c r="J252" s="6">
        <v>1245</v>
      </c>
      <c r="K252" s="6">
        <v>959.88</v>
      </c>
      <c r="L252" s="6">
        <v>285.12</v>
      </c>
    </row>
    <row r="253" spans="1:12" x14ac:dyDescent="0.3">
      <c r="A253" s="4" t="s">
        <v>635</v>
      </c>
      <c r="B253" s="5">
        <v>45380</v>
      </c>
      <c r="C253" s="4" t="s">
        <v>636</v>
      </c>
      <c r="D253" s="4" t="s">
        <v>637</v>
      </c>
      <c r="E253" s="4" t="s">
        <v>29</v>
      </c>
      <c r="F253" s="4" t="s">
        <v>30</v>
      </c>
      <c r="G253" s="4" t="s">
        <v>17</v>
      </c>
      <c r="H253" s="4" t="s">
        <v>31</v>
      </c>
      <c r="I253" s="6">
        <v>7</v>
      </c>
      <c r="J253" s="6">
        <v>26621</v>
      </c>
      <c r="K253" s="6">
        <v>18756.740000000002</v>
      </c>
      <c r="L253" s="6">
        <v>7864.26</v>
      </c>
    </row>
    <row r="254" spans="1:12" x14ac:dyDescent="0.3">
      <c r="A254" s="4" t="s">
        <v>638</v>
      </c>
      <c r="B254" s="5">
        <v>45684</v>
      </c>
      <c r="C254" s="4" t="s">
        <v>353</v>
      </c>
      <c r="D254" s="4" t="s">
        <v>639</v>
      </c>
      <c r="E254" s="4" t="s">
        <v>29</v>
      </c>
      <c r="F254" s="4" t="s">
        <v>102</v>
      </c>
      <c r="G254" s="4" t="s">
        <v>35</v>
      </c>
      <c r="H254" s="4" t="s">
        <v>80</v>
      </c>
      <c r="I254" s="6">
        <v>6</v>
      </c>
      <c r="J254" s="6">
        <v>13992</v>
      </c>
      <c r="K254" s="6">
        <v>7724.27</v>
      </c>
      <c r="L254" s="6">
        <v>6267.73</v>
      </c>
    </row>
    <row r="255" spans="1:12" x14ac:dyDescent="0.3">
      <c r="A255" s="4" t="s">
        <v>640</v>
      </c>
      <c r="B255" s="5">
        <v>45961</v>
      </c>
      <c r="C255" s="4" t="s">
        <v>558</v>
      </c>
      <c r="D255" s="4" t="s">
        <v>508</v>
      </c>
      <c r="E255" s="4" t="s">
        <v>54</v>
      </c>
      <c r="F255" s="4" t="s">
        <v>55</v>
      </c>
      <c r="G255" s="4" t="s">
        <v>40</v>
      </c>
      <c r="H255" s="4" t="s">
        <v>99</v>
      </c>
      <c r="I255" s="6">
        <v>10</v>
      </c>
      <c r="J255" s="6">
        <v>49930</v>
      </c>
      <c r="K255" s="6">
        <v>27632.799999999999</v>
      </c>
      <c r="L255" s="6">
        <v>22297.200000000001</v>
      </c>
    </row>
    <row r="256" spans="1:12" x14ac:dyDescent="0.3">
      <c r="A256" s="4" t="s">
        <v>641</v>
      </c>
      <c r="B256" s="5">
        <v>45994</v>
      </c>
      <c r="C256" s="4" t="s">
        <v>642</v>
      </c>
      <c r="D256" s="4" t="s">
        <v>643</v>
      </c>
      <c r="E256" s="4" t="s">
        <v>15</v>
      </c>
      <c r="F256" s="4" t="s">
        <v>90</v>
      </c>
      <c r="G256" s="4" t="s">
        <v>24</v>
      </c>
      <c r="H256" s="4" t="s">
        <v>50</v>
      </c>
      <c r="I256" s="6">
        <v>8</v>
      </c>
      <c r="J256" s="6">
        <v>22504</v>
      </c>
      <c r="K256" s="6">
        <v>13455.48</v>
      </c>
      <c r="L256" s="6">
        <v>9048.52</v>
      </c>
    </row>
    <row r="257" spans="1:12" x14ac:dyDescent="0.3">
      <c r="A257" s="4" t="s">
        <v>644</v>
      </c>
      <c r="B257" s="5">
        <v>45428</v>
      </c>
      <c r="C257" s="4" t="s">
        <v>284</v>
      </c>
      <c r="D257" s="4" t="s">
        <v>645</v>
      </c>
      <c r="E257" s="4" t="s">
        <v>15</v>
      </c>
      <c r="F257" s="4" t="s">
        <v>90</v>
      </c>
      <c r="G257" s="4" t="s">
        <v>40</v>
      </c>
      <c r="H257" s="4" t="s">
        <v>99</v>
      </c>
      <c r="I257" s="6">
        <v>6</v>
      </c>
      <c r="J257" s="6">
        <v>12654</v>
      </c>
      <c r="K257" s="6">
        <v>7791.56</v>
      </c>
      <c r="L257" s="6">
        <v>4862.4399999999996</v>
      </c>
    </row>
    <row r="258" spans="1:12" x14ac:dyDescent="0.3">
      <c r="A258" s="4" t="s">
        <v>646</v>
      </c>
      <c r="B258" s="5">
        <v>45774</v>
      </c>
      <c r="C258" s="4" t="s">
        <v>140</v>
      </c>
      <c r="D258" s="4" t="s">
        <v>647</v>
      </c>
      <c r="E258" s="4" t="s">
        <v>22</v>
      </c>
      <c r="F258" s="4" t="s">
        <v>79</v>
      </c>
      <c r="G258" s="4" t="s">
        <v>17</v>
      </c>
      <c r="H258" s="4" t="s">
        <v>72</v>
      </c>
      <c r="I258" s="6">
        <v>6</v>
      </c>
      <c r="J258" s="6">
        <v>22236</v>
      </c>
      <c r="K258" s="6">
        <v>16912.310000000001</v>
      </c>
      <c r="L258" s="6">
        <v>5323.69</v>
      </c>
    </row>
    <row r="259" spans="1:12" x14ac:dyDescent="0.3">
      <c r="A259" s="4" t="s">
        <v>648</v>
      </c>
      <c r="B259" s="5">
        <v>46012</v>
      </c>
      <c r="C259" s="4" t="s">
        <v>649</v>
      </c>
      <c r="D259" s="4" t="s">
        <v>650</v>
      </c>
      <c r="E259" s="4" t="s">
        <v>29</v>
      </c>
      <c r="F259" s="4" t="s">
        <v>30</v>
      </c>
      <c r="G259" s="4" t="s">
        <v>17</v>
      </c>
      <c r="H259" s="4" t="s">
        <v>72</v>
      </c>
      <c r="I259" s="6">
        <v>2</v>
      </c>
      <c r="J259" s="6">
        <v>9208</v>
      </c>
      <c r="K259" s="6">
        <v>6298.5</v>
      </c>
      <c r="L259" s="6">
        <v>2909.5</v>
      </c>
    </row>
    <row r="260" spans="1:12" x14ac:dyDescent="0.3">
      <c r="A260" s="4" t="s">
        <v>651</v>
      </c>
      <c r="B260" s="5">
        <v>45445</v>
      </c>
      <c r="C260" s="4" t="s">
        <v>652</v>
      </c>
      <c r="D260" s="4" t="s">
        <v>232</v>
      </c>
      <c r="E260" s="4" t="s">
        <v>15</v>
      </c>
      <c r="F260" s="4" t="s">
        <v>16</v>
      </c>
      <c r="G260" s="4" t="s">
        <v>35</v>
      </c>
      <c r="H260" s="4" t="s">
        <v>45</v>
      </c>
      <c r="I260" s="6">
        <v>9</v>
      </c>
      <c r="J260" s="6">
        <v>17604</v>
      </c>
      <c r="K260" s="6">
        <v>12706.75</v>
      </c>
      <c r="L260" s="6">
        <v>4897.25</v>
      </c>
    </row>
    <row r="261" spans="1:12" x14ac:dyDescent="0.3">
      <c r="A261" s="4" t="s">
        <v>653</v>
      </c>
      <c r="B261" s="5">
        <v>45814</v>
      </c>
      <c r="C261" s="4" t="s">
        <v>209</v>
      </c>
      <c r="D261" s="4" t="s">
        <v>654</v>
      </c>
      <c r="E261" s="4" t="s">
        <v>22</v>
      </c>
      <c r="F261" s="4" t="s">
        <v>23</v>
      </c>
      <c r="G261" s="4" t="s">
        <v>17</v>
      </c>
      <c r="H261" s="4" t="s">
        <v>31</v>
      </c>
      <c r="I261" s="6">
        <v>4</v>
      </c>
      <c r="J261" s="6">
        <v>17216</v>
      </c>
      <c r="K261" s="6">
        <v>9938.5</v>
      </c>
      <c r="L261" s="6">
        <v>7277.5</v>
      </c>
    </row>
    <row r="262" spans="1:12" x14ac:dyDescent="0.3">
      <c r="A262" s="4" t="s">
        <v>655</v>
      </c>
      <c r="B262" s="5">
        <v>45864</v>
      </c>
      <c r="C262" s="4" t="s">
        <v>116</v>
      </c>
      <c r="D262" s="4" t="s">
        <v>656</v>
      </c>
      <c r="E262" s="4" t="s">
        <v>22</v>
      </c>
      <c r="F262" s="4" t="s">
        <v>23</v>
      </c>
      <c r="G262" s="4" t="s">
        <v>35</v>
      </c>
      <c r="H262" s="4" t="s">
        <v>45</v>
      </c>
      <c r="I262" s="6">
        <v>7</v>
      </c>
      <c r="J262" s="6">
        <v>28294</v>
      </c>
      <c r="K262" s="6">
        <v>20348.29</v>
      </c>
      <c r="L262" s="6">
        <v>7945.71</v>
      </c>
    </row>
    <row r="263" spans="1:12" x14ac:dyDescent="0.3">
      <c r="A263" s="4" t="s">
        <v>657</v>
      </c>
      <c r="B263" s="5">
        <v>45338</v>
      </c>
      <c r="C263" s="4" t="s">
        <v>95</v>
      </c>
      <c r="D263" s="4" t="s">
        <v>177</v>
      </c>
      <c r="E263" s="4" t="s">
        <v>15</v>
      </c>
      <c r="F263" s="4" t="s">
        <v>63</v>
      </c>
      <c r="G263" s="4" t="s">
        <v>40</v>
      </c>
      <c r="H263" s="4" t="s">
        <v>99</v>
      </c>
      <c r="I263" s="6">
        <v>1</v>
      </c>
      <c r="J263" s="6">
        <v>2085</v>
      </c>
      <c r="K263" s="6">
        <v>1508.48</v>
      </c>
      <c r="L263" s="6">
        <v>576.52</v>
      </c>
    </row>
    <row r="264" spans="1:12" x14ac:dyDescent="0.3">
      <c r="A264" s="4" t="s">
        <v>658</v>
      </c>
      <c r="B264" s="5">
        <v>45710</v>
      </c>
      <c r="C264" s="4" t="s">
        <v>361</v>
      </c>
      <c r="D264" s="4" t="s">
        <v>659</v>
      </c>
      <c r="E264" s="4" t="s">
        <v>15</v>
      </c>
      <c r="F264" s="4" t="s">
        <v>90</v>
      </c>
      <c r="G264" s="4" t="s">
        <v>24</v>
      </c>
      <c r="H264" s="4" t="s">
        <v>25</v>
      </c>
      <c r="I264" s="6">
        <v>2</v>
      </c>
      <c r="J264" s="6">
        <v>8334</v>
      </c>
      <c r="K264" s="6">
        <v>4663.04</v>
      </c>
      <c r="L264" s="6">
        <v>3670.96</v>
      </c>
    </row>
    <row r="265" spans="1:12" x14ac:dyDescent="0.3">
      <c r="A265" s="4" t="s">
        <v>660</v>
      </c>
      <c r="B265" s="5">
        <v>45991</v>
      </c>
      <c r="C265" s="4" t="s">
        <v>214</v>
      </c>
      <c r="D265" s="4" t="s">
        <v>661</v>
      </c>
      <c r="E265" s="4" t="s">
        <v>22</v>
      </c>
      <c r="F265" s="4" t="s">
        <v>67</v>
      </c>
      <c r="G265" s="4" t="s">
        <v>35</v>
      </c>
      <c r="H265" s="4" t="s">
        <v>36</v>
      </c>
      <c r="I265" s="6">
        <v>8</v>
      </c>
      <c r="J265" s="6">
        <v>27136</v>
      </c>
      <c r="K265" s="6">
        <v>17982.86</v>
      </c>
      <c r="L265" s="6">
        <v>9153.14</v>
      </c>
    </row>
    <row r="266" spans="1:12" x14ac:dyDescent="0.3">
      <c r="A266" s="4" t="s">
        <v>662</v>
      </c>
      <c r="B266" s="5">
        <v>45520</v>
      </c>
      <c r="C266" s="4" t="s">
        <v>82</v>
      </c>
      <c r="D266" s="4" t="s">
        <v>663</v>
      </c>
      <c r="E266" s="4" t="s">
        <v>54</v>
      </c>
      <c r="F266" s="4" t="s">
        <v>142</v>
      </c>
      <c r="G266" s="4" t="s">
        <v>24</v>
      </c>
      <c r="H266" s="4" t="s">
        <v>166</v>
      </c>
      <c r="I266" s="6">
        <v>9</v>
      </c>
      <c r="J266" s="6">
        <v>31671</v>
      </c>
      <c r="K266" s="6">
        <v>22443.74</v>
      </c>
      <c r="L266" s="6">
        <v>9227.26</v>
      </c>
    </row>
    <row r="267" spans="1:12" x14ac:dyDescent="0.3">
      <c r="A267" s="4" t="s">
        <v>664</v>
      </c>
      <c r="B267" s="5">
        <v>45527</v>
      </c>
      <c r="C267" s="4" t="s">
        <v>480</v>
      </c>
      <c r="D267" s="4" t="s">
        <v>665</v>
      </c>
      <c r="E267" s="4" t="s">
        <v>54</v>
      </c>
      <c r="F267" s="4" t="s">
        <v>55</v>
      </c>
      <c r="G267" s="4" t="s">
        <v>17</v>
      </c>
      <c r="H267" s="4" t="s">
        <v>31</v>
      </c>
      <c r="I267" s="6">
        <v>9</v>
      </c>
      <c r="J267" s="6">
        <v>33966</v>
      </c>
      <c r="K267" s="6">
        <v>24101.599999999999</v>
      </c>
      <c r="L267" s="6">
        <v>9864.4</v>
      </c>
    </row>
    <row r="268" spans="1:12" x14ac:dyDescent="0.3">
      <c r="A268" s="4" t="s">
        <v>666</v>
      </c>
      <c r="B268" s="5">
        <v>45968</v>
      </c>
      <c r="C268" s="4" t="s">
        <v>584</v>
      </c>
      <c r="D268" s="4" t="s">
        <v>267</v>
      </c>
      <c r="E268" s="4" t="s">
        <v>54</v>
      </c>
      <c r="F268" s="4" t="s">
        <v>142</v>
      </c>
      <c r="G268" s="4" t="s">
        <v>40</v>
      </c>
      <c r="H268" s="4" t="s">
        <v>99</v>
      </c>
      <c r="I268" s="6">
        <v>4</v>
      </c>
      <c r="J268" s="6">
        <v>4896</v>
      </c>
      <c r="K268" s="6">
        <v>2740.12</v>
      </c>
      <c r="L268" s="6">
        <v>2155.88</v>
      </c>
    </row>
    <row r="269" spans="1:12" x14ac:dyDescent="0.3">
      <c r="A269" s="4" t="s">
        <v>667</v>
      </c>
      <c r="B269" s="5">
        <v>45980</v>
      </c>
      <c r="C269" s="4" t="s">
        <v>668</v>
      </c>
      <c r="D269" s="4" t="s">
        <v>53</v>
      </c>
      <c r="E269" s="4" t="s">
        <v>29</v>
      </c>
      <c r="F269" s="4" t="s">
        <v>102</v>
      </c>
      <c r="G269" s="4" t="s">
        <v>24</v>
      </c>
      <c r="H269" s="4" t="s">
        <v>50</v>
      </c>
      <c r="I269" s="6">
        <v>2</v>
      </c>
      <c r="J269" s="6">
        <v>1150</v>
      </c>
      <c r="K269" s="6">
        <v>786.52</v>
      </c>
      <c r="L269" s="6">
        <v>363.48</v>
      </c>
    </row>
    <row r="270" spans="1:12" x14ac:dyDescent="0.3">
      <c r="A270" s="4" t="s">
        <v>669</v>
      </c>
      <c r="B270" s="5">
        <v>45349</v>
      </c>
      <c r="C270" s="4" t="s">
        <v>670</v>
      </c>
      <c r="D270" s="4" t="s">
        <v>671</v>
      </c>
      <c r="E270" s="4" t="s">
        <v>15</v>
      </c>
      <c r="F270" s="4" t="s">
        <v>63</v>
      </c>
      <c r="G270" s="4" t="s">
        <v>35</v>
      </c>
      <c r="H270" s="4" t="s">
        <v>80</v>
      </c>
      <c r="I270" s="6">
        <v>4</v>
      </c>
      <c r="J270" s="6">
        <v>18884</v>
      </c>
      <c r="K270" s="6">
        <v>11617.07</v>
      </c>
      <c r="L270" s="6">
        <v>7266.93</v>
      </c>
    </row>
    <row r="271" spans="1:12" x14ac:dyDescent="0.3">
      <c r="A271" s="4" t="s">
        <v>672</v>
      </c>
      <c r="B271" s="5">
        <v>45980</v>
      </c>
      <c r="C271" s="4" t="s">
        <v>624</v>
      </c>
      <c r="D271" s="4" t="s">
        <v>673</v>
      </c>
      <c r="E271" s="4" t="s">
        <v>54</v>
      </c>
      <c r="F271" s="4" t="s">
        <v>142</v>
      </c>
      <c r="G271" s="4" t="s">
        <v>17</v>
      </c>
      <c r="H271" s="4" t="s">
        <v>18</v>
      </c>
      <c r="I271" s="6">
        <v>10</v>
      </c>
      <c r="J271" s="6">
        <v>29120</v>
      </c>
      <c r="K271" s="6">
        <v>21060.82</v>
      </c>
      <c r="L271" s="6">
        <v>8059.18</v>
      </c>
    </row>
    <row r="272" spans="1:12" x14ac:dyDescent="0.3">
      <c r="A272" s="4" t="s">
        <v>674</v>
      </c>
      <c r="B272" s="5">
        <v>45573</v>
      </c>
      <c r="C272" s="4" t="s">
        <v>126</v>
      </c>
      <c r="D272" s="4" t="s">
        <v>612</v>
      </c>
      <c r="E272" s="4" t="s">
        <v>54</v>
      </c>
      <c r="F272" s="4" t="s">
        <v>142</v>
      </c>
      <c r="G272" s="4" t="s">
        <v>17</v>
      </c>
      <c r="H272" s="4" t="s">
        <v>31</v>
      </c>
      <c r="I272" s="6">
        <v>9</v>
      </c>
      <c r="J272" s="6">
        <v>18990</v>
      </c>
      <c r="K272" s="6">
        <v>12800.55</v>
      </c>
      <c r="L272" s="6">
        <v>6189.45</v>
      </c>
    </row>
    <row r="273" spans="1:12" x14ac:dyDescent="0.3">
      <c r="A273" s="4" t="s">
        <v>675</v>
      </c>
      <c r="B273" s="5">
        <v>45644</v>
      </c>
      <c r="C273" s="4" t="s">
        <v>344</v>
      </c>
      <c r="D273" s="4" t="s">
        <v>631</v>
      </c>
      <c r="E273" s="4" t="s">
        <v>29</v>
      </c>
      <c r="F273" s="4" t="s">
        <v>30</v>
      </c>
      <c r="G273" s="4" t="s">
        <v>17</v>
      </c>
      <c r="H273" s="4" t="s">
        <v>31</v>
      </c>
      <c r="I273" s="6">
        <v>7</v>
      </c>
      <c r="J273" s="6">
        <v>33971</v>
      </c>
      <c r="K273" s="6">
        <v>23735.07</v>
      </c>
      <c r="L273" s="6">
        <v>10235.93</v>
      </c>
    </row>
    <row r="274" spans="1:12" x14ac:dyDescent="0.3">
      <c r="A274" s="4" t="s">
        <v>676</v>
      </c>
      <c r="B274" s="5">
        <v>45480</v>
      </c>
      <c r="C274" s="4" t="s">
        <v>140</v>
      </c>
      <c r="D274" s="4" t="s">
        <v>108</v>
      </c>
      <c r="E274" s="4" t="s">
        <v>54</v>
      </c>
      <c r="F274" s="4" t="s">
        <v>71</v>
      </c>
      <c r="G274" s="4" t="s">
        <v>35</v>
      </c>
      <c r="H274" s="4" t="s">
        <v>36</v>
      </c>
      <c r="I274" s="6">
        <v>7</v>
      </c>
      <c r="J274" s="6">
        <v>10654</v>
      </c>
      <c r="K274" s="6">
        <v>6818.2</v>
      </c>
      <c r="L274" s="6">
        <v>3835.8</v>
      </c>
    </row>
    <row r="275" spans="1:12" x14ac:dyDescent="0.3">
      <c r="A275" s="4" t="s">
        <v>677</v>
      </c>
      <c r="B275" s="5">
        <v>45867</v>
      </c>
      <c r="C275" s="4" t="s">
        <v>419</v>
      </c>
      <c r="D275" s="4" t="s">
        <v>626</v>
      </c>
      <c r="E275" s="4" t="s">
        <v>29</v>
      </c>
      <c r="F275" s="4" t="s">
        <v>102</v>
      </c>
      <c r="G275" s="4" t="s">
        <v>40</v>
      </c>
      <c r="H275" s="4" t="s">
        <v>99</v>
      </c>
      <c r="I275" s="6">
        <v>3</v>
      </c>
      <c r="J275" s="6">
        <v>12279</v>
      </c>
      <c r="K275" s="6">
        <v>10123.08</v>
      </c>
      <c r="L275" s="6">
        <v>2155.92</v>
      </c>
    </row>
    <row r="276" spans="1:12" x14ac:dyDescent="0.3">
      <c r="A276" s="4" t="s">
        <v>678</v>
      </c>
      <c r="B276" s="5">
        <v>45372</v>
      </c>
      <c r="C276" s="4" t="s">
        <v>290</v>
      </c>
      <c r="D276" s="4" t="s">
        <v>394</v>
      </c>
      <c r="E276" s="4" t="s">
        <v>29</v>
      </c>
      <c r="F276" s="4" t="s">
        <v>49</v>
      </c>
      <c r="G276" s="4" t="s">
        <v>40</v>
      </c>
      <c r="H276" s="4" t="s">
        <v>56</v>
      </c>
      <c r="I276" s="6">
        <v>5</v>
      </c>
      <c r="J276" s="6">
        <v>9825</v>
      </c>
      <c r="K276" s="6">
        <v>6377.2</v>
      </c>
      <c r="L276" s="6">
        <v>3447.8</v>
      </c>
    </row>
    <row r="277" spans="1:12" x14ac:dyDescent="0.3">
      <c r="A277" s="4" t="s">
        <v>679</v>
      </c>
      <c r="B277" s="5">
        <v>45981</v>
      </c>
      <c r="C277" s="4" t="s">
        <v>680</v>
      </c>
      <c r="D277" s="4" t="s">
        <v>681</v>
      </c>
      <c r="E277" s="4" t="s">
        <v>15</v>
      </c>
      <c r="F277" s="4" t="s">
        <v>90</v>
      </c>
      <c r="G277" s="4" t="s">
        <v>17</v>
      </c>
      <c r="H277" s="4" t="s">
        <v>18</v>
      </c>
      <c r="I277" s="6">
        <v>4</v>
      </c>
      <c r="J277" s="6">
        <v>2888</v>
      </c>
      <c r="K277" s="6">
        <v>1821</v>
      </c>
      <c r="L277" s="6">
        <v>1067</v>
      </c>
    </row>
    <row r="278" spans="1:12" x14ac:dyDescent="0.3">
      <c r="A278" s="4" t="s">
        <v>682</v>
      </c>
      <c r="B278" s="5">
        <v>45632</v>
      </c>
      <c r="C278" s="4" t="s">
        <v>287</v>
      </c>
      <c r="D278" s="4" t="s">
        <v>404</v>
      </c>
      <c r="E278" s="4" t="s">
        <v>29</v>
      </c>
      <c r="F278" s="4" t="s">
        <v>30</v>
      </c>
      <c r="G278" s="4" t="s">
        <v>17</v>
      </c>
      <c r="H278" s="4" t="s">
        <v>18</v>
      </c>
      <c r="I278" s="6">
        <v>9</v>
      </c>
      <c r="J278" s="6">
        <v>18693</v>
      </c>
      <c r="K278" s="6">
        <v>12969.54</v>
      </c>
      <c r="L278" s="6">
        <v>5723.46</v>
      </c>
    </row>
    <row r="279" spans="1:12" x14ac:dyDescent="0.3">
      <c r="A279" s="4" t="s">
        <v>683</v>
      </c>
      <c r="B279" s="5">
        <v>46004</v>
      </c>
      <c r="C279" s="4" t="s">
        <v>684</v>
      </c>
      <c r="D279" s="4" t="s">
        <v>531</v>
      </c>
      <c r="E279" s="4" t="s">
        <v>29</v>
      </c>
      <c r="F279" s="4" t="s">
        <v>102</v>
      </c>
      <c r="G279" s="4" t="s">
        <v>17</v>
      </c>
      <c r="H279" s="4" t="s">
        <v>18</v>
      </c>
      <c r="I279" s="6">
        <v>2</v>
      </c>
      <c r="J279" s="6">
        <v>8446</v>
      </c>
      <c r="K279" s="6">
        <v>6962.31</v>
      </c>
      <c r="L279" s="6">
        <v>1483.69</v>
      </c>
    </row>
    <row r="280" spans="1:12" x14ac:dyDescent="0.3">
      <c r="A280" s="4" t="s">
        <v>685</v>
      </c>
      <c r="B280" s="5">
        <v>45956</v>
      </c>
      <c r="C280" s="4" t="s">
        <v>371</v>
      </c>
      <c r="D280" s="4" t="s">
        <v>656</v>
      </c>
      <c r="E280" s="4" t="s">
        <v>29</v>
      </c>
      <c r="F280" s="4" t="s">
        <v>30</v>
      </c>
      <c r="G280" s="4" t="s">
        <v>40</v>
      </c>
      <c r="H280" s="4" t="s">
        <v>41</v>
      </c>
      <c r="I280" s="6">
        <v>5</v>
      </c>
      <c r="J280" s="6">
        <v>17090</v>
      </c>
      <c r="K280" s="6">
        <v>11789.97</v>
      </c>
      <c r="L280" s="6">
        <v>5300.03</v>
      </c>
    </row>
    <row r="281" spans="1:12" x14ac:dyDescent="0.3">
      <c r="A281" s="4" t="s">
        <v>686</v>
      </c>
      <c r="B281" s="5">
        <v>45772</v>
      </c>
      <c r="C281" s="4" t="s">
        <v>553</v>
      </c>
      <c r="D281" s="4" t="s">
        <v>580</v>
      </c>
      <c r="E281" s="4" t="s">
        <v>54</v>
      </c>
      <c r="F281" s="4" t="s">
        <v>55</v>
      </c>
      <c r="G281" s="4" t="s">
        <v>35</v>
      </c>
      <c r="H281" s="4" t="s">
        <v>45</v>
      </c>
      <c r="I281" s="6">
        <v>8</v>
      </c>
      <c r="J281" s="6">
        <v>32936</v>
      </c>
      <c r="K281" s="6">
        <v>19089.13</v>
      </c>
      <c r="L281" s="6">
        <v>13846.87</v>
      </c>
    </row>
    <row r="282" spans="1:12" x14ac:dyDescent="0.3">
      <c r="A282" s="4" t="s">
        <v>687</v>
      </c>
      <c r="B282" s="5">
        <v>45441</v>
      </c>
      <c r="C282" s="4" t="s">
        <v>688</v>
      </c>
      <c r="D282" s="4" t="s">
        <v>689</v>
      </c>
      <c r="E282" s="4" t="s">
        <v>54</v>
      </c>
      <c r="F282" s="4" t="s">
        <v>55</v>
      </c>
      <c r="G282" s="4" t="s">
        <v>35</v>
      </c>
      <c r="H282" s="4" t="s">
        <v>36</v>
      </c>
      <c r="I282" s="6">
        <v>1</v>
      </c>
      <c r="J282" s="6">
        <v>4908</v>
      </c>
      <c r="K282" s="6">
        <v>3971.68</v>
      </c>
      <c r="L282" s="6">
        <v>936.32</v>
      </c>
    </row>
    <row r="283" spans="1:12" x14ac:dyDescent="0.3">
      <c r="A283" s="4" t="s">
        <v>690</v>
      </c>
      <c r="B283" s="5">
        <v>45875</v>
      </c>
      <c r="C283" s="4" t="s">
        <v>197</v>
      </c>
      <c r="D283" s="4" t="s">
        <v>691</v>
      </c>
      <c r="E283" s="4" t="s">
        <v>22</v>
      </c>
      <c r="F283" s="4" t="s">
        <v>67</v>
      </c>
      <c r="G283" s="4" t="s">
        <v>24</v>
      </c>
      <c r="H283" s="4" t="s">
        <v>166</v>
      </c>
      <c r="I283" s="6">
        <v>4</v>
      </c>
      <c r="J283" s="6">
        <v>12008</v>
      </c>
      <c r="K283" s="6">
        <v>7433.02</v>
      </c>
      <c r="L283" s="6">
        <v>4574.9799999999996</v>
      </c>
    </row>
    <row r="284" spans="1:12" x14ac:dyDescent="0.3">
      <c r="A284" s="4" t="s">
        <v>692</v>
      </c>
      <c r="B284" s="5">
        <v>45652</v>
      </c>
      <c r="C284" s="4" t="s">
        <v>570</v>
      </c>
      <c r="D284" s="4" t="s">
        <v>599</v>
      </c>
      <c r="E284" s="4" t="s">
        <v>54</v>
      </c>
      <c r="F284" s="4" t="s">
        <v>55</v>
      </c>
      <c r="G284" s="4" t="s">
        <v>35</v>
      </c>
      <c r="H284" s="4" t="s">
        <v>80</v>
      </c>
      <c r="I284" s="6">
        <v>8</v>
      </c>
      <c r="J284" s="6">
        <v>32600</v>
      </c>
      <c r="K284" s="6">
        <v>19575.330000000002</v>
      </c>
      <c r="L284" s="6">
        <v>13024.67</v>
      </c>
    </row>
    <row r="285" spans="1:12" x14ac:dyDescent="0.3">
      <c r="A285" s="4" t="s">
        <v>693</v>
      </c>
      <c r="B285" s="5">
        <v>45368</v>
      </c>
      <c r="C285" s="4" t="s">
        <v>668</v>
      </c>
      <c r="D285" s="4" t="s">
        <v>28</v>
      </c>
      <c r="E285" s="4" t="s">
        <v>22</v>
      </c>
      <c r="F285" s="4" t="s">
        <v>23</v>
      </c>
      <c r="G285" s="4" t="s">
        <v>35</v>
      </c>
      <c r="H285" s="4" t="s">
        <v>45</v>
      </c>
      <c r="I285" s="6">
        <v>1</v>
      </c>
      <c r="J285" s="6">
        <v>4592</v>
      </c>
      <c r="K285" s="6">
        <v>2572.1999999999998</v>
      </c>
      <c r="L285" s="6">
        <v>2019.8</v>
      </c>
    </row>
    <row r="286" spans="1:12" x14ac:dyDescent="0.3">
      <c r="A286" s="4" t="s">
        <v>694</v>
      </c>
      <c r="B286" s="5">
        <v>45301</v>
      </c>
      <c r="C286" s="4" t="s">
        <v>695</v>
      </c>
      <c r="D286" s="4" t="s">
        <v>696</v>
      </c>
      <c r="E286" s="4" t="s">
        <v>22</v>
      </c>
      <c r="F286" s="4" t="s">
        <v>23</v>
      </c>
      <c r="G286" s="4" t="s">
        <v>17</v>
      </c>
      <c r="H286" s="4" t="s">
        <v>31</v>
      </c>
      <c r="I286" s="6">
        <v>4</v>
      </c>
      <c r="J286" s="6">
        <v>3424</v>
      </c>
      <c r="K286" s="6">
        <v>2609.6</v>
      </c>
      <c r="L286" s="6">
        <v>814.4</v>
      </c>
    </row>
    <row r="287" spans="1:12" x14ac:dyDescent="0.3">
      <c r="A287" s="4" t="s">
        <v>697</v>
      </c>
      <c r="B287" s="5">
        <v>45308</v>
      </c>
      <c r="C287" s="4" t="s">
        <v>435</v>
      </c>
      <c r="D287" s="4" t="s">
        <v>610</v>
      </c>
      <c r="E287" s="4" t="s">
        <v>22</v>
      </c>
      <c r="F287" s="4" t="s">
        <v>67</v>
      </c>
      <c r="G287" s="4" t="s">
        <v>24</v>
      </c>
      <c r="H287" s="4" t="s">
        <v>25</v>
      </c>
      <c r="I287" s="6">
        <v>10</v>
      </c>
      <c r="J287" s="6">
        <v>42580</v>
      </c>
      <c r="K287" s="6">
        <v>31840.7</v>
      </c>
      <c r="L287" s="6">
        <v>10739.3</v>
      </c>
    </row>
    <row r="288" spans="1:12" x14ac:dyDescent="0.3">
      <c r="A288" s="4" t="s">
        <v>698</v>
      </c>
      <c r="B288" s="5">
        <v>45585</v>
      </c>
      <c r="C288" s="4" t="s">
        <v>688</v>
      </c>
      <c r="D288" s="4" t="s">
        <v>671</v>
      </c>
      <c r="E288" s="4" t="s">
        <v>22</v>
      </c>
      <c r="F288" s="4" t="s">
        <v>23</v>
      </c>
      <c r="G288" s="4" t="s">
        <v>24</v>
      </c>
      <c r="H288" s="4" t="s">
        <v>25</v>
      </c>
      <c r="I288" s="6">
        <v>9</v>
      </c>
      <c r="J288" s="6">
        <v>22950</v>
      </c>
      <c r="K288" s="6">
        <v>16311.06</v>
      </c>
      <c r="L288" s="6">
        <v>6638.94</v>
      </c>
    </row>
    <row r="289" spans="1:12" x14ac:dyDescent="0.3">
      <c r="A289" s="4" t="s">
        <v>699</v>
      </c>
      <c r="B289" s="5">
        <v>45488</v>
      </c>
      <c r="C289" s="4" t="s">
        <v>700</v>
      </c>
      <c r="D289" s="4" t="s">
        <v>701</v>
      </c>
      <c r="E289" s="4" t="s">
        <v>22</v>
      </c>
      <c r="F289" s="4" t="s">
        <v>23</v>
      </c>
      <c r="G289" s="4" t="s">
        <v>24</v>
      </c>
      <c r="H289" s="4" t="s">
        <v>50</v>
      </c>
      <c r="I289" s="6">
        <v>2</v>
      </c>
      <c r="J289" s="6">
        <v>9190</v>
      </c>
      <c r="K289" s="6">
        <v>5465.01</v>
      </c>
      <c r="L289" s="6">
        <v>3724.99</v>
      </c>
    </row>
    <row r="290" spans="1:12" x14ac:dyDescent="0.3">
      <c r="A290" s="4" t="s">
        <v>702</v>
      </c>
      <c r="B290" s="5">
        <v>45762</v>
      </c>
      <c r="C290" s="4" t="s">
        <v>134</v>
      </c>
      <c r="D290" s="4" t="s">
        <v>703</v>
      </c>
      <c r="E290" s="4" t="s">
        <v>54</v>
      </c>
      <c r="F290" s="4" t="s">
        <v>55</v>
      </c>
      <c r="G290" s="4" t="s">
        <v>35</v>
      </c>
      <c r="H290" s="4" t="s">
        <v>36</v>
      </c>
      <c r="I290" s="6">
        <v>2</v>
      </c>
      <c r="J290" s="6">
        <v>6712</v>
      </c>
      <c r="K290" s="6">
        <v>5623.24</v>
      </c>
      <c r="L290" s="6">
        <v>1088.76</v>
      </c>
    </row>
    <row r="291" spans="1:12" x14ac:dyDescent="0.3">
      <c r="A291" s="4" t="s">
        <v>704</v>
      </c>
      <c r="B291" s="5">
        <v>45680</v>
      </c>
      <c r="C291" s="4" t="s">
        <v>705</v>
      </c>
      <c r="D291" s="4" t="s">
        <v>706</v>
      </c>
      <c r="E291" s="4" t="s">
        <v>29</v>
      </c>
      <c r="F291" s="4" t="s">
        <v>49</v>
      </c>
      <c r="G291" s="4" t="s">
        <v>17</v>
      </c>
      <c r="H291" s="4" t="s">
        <v>31</v>
      </c>
      <c r="I291" s="6">
        <v>2</v>
      </c>
      <c r="J291" s="6">
        <v>1118</v>
      </c>
      <c r="K291" s="6">
        <v>646.26</v>
      </c>
      <c r="L291" s="6">
        <v>471.74</v>
      </c>
    </row>
    <row r="292" spans="1:12" x14ac:dyDescent="0.3">
      <c r="A292" s="4" t="s">
        <v>707</v>
      </c>
      <c r="B292" s="5">
        <v>45736</v>
      </c>
      <c r="C292" s="4" t="s">
        <v>104</v>
      </c>
      <c r="D292" s="4" t="s">
        <v>246</v>
      </c>
      <c r="E292" s="4" t="s">
        <v>22</v>
      </c>
      <c r="F292" s="4" t="s">
        <v>23</v>
      </c>
      <c r="G292" s="4" t="s">
        <v>17</v>
      </c>
      <c r="H292" s="4" t="s">
        <v>31</v>
      </c>
      <c r="I292" s="6">
        <v>1</v>
      </c>
      <c r="J292" s="6">
        <v>1703</v>
      </c>
      <c r="K292" s="6">
        <v>978.89</v>
      </c>
      <c r="L292" s="6">
        <v>724.11</v>
      </c>
    </row>
    <row r="293" spans="1:12" x14ac:dyDescent="0.3">
      <c r="A293" s="4" t="s">
        <v>708</v>
      </c>
      <c r="B293" s="5">
        <v>46000</v>
      </c>
      <c r="C293" s="4" t="s">
        <v>634</v>
      </c>
      <c r="D293" s="4" t="s">
        <v>198</v>
      </c>
      <c r="E293" s="4" t="s">
        <v>15</v>
      </c>
      <c r="F293" s="4" t="s">
        <v>90</v>
      </c>
      <c r="G293" s="4" t="s">
        <v>24</v>
      </c>
      <c r="H293" s="4" t="s">
        <v>25</v>
      </c>
      <c r="I293" s="6">
        <v>4</v>
      </c>
      <c r="J293" s="6">
        <v>8124</v>
      </c>
      <c r="K293" s="6">
        <v>6664.78</v>
      </c>
      <c r="L293" s="6">
        <v>1459.22</v>
      </c>
    </row>
    <row r="294" spans="1:12" x14ac:dyDescent="0.3">
      <c r="A294" s="4" t="s">
        <v>709</v>
      </c>
      <c r="B294" s="5">
        <v>45325</v>
      </c>
      <c r="C294" s="4" t="s">
        <v>710</v>
      </c>
      <c r="D294" s="4" t="s">
        <v>711</v>
      </c>
      <c r="E294" s="4" t="s">
        <v>54</v>
      </c>
      <c r="F294" s="4" t="s">
        <v>142</v>
      </c>
      <c r="G294" s="4" t="s">
        <v>24</v>
      </c>
      <c r="H294" s="4" t="s">
        <v>50</v>
      </c>
      <c r="I294" s="6">
        <v>5</v>
      </c>
      <c r="J294" s="6">
        <v>23740</v>
      </c>
      <c r="K294" s="6">
        <v>17070.32</v>
      </c>
      <c r="L294" s="6">
        <v>6669.68</v>
      </c>
    </row>
    <row r="295" spans="1:12" x14ac:dyDescent="0.3">
      <c r="A295" s="4" t="s">
        <v>712</v>
      </c>
      <c r="B295" s="5">
        <v>45598</v>
      </c>
      <c r="C295" s="4" t="s">
        <v>498</v>
      </c>
      <c r="D295" s="4" t="s">
        <v>713</v>
      </c>
      <c r="E295" s="4" t="s">
        <v>15</v>
      </c>
      <c r="F295" s="4" t="s">
        <v>16</v>
      </c>
      <c r="G295" s="4" t="s">
        <v>17</v>
      </c>
      <c r="H295" s="4" t="s">
        <v>72</v>
      </c>
      <c r="I295" s="6">
        <v>3</v>
      </c>
      <c r="J295" s="6">
        <v>10686</v>
      </c>
      <c r="K295" s="6">
        <v>8855.09</v>
      </c>
      <c r="L295" s="6">
        <v>1830.91</v>
      </c>
    </row>
    <row r="296" spans="1:12" x14ac:dyDescent="0.3">
      <c r="A296" s="4" t="s">
        <v>714</v>
      </c>
      <c r="B296" s="5">
        <v>45435</v>
      </c>
      <c r="C296" s="4" t="s">
        <v>461</v>
      </c>
      <c r="D296" s="4" t="s">
        <v>715</v>
      </c>
      <c r="E296" s="4" t="s">
        <v>29</v>
      </c>
      <c r="F296" s="4" t="s">
        <v>30</v>
      </c>
      <c r="G296" s="4" t="s">
        <v>35</v>
      </c>
      <c r="H296" s="4" t="s">
        <v>36</v>
      </c>
      <c r="I296" s="6">
        <v>9</v>
      </c>
      <c r="J296" s="6">
        <v>27153</v>
      </c>
      <c r="K296" s="6">
        <v>18060.919999999998</v>
      </c>
      <c r="L296" s="6">
        <v>9092.08</v>
      </c>
    </row>
    <row r="297" spans="1:12" x14ac:dyDescent="0.3">
      <c r="A297" s="4" t="s">
        <v>716</v>
      </c>
      <c r="B297" s="5">
        <v>45640</v>
      </c>
      <c r="C297" s="4" t="s">
        <v>242</v>
      </c>
      <c r="D297" s="4" t="s">
        <v>232</v>
      </c>
      <c r="E297" s="4" t="s">
        <v>54</v>
      </c>
      <c r="F297" s="4" t="s">
        <v>142</v>
      </c>
      <c r="G297" s="4" t="s">
        <v>24</v>
      </c>
      <c r="H297" s="4" t="s">
        <v>50</v>
      </c>
      <c r="I297" s="6">
        <v>7</v>
      </c>
      <c r="J297" s="6">
        <v>15407</v>
      </c>
      <c r="K297" s="6">
        <v>12350.29</v>
      </c>
      <c r="L297" s="6">
        <v>3056.71</v>
      </c>
    </row>
    <row r="298" spans="1:12" x14ac:dyDescent="0.3">
      <c r="A298" s="4" t="s">
        <v>717</v>
      </c>
      <c r="B298" s="5">
        <v>45858</v>
      </c>
      <c r="C298" s="4" t="s">
        <v>718</v>
      </c>
      <c r="D298" s="4" t="s">
        <v>719</v>
      </c>
      <c r="E298" s="4" t="s">
        <v>15</v>
      </c>
      <c r="F298" s="4" t="s">
        <v>90</v>
      </c>
      <c r="G298" s="4" t="s">
        <v>40</v>
      </c>
      <c r="H298" s="4" t="s">
        <v>99</v>
      </c>
      <c r="I298" s="6">
        <v>8</v>
      </c>
      <c r="J298" s="6">
        <v>34552</v>
      </c>
      <c r="K298" s="6">
        <v>21368.39</v>
      </c>
      <c r="L298" s="6">
        <v>13183.61</v>
      </c>
    </row>
    <row r="299" spans="1:12" x14ac:dyDescent="0.3">
      <c r="A299" s="4" t="s">
        <v>720</v>
      </c>
      <c r="B299" s="5">
        <v>45594</v>
      </c>
      <c r="C299" s="4" t="s">
        <v>480</v>
      </c>
      <c r="D299" s="4" t="s">
        <v>681</v>
      </c>
      <c r="E299" s="4" t="s">
        <v>29</v>
      </c>
      <c r="F299" s="4" t="s">
        <v>30</v>
      </c>
      <c r="G299" s="4" t="s">
        <v>17</v>
      </c>
      <c r="H299" s="4" t="s">
        <v>72</v>
      </c>
      <c r="I299" s="6">
        <v>7</v>
      </c>
      <c r="J299" s="6">
        <v>7014</v>
      </c>
      <c r="K299" s="6">
        <v>5482.49</v>
      </c>
      <c r="L299" s="6">
        <v>1531.51</v>
      </c>
    </row>
    <row r="300" spans="1:12" x14ac:dyDescent="0.3">
      <c r="A300" s="4" t="s">
        <v>721</v>
      </c>
      <c r="B300" s="5">
        <v>45616</v>
      </c>
      <c r="C300" s="4" t="s">
        <v>558</v>
      </c>
      <c r="D300" s="4" t="s">
        <v>722</v>
      </c>
      <c r="E300" s="4" t="s">
        <v>15</v>
      </c>
      <c r="F300" s="4" t="s">
        <v>63</v>
      </c>
      <c r="G300" s="4" t="s">
        <v>24</v>
      </c>
      <c r="H300" s="4" t="s">
        <v>166</v>
      </c>
      <c r="I300" s="6">
        <v>7</v>
      </c>
      <c r="J300" s="6">
        <v>10941</v>
      </c>
      <c r="K300" s="6">
        <v>8445.32</v>
      </c>
      <c r="L300" s="6">
        <v>2495.6799999999998</v>
      </c>
    </row>
    <row r="301" spans="1:12" x14ac:dyDescent="0.3">
      <c r="A301" s="4" t="s">
        <v>723</v>
      </c>
      <c r="B301" s="5">
        <v>45396</v>
      </c>
      <c r="C301" s="4" t="s">
        <v>403</v>
      </c>
      <c r="D301" s="4" t="s">
        <v>14</v>
      </c>
      <c r="E301" s="4" t="s">
        <v>15</v>
      </c>
      <c r="F301" s="4" t="s">
        <v>16</v>
      </c>
      <c r="G301" s="4" t="s">
        <v>40</v>
      </c>
      <c r="H301" s="4" t="s">
        <v>99</v>
      </c>
      <c r="I301" s="6">
        <v>8</v>
      </c>
      <c r="J301" s="6">
        <v>25984</v>
      </c>
      <c r="K301" s="6">
        <v>20226.05</v>
      </c>
      <c r="L301" s="6">
        <v>5757.95</v>
      </c>
    </row>
    <row r="302" spans="1:12" x14ac:dyDescent="0.3">
      <c r="A302" s="4" t="s">
        <v>724</v>
      </c>
      <c r="B302" s="5">
        <v>45397</v>
      </c>
      <c r="C302" s="4" t="s">
        <v>20</v>
      </c>
      <c r="D302" s="4" t="s">
        <v>725</v>
      </c>
      <c r="E302" s="4" t="s">
        <v>29</v>
      </c>
      <c r="F302" s="4" t="s">
        <v>49</v>
      </c>
      <c r="G302" s="4" t="s">
        <v>35</v>
      </c>
      <c r="H302" s="4" t="s">
        <v>80</v>
      </c>
      <c r="I302" s="6">
        <v>9</v>
      </c>
      <c r="J302" s="6">
        <v>43596</v>
      </c>
      <c r="K302" s="6">
        <v>30679.91</v>
      </c>
      <c r="L302" s="6">
        <v>12916.09</v>
      </c>
    </row>
    <row r="303" spans="1:12" x14ac:dyDescent="0.3">
      <c r="A303" s="4" t="s">
        <v>726</v>
      </c>
      <c r="B303" s="5">
        <v>45304</v>
      </c>
      <c r="C303" s="4" t="s">
        <v>727</v>
      </c>
      <c r="D303" s="4" t="s">
        <v>728</v>
      </c>
      <c r="E303" s="4" t="s">
        <v>54</v>
      </c>
      <c r="F303" s="4" t="s">
        <v>71</v>
      </c>
      <c r="G303" s="4" t="s">
        <v>24</v>
      </c>
      <c r="H303" s="4" t="s">
        <v>50</v>
      </c>
      <c r="I303" s="6">
        <v>10</v>
      </c>
      <c r="J303" s="6">
        <v>29570</v>
      </c>
      <c r="K303" s="6">
        <v>23925.54</v>
      </c>
      <c r="L303" s="6">
        <v>5644.46</v>
      </c>
    </row>
    <row r="304" spans="1:12" x14ac:dyDescent="0.3">
      <c r="A304" s="4" t="s">
        <v>729</v>
      </c>
      <c r="B304" s="5">
        <v>45465</v>
      </c>
      <c r="C304" s="4" t="s">
        <v>231</v>
      </c>
      <c r="D304" s="4" t="s">
        <v>730</v>
      </c>
      <c r="E304" s="4" t="s">
        <v>22</v>
      </c>
      <c r="F304" s="4" t="s">
        <v>23</v>
      </c>
      <c r="G304" s="4" t="s">
        <v>17</v>
      </c>
      <c r="H304" s="4" t="s">
        <v>18</v>
      </c>
      <c r="I304" s="6">
        <v>9</v>
      </c>
      <c r="J304" s="6">
        <v>20592</v>
      </c>
      <c r="K304" s="6">
        <v>14858.94</v>
      </c>
      <c r="L304" s="6">
        <v>5733.06</v>
      </c>
    </row>
    <row r="305" spans="1:12" x14ac:dyDescent="0.3">
      <c r="A305" s="4" t="s">
        <v>731</v>
      </c>
      <c r="B305" s="5">
        <v>45463</v>
      </c>
      <c r="C305" s="4" t="s">
        <v>176</v>
      </c>
      <c r="D305" s="4" t="s">
        <v>401</v>
      </c>
      <c r="E305" s="4" t="s">
        <v>29</v>
      </c>
      <c r="F305" s="4" t="s">
        <v>49</v>
      </c>
      <c r="G305" s="4" t="s">
        <v>40</v>
      </c>
      <c r="H305" s="4" t="s">
        <v>99</v>
      </c>
      <c r="I305" s="6">
        <v>5</v>
      </c>
      <c r="J305" s="6">
        <v>21695</v>
      </c>
      <c r="K305" s="6">
        <v>12882.07</v>
      </c>
      <c r="L305" s="6">
        <v>8812.93</v>
      </c>
    </row>
    <row r="306" spans="1:12" x14ac:dyDescent="0.3">
      <c r="A306" s="4" t="s">
        <v>732</v>
      </c>
      <c r="B306" s="5">
        <v>45544</v>
      </c>
      <c r="C306" s="4" t="s">
        <v>200</v>
      </c>
      <c r="D306" s="4" t="s">
        <v>733</v>
      </c>
      <c r="E306" s="4" t="s">
        <v>22</v>
      </c>
      <c r="F306" s="4" t="s">
        <v>67</v>
      </c>
      <c r="G306" s="4" t="s">
        <v>35</v>
      </c>
      <c r="H306" s="4" t="s">
        <v>80</v>
      </c>
      <c r="I306" s="6">
        <v>2</v>
      </c>
      <c r="J306" s="6">
        <v>6516</v>
      </c>
      <c r="K306" s="6">
        <v>4075.82</v>
      </c>
      <c r="L306" s="6">
        <v>2440.1799999999998</v>
      </c>
    </row>
    <row r="307" spans="1:12" x14ac:dyDescent="0.3">
      <c r="A307" s="4" t="s">
        <v>734</v>
      </c>
      <c r="B307" s="5">
        <v>45632</v>
      </c>
      <c r="C307" s="4" t="s">
        <v>231</v>
      </c>
      <c r="D307" s="4" t="s">
        <v>172</v>
      </c>
      <c r="E307" s="4" t="s">
        <v>22</v>
      </c>
      <c r="F307" s="4" t="s">
        <v>23</v>
      </c>
      <c r="G307" s="4" t="s">
        <v>24</v>
      </c>
      <c r="H307" s="4" t="s">
        <v>166</v>
      </c>
      <c r="I307" s="6">
        <v>5</v>
      </c>
      <c r="J307" s="6">
        <v>1775</v>
      </c>
      <c r="K307" s="6">
        <v>1481.5</v>
      </c>
      <c r="L307" s="6">
        <v>293.5</v>
      </c>
    </row>
    <row r="308" spans="1:12" x14ac:dyDescent="0.3">
      <c r="A308" s="4" t="s">
        <v>735</v>
      </c>
      <c r="B308" s="5">
        <v>45909</v>
      </c>
      <c r="C308" s="4" t="s">
        <v>503</v>
      </c>
      <c r="D308" s="4" t="s">
        <v>410</v>
      </c>
      <c r="E308" s="4" t="s">
        <v>22</v>
      </c>
      <c r="F308" s="4" t="s">
        <v>67</v>
      </c>
      <c r="G308" s="4" t="s">
        <v>35</v>
      </c>
      <c r="H308" s="4" t="s">
        <v>36</v>
      </c>
      <c r="I308" s="6">
        <v>10</v>
      </c>
      <c r="J308" s="6">
        <v>14150</v>
      </c>
      <c r="K308" s="6">
        <v>9057.85</v>
      </c>
      <c r="L308" s="6">
        <v>5092.1499999999996</v>
      </c>
    </row>
    <row r="309" spans="1:12" x14ac:dyDescent="0.3">
      <c r="A309" s="4" t="s">
        <v>736</v>
      </c>
      <c r="B309" s="5">
        <v>45940</v>
      </c>
      <c r="C309" s="4" t="s">
        <v>737</v>
      </c>
      <c r="D309" s="4" t="s">
        <v>372</v>
      </c>
      <c r="E309" s="4" t="s">
        <v>54</v>
      </c>
      <c r="F309" s="4" t="s">
        <v>142</v>
      </c>
      <c r="G309" s="4" t="s">
        <v>35</v>
      </c>
      <c r="H309" s="4" t="s">
        <v>36</v>
      </c>
      <c r="I309" s="6">
        <v>6</v>
      </c>
      <c r="J309" s="6">
        <v>16122</v>
      </c>
      <c r="K309" s="6">
        <v>12421.39</v>
      </c>
      <c r="L309" s="6">
        <v>3700.61</v>
      </c>
    </row>
    <row r="310" spans="1:12" x14ac:dyDescent="0.3">
      <c r="A310" s="4" t="s">
        <v>738</v>
      </c>
      <c r="B310" s="5">
        <v>45869</v>
      </c>
      <c r="C310" s="4" t="s">
        <v>503</v>
      </c>
      <c r="D310" s="4" t="s">
        <v>158</v>
      </c>
      <c r="E310" s="4" t="s">
        <v>29</v>
      </c>
      <c r="F310" s="4" t="s">
        <v>49</v>
      </c>
      <c r="G310" s="4" t="s">
        <v>35</v>
      </c>
      <c r="H310" s="4" t="s">
        <v>36</v>
      </c>
      <c r="I310" s="6">
        <v>5</v>
      </c>
      <c r="J310" s="6">
        <v>17590</v>
      </c>
      <c r="K310" s="6">
        <v>11600.69</v>
      </c>
      <c r="L310" s="6">
        <v>5989.31</v>
      </c>
    </row>
    <row r="311" spans="1:12" x14ac:dyDescent="0.3">
      <c r="A311" s="4" t="s">
        <v>739</v>
      </c>
      <c r="B311" s="5">
        <v>45506</v>
      </c>
      <c r="C311" s="4" t="s">
        <v>144</v>
      </c>
      <c r="D311" s="4" t="s">
        <v>332</v>
      </c>
      <c r="E311" s="4" t="s">
        <v>29</v>
      </c>
      <c r="F311" s="4" t="s">
        <v>30</v>
      </c>
      <c r="G311" s="4" t="s">
        <v>35</v>
      </c>
      <c r="H311" s="4" t="s">
        <v>45</v>
      </c>
      <c r="I311" s="6">
        <v>1</v>
      </c>
      <c r="J311" s="6">
        <v>4081</v>
      </c>
      <c r="K311" s="6">
        <v>3399.03</v>
      </c>
      <c r="L311" s="6">
        <v>681.97</v>
      </c>
    </row>
    <row r="312" spans="1:12" x14ac:dyDescent="0.3">
      <c r="A312" s="4" t="s">
        <v>740</v>
      </c>
      <c r="B312" s="5">
        <v>45539</v>
      </c>
      <c r="C312" s="4" t="s">
        <v>234</v>
      </c>
      <c r="D312" s="4" t="s">
        <v>645</v>
      </c>
      <c r="E312" s="4" t="s">
        <v>15</v>
      </c>
      <c r="F312" s="4" t="s">
        <v>63</v>
      </c>
      <c r="G312" s="4" t="s">
        <v>17</v>
      </c>
      <c r="H312" s="4" t="s">
        <v>31</v>
      </c>
      <c r="I312" s="6">
        <v>8</v>
      </c>
      <c r="J312" s="6">
        <v>11520</v>
      </c>
      <c r="K312" s="6">
        <v>8524.81</v>
      </c>
      <c r="L312" s="6">
        <v>2995.19</v>
      </c>
    </row>
    <row r="313" spans="1:12" x14ac:dyDescent="0.3">
      <c r="A313" s="4" t="s">
        <v>741</v>
      </c>
      <c r="B313" s="5">
        <v>45839</v>
      </c>
      <c r="C313" s="4" t="s">
        <v>495</v>
      </c>
      <c r="D313" s="4" t="s">
        <v>223</v>
      </c>
      <c r="E313" s="4" t="s">
        <v>22</v>
      </c>
      <c r="F313" s="4" t="s">
        <v>67</v>
      </c>
      <c r="G313" s="4" t="s">
        <v>24</v>
      </c>
      <c r="H313" s="4" t="s">
        <v>50</v>
      </c>
      <c r="I313" s="6">
        <v>8</v>
      </c>
      <c r="J313" s="6">
        <v>33800</v>
      </c>
      <c r="K313" s="6">
        <v>24493.95</v>
      </c>
      <c r="L313" s="6">
        <v>9306.0499999999993</v>
      </c>
    </row>
    <row r="314" spans="1:12" x14ac:dyDescent="0.3">
      <c r="A314" s="4" t="s">
        <v>742</v>
      </c>
      <c r="B314" s="5">
        <v>45546</v>
      </c>
      <c r="C314" s="4" t="s">
        <v>110</v>
      </c>
      <c r="D314" s="4" t="s">
        <v>743</v>
      </c>
      <c r="E314" s="4" t="s">
        <v>15</v>
      </c>
      <c r="F314" s="4" t="s">
        <v>63</v>
      </c>
      <c r="G314" s="4" t="s">
        <v>17</v>
      </c>
      <c r="H314" s="4" t="s">
        <v>18</v>
      </c>
      <c r="I314" s="6">
        <v>9</v>
      </c>
      <c r="J314" s="6">
        <v>8964</v>
      </c>
      <c r="K314" s="6">
        <v>5224.32</v>
      </c>
      <c r="L314" s="6">
        <v>3739.68</v>
      </c>
    </row>
    <row r="315" spans="1:12" x14ac:dyDescent="0.3">
      <c r="A315" s="4" t="s">
        <v>744</v>
      </c>
      <c r="B315" s="5">
        <v>45732</v>
      </c>
      <c r="C315" s="4" t="s">
        <v>745</v>
      </c>
      <c r="D315" s="4" t="s">
        <v>746</v>
      </c>
      <c r="E315" s="4" t="s">
        <v>15</v>
      </c>
      <c r="F315" s="4" t="s">
        <v>90</v>
      </c>
      <c r="G315" s="4" t="s">
        <v>17</v>
      </c>
      <c r="H315" s="4" t="s">
        <v>31</v>
      </c>
      <c r="I315" s="6">
        <v>7</v>
      </c>
      <c r="J315" s="6">
        <v>21112</v>
      </c>
      <c r="K315" s="6">
        <v>17728.060000000001</v>
      </c>
      <c r="L315" s="6">
        <v>3383.94</v>
      </c>
    </row>
    <row r="316" spans="1:12" x14ac:dyDescent="0.3">
      <c r="A316" s="4" t="s">
        <v>747</v>
      </c>
      <c r="B316" s="5">
        <v>45996</v>
      </c>
      <c r="C316" s="4" t="s">
        <v>748</v>
      </c>
      <c r="D316" s="4" t="s">
        <v>749</v>
      </c>
      <c r="E316" s="4" t="s">
        <v>15</v>
      </c>
      <c r="F316" s="4" t="s">
        <v>63</v>
      </c>
      <c r="G316" s="4" t="s">
        <v>40</v>
      </c>
      <c r="H316" s="4" t="s">
        <v>56</v>
      </c>
      <c r="I316" s="6">
        <v>9</v>
      </c>
      <c r="J316" s="6">
        <v>40941</v>
      </c>
      <c r="K316" s="6">
        <v>29370.99</v>
      </c>
      <c r="L316" s="6">
        <v>11570.01</v>
      </c>
    </row>
    <row r="317" spans="1:12" x14ac:dyDescent="0.3">
      <c r="A317" s="4" t="s">
        <v>750</v>
      </c>
      <c r="B317" s="5">
        <v>45317</v>
      </c>
      <c r="C317" s="4" t="s">
        <v>751</v>
      </c>
      <c r="D317" s="4" t="s">
        <v>147</v>
      </c>
      <c r="E317" s="4" t="s">
        <v>22</v>
      </c>
      <c r="F317" s="4" t="s">
        <v>67</v>
      </c>
      <c r="G317" s="4" t="s">
        <v>35</v>
      </c>
      <c r="H317" s="4" t="s">
        <v>36</v>
      </c>
      <c r="I317" s="6">
        <v>8</v>
      </c>
      <c r="J317" s="6">
        <v>35192</v>
      </c>
      <c r="K317" s="6">
        <v>20947.099999999999</v>
      </c>
      <c r="L317" s="6">
        <v>14244.9</v>
      </c>
    </row>
    <row r="318" spans="1:12" x14ac:dyDescent="0.3">
      <c r="A318" s="4" t="s">
        <v>752</v>
      </c>
      <c r="B318" s="5">
        <v>45643</v>
      </c>
      <c r="C318" s="4" t="s">
        <v>753</v>
      </c>
      <c r="D318" s="4" t="s">
        <v>754</v>
      </c>
      <c r="E318" s="4" t="s">
        <v>54</v>
      </c>
      <c r="F318" s="4" t="s">
        <v>55</v>
      </c>
      <c r="G318" s="4" t="s">
        <v>24</v>
      </c>
      <c r="H318" s="4" t="s">
        <v>50</v>
      </c>
      <c r="I318" s="6">
        <v>2</v>
      </c>
      <c r="J318" s="6">
        <v>2920</v>
      </c>
      <c r="K318" s="6">
        <v>1911.14</v>
      </c>
      <c r="L318" s="6">
        <v>1008.86</v>
      </c>
    </row>
    <row r="319" spans="1:12" x14ac:dyDescent="0.3">
      <c r="A319" s="4" t="s">
        <v>755</v>
      </c>
      <c r="B319" s="5">
        <v>45755</v>
      </c>
      <c r="C319" s="4" t="s">
        <v>553</v>
      </c>
      <c r="D319" s="4" t="s">
        <v>527</v>
      </c>
      <c r="E319" s="4" t="s">
        <v>22</v>
      </c>
      <c r="F319" s="4" t="s">
        <v>67</v>
      </c>
      <c r="G319" s="4" t="s">
        <v>35</v>
      </c>
      <c r="H319" s="4" t="s">
        <v>80</v>
      </c>
      <c r="I319" s="6">
        <v>2</v>
      </c>
      <c r="J319" s="6">
        <v>7778</v>
      </c>
      <c r="K319" s="6">
        <v>5962.6</v>
      </c>
      <c r="L319" s="6">
        <v>1815.4</v>
      </c>
    </row>
    <row r="320" spans="1:12" x14ac:dyDescent="0.3">
      <c r="A320" s="4" t="s">
        <v>756</v>
      </c>
      <c r="B320" s="5">
        <v>45955</v>
      </c>
      <c r="C320" s="4" t="s">
        <v>113</v>
      </c>
      <c r="D320" s="4" t="s">
        <v>121</v>
      </c>
      <c r="E320" s="4" t="s">
        <v>54</v>
      </c>
      <c r="F320" s="4" t="s">
        <v>142</v>
      </c>
      <c r="G320" s="4" t="s">
        <v>17</v>
      </c>
      <c r="H320" s="4" t="s">
        <v>18</v>
      </c>
      <c r="I320" s="6">
        <v>2</v>
      </c>
      <c r="J320" s="6">
        <v>970</v>
      </c>
      <c r="K320" s="6">
        <v>780.61</v>
      </c>
      <c r="L320" s="6">
        <v>189.39</v>
      </c>
    </row>
    <row r="321" spans="1:12" x14ac:dyDescent="0.3">
      <c r="A321" s="4" t="s">
        <v>757</v>
      </c>
      <c r="B321" s="5">
        <v>45728</v>
      </c>
      <c r="C321" s="4" t="s">
        <v>116</v>
      </c>
      <c r="D321" s="4" t="s">
        <v>365</v>
      </c>
      <c r="E321" s="4" t="s">
        <v>29</v>
      </c>
      <c r="F321" s="4" t="s">
        <v>30</v>
      </c>
      <c r="G321" s="4" t="s">
        <v>24</v>
      </c>
      <c r="H321" s="4" t="s">
        <v>166</v>
      </c>
      <c r="I321" s="6">
        <v>9</v>
      </c>
      <c r="J321" s="6">
        <v>14499</v>
      </c>
      <c r="K321" s="6">
        <v>9414.16</v>
      </c>
      <c r="L321" s="6">
        <v>5084.84</v>
      </c>
    </row>
    <row r="322" spans="1:12" x14ac:dyDescent="0.3">
      <c r="A322" s="4" t="s">
        <v>758</v>
      </c>
      <c r="B322" s="5">
        <v>45920</v>
      </c>
      <c r="C322" s="4" t="s">
        <v>301</v>
      </c>
      <c r="D322" s="4" t="s">
        <v>563</v>
      </c>
      <c r="E322" s="4" t="s">
        <v>22</v>
      </c>
      <c r="F322" s="4" t="s">
        <v>79</v>
      </c>
      <c r="G322" s="4" t="s">
        <v>24</v>
      </c>
      <c r="H322" s="4" t="s">
        <v>166</v>
      </c>
      <c r="I322" s="6">
        <v>3</v>
      </c>
      <c r="J322" s="6">
        <v>11520</v>
      </c>
      <c r="K322" s="6">
        <v>7703.13</v>
      </c>
      <c r="L322" s="6">
        <v>3816.87</v>
      </c>
    </row>
    <row r="323" spans="1:12" x14ac:dyDescent="0.3">
      <c r="A323" s="4" t="s">
        <v>759</v>
      </c>
      <c r="B323" s="5">
        <v>46012</v>
      </c>
      <c r="C323" s="4" t="s">
        <v>74</v>
      </c>
      <c r="D323" s="4" t="s">
        <v>311</v>
      </c>
      <c r="E323" s="4" t="s">
        <v>22</v>
      </c>
      <c r="F323" s="4" t="s">
        <v>67</v>
      </c>
      <c r="G323" s="4" t="s">
        <v>24</v>
      </c>
      <c r="H323" s="4" t="s">
        <v>25</v>
      </c>
      <c r="I323" s="6">
        <v>4</v>
      </c>
      <c r="J323" s="6">
        <v>7940</v>
      </c>
      <c r="K323" s="6">
        <v>5030.0200000000004</v>
      </c>
      <c r="L323" s="6">
        <v>2909.98</v>
      </c>
    </row>
    <row r="324" spans="1:12" x14ac:dyDescent="0.3">
      <c r="A324" s="4" t="s">
        <v>760</v>
      </c>
      <c r="B324" s="5">
        <v>45408</v>
      </c>
      <c r="C324" s="4" t="s">
        <v>761</v>
      </c>
      <c r="D324" s="4" t="s">
        <v>762</v>
      </c>
      <c r="E324" s="4" t="s">
        <v>15</v>
      </c>
      <c r="F324" s="4" t="s">
        <v>90</v>
      </c>
      <c r="G324" s="4" t="s">
        <v>24</v>
      </c>
      <c r="H324" s="4" t="s">
        <v>166</v>
      </c>
      <c r="I324" s="6">
        <v>6</v>
      </c>
      <c r="J324" s="6">
        <v>17820</v>
      </c>
      <c r="K324" s="6">
        <v>10854.56</v>
      </c>
      <c r="L324" s="6">
        <v>6965.44</v>
      </c>
    </row>
    <row r="325" spans="1:12" x14ac:dyDescent="0.3">
      <c r="A325" s="4" t="s">
        <v>763</v>
      </c>
      <c r="B325" s="5">
        <v>45648</v>
      </c>
      <c r="C325" s="4" t="s">
        <v>764</v>
      </c>
      <c r="D325" s="4" t="s">
        <v>138</v>
      </c>
      <c r="E325" s="4" t="s">
        <v>54</v>
      </c>
      <c r="F325" s="4" t="s">
        <v>71</v>
      </c>
      <c r="G325" s="4" t="s">
        <v>35</v>
      </c>
      <c r="H325" s="4" t="s">
        <v>36</v>
      </c>
      <c r="I325" s="6">
        <v>10</v>
      </c>
      <c r="J325" s="6">
        <v>35150</v>
      </c>
      <c r="K325" s="6">
        <v>25522.46</v>
      </c>
      <c r="L325" s="6">
        <v>9627.5400000000009</v>
      </c>
    </row>
    <row r="326" spans="1:12" x14ac:dyDescent="0.3">
      <c r="A326" s="4" t="s">
        <v>765</v>
      </c>
      <c r="B326" s="5">
        <v>45612</v>
      </c>
      <c r="C326" s="4" t="s">
        <v>550</v>
      </c>
      <c r="D326" s="4" t="s">
        <v>89</v>
      </c>
      <c r="E326" s="4" t="s">
        <v>29</v>
      </c>
      <c r="F326" s="4" t="s">
        <v>30</v>
      </c>
      <c r="G326" s="4" t="s">
        <v>17</v>
      </c>
      <c r="H326" s="4" t="s">
        <v>18</v>
      </c>
      <c r="I326" s="6">
        <v>5</v>
      </c>
      <c r="J326" s="6">
        <v>4970</v>
      </c>
      <c r="K326" s="6">
        <v>3735.62</v>
      </c>
      <c r="L326" s="6">
        <v>1234.3800000000001</v>
      </c>
    </row>
    <row r="327" spans="1:12" x14ac:dyDescent="0.3">
      <c r="A327" s="4" t="s">
        <v>766</v>
      </c>
      <c r="B327" s="5">
        <v>45720</v>
      </c>
      <c r="C327" s="4" t="s">
        <v>449</v>
      </c>
      <c r="D327" s="4" t="s">
        <v>372</v>
      </c>
      <c r="E327" s="4" t="s">
        <v>54</v>
      </c>
      <c r="F327" s="4" t="s">
        <v>142</v>
      </c>
      <c r="G327" s="4" t="s">
        <v>24</v>
      </c>
      <c r="H327" s="4" t="s">
        <v>166</v>
      </c>
      <c r="I327" s="6">
        <v>6</v>
      </c>
      <c r="J327" s="6">
        <v>8748</v>
      </c>
      <c r="K327" s="6">
        <v>6152.01</v>
      </c>
      <c r="L327" s="6">
        <v>2595.9899999999998</v>
      </c>
    </row>
    <row r="328" spans="1:12" x14ac:dyDescent="0.3">
      <c r="A328" s="4" t="s">
        <v>767</v>
      </c>
      <c r="B328" s="5">
        <v>45952</v>
      </c>
      <c r="C328" s="4" t="s">
        <v>768</v>
      </c>
      <c r="D328" s="4" t="s">
        <v>769</v>
      </c>
      <c r="E328" s="4" t="s">
        <v>22</v>
      </c>
      <c r="F328" s="4" t="s">
        <v>67</v>
      </c>
      <c r="G328" s="4" t="s">
        <v>24</v>
      </c>
      <c r="H328" s="4" t="s">
        <v>166</v>
      </c>
      <c r="I328" s="6">
        <v>8</v>
      </c>
      <c r="J328" s="6">
        <v>37616</v>
      </c>
      <c r="K328" s="6">
        <v>28514.05</v>
      </c>
      <c r="L328" s="6">
        <v>9101.9500000000007</v>
      </c>
    </row>
    <row r="329" spans="1:12" x14ac:dyDescent="0.3">
      <c r="A329" s="4" t="s">
        <v>770</v>
      </c>
      <c r="B329" s="5">
        <v>45753</v>
      </c>
      <c r="C329" s="4" t="s">
        <v>771</v>
      </c>
      <c r="D329" s="4" t="s">
        <v>359</v>
      </c>
      <c r="E329" s="4" t="s">
        <v>29</v>
      </c>
      <c r="F329" s="4" t="s">
        <v>49</v>
      </c>
      <c r="G329" s="4" t="s">
        <v>40</v>
      </c>
      <c r="H329" s="4" t="s">
        <v>99</v>
      </c>
      <c r="I329" s="6">
        <v>3</v>
      </c>
      <c r="J329" s="6">
        <v>5496</v>
      </c>
      <c r="K329" s="6">
        <v>3541.48</v>
      </c>
      <c r="L329" s="6">
        <v>1954.52</v>
      </c>
    </row>
    <row r="330" spans="1:12" x14ac:dyDescent="0.3">
      <c r="A330" s="4" t="s">
        <v>772</v>
      </c>
      <c r="B330" s="5">
        <v>45809</v>
      </c>
      <c r="C330" s="4" t="s">
        <v>200</v>
      </c>
      <c r="D330" s="4" t="s">
        <v>484</v>
      </c>
      <c r="E330" s="4" t="s">
        <v>15</v>
      </c>
      <c r="F330" s="4" t="s">
        <v>63</v>
      </c>
      <c r="G330" s="4" t="s">
        <v>24</v>
      </c>
      <c r="H330" s="4" t="s">
        <v>166</v>
      </c>
      <c r="I330" s="6">
        <v>4</v>
      </c>
      <c r="J330" s="6">
        <v>13780</v>
      </c>
      <c r="K330" s="6">
        <v>11563.47</v>
      </c>
      <c r="L330" s="6">
        <v>2216.5300000000002</v>
      </c>
    </row>
    <row r="331" spans="1:12" x14ac:dyDescent="0.3">
      <c r="A331" s="4" t="s">
        <v>773</v>
      </c>
      <c r="B331" s="5">
        <v>45870</v>
      </c>
      <c r="C331" s="4" t="s">
        <v>438</v>
      </c>
      <c r="D331" s="4" t="s">
        <v>447</v>
      </c>
      <c r="E331" s="4" t="s">
        <v>22</v>
      </c>
      <c r="F331" s="4" t="s">
        <v>67</v>
      </c>
      <c r="G331" s="4" t="s">
        <v>17</v>
      </c>
      <c r="H331" s="4" t="s">
        <v>18</v>
      </c>
      <c r="I331" s="6">
        <v>8</v>
      </c>
      <c r="J331" s="6">
        <v>34424</v>
      </c>
      <c r="K331" s="6">
        <v>20660.46</v>
      </c>
      <c r="L331" s="6">
        <v>13763.54</v>
      </c>
    </row>
    <row r="332" spans="1:12" x14ac:dyDescent="0.3">
      <c r="A332" s="4" t="s">
        <v>774</v>
      </c>
      <c r="B332" s="5">
        <v>45760</v>
      </c>
      <c r="C332" s="4" t="s">
        <v>134</v>
      </c>
      <c r="D332" s="4" t="s">
        <v>775</v>
      </c>
      <c r="E332" s="4" t="s">
        <v>54</v>
      </c>
      <c r="F332" s="4" t="s">
        <v>142</v>
      </c>
      <c r="G332" s="4" t="s">
        <v>40</v>
      </c>
      <c r="H332" s="4" t="s">
        <v>99</v>
      </c>
      <c r="I332" s="6">
        <v>4</v>
      </c>
      <c r="J332" s="6">
        <v>18816</v>
      </c>
      <c r="K332" s="6">
        <v>11978.29</v>
      </c>
      <c r="L332" s="6">
        <v>6837.71</v>
      </c>
    </row>
    <row r="333" spans="1:12" x14ac:dyDescent="0.3">
      <c r="A333" s="4" t="s">
        <v>776</v>
      </c>
      <c r="B333" s="5">
        <v>45667</v>
      </c>
      <c r="C333" s="4" t="s">
        <v>777</v>
      </c>
      <c r="D333" s="4" t="s">
        <v>475</v>
      </c>
      <c r="E333" s="4" t="s">
        <v>15</v>
      </c>
      <c r="F333" s="4" t="s">
        <v>90</v>
      </c>
      <c r="G333" s="4" t="s">
        <v>24</v>
      </c>
      <c r="H333" s="4" t="s">
        <v>50</v>
      </c>
      <c r="I333" s="6">
        <v>5</v>
      </c>
      <c r="J333" s="6">
        <v>23745</v>
      </c>
      <c r="K333" s="6">
        <v>18924.41</v>
      </c>
      <c r="L333" s="6">
        <v>4820.59</v>
      </c>
    </row>
    <row r="334" spans="1:12" x14ac:dyDescent="0.3">
      <c r="A334" s="4" t="s">
        <v>778</v>
      </c>
      <c r="B334" s="5">
        <v>45961</v>
      </c>
      <c r="C334" s="4" t="s">
        <v>480</v>
      </c>
      <c r="D334" s="4" t="s">
        <v>577</v>
      </c>
      <c r="E334" s="4" t="s">
        <v>22</v>
      </c>
      <c r="F334" s="4" t="s">
        <v>79</v>
      </c>
      <c r="G334" s="4" t="s">
        <v>40</v>
      </c>
      <c r="H334" s="4" t="s">
        <v>56</v>
      </c>
      <c r="I334" s="6">
        <v>7</v>
      </c>
      <c r="J334" s="6">
        <v>7966</v>
      </c>
      <c r="K334" s="6">
        <v>6140.17</v>
      </c>
      <c r="L334" s="6">
        <v>1825.83</v>
      </c>
    </row>
    <row r="335" spans="1:12" x14ac:dyDescent="0.3">
      <c r="A335" s="4" t="s">
        <v>779</v>
      </c>
      <c r="B335" s="5">
        <v>45412</v>
      </c>
      <c r="C335" s="4" t="s">
        <v>780</v>
      </c>
      <c r="D335" s="4" t="s">
        <v>781</v>
      </c>
      <c r="E335" s="4" t="s">
        <v>15</v>
      </c>
      <c r="F335" s="4" t="s">
        <v>63</v>
      </c>
      <c r="G335" s="4" t="s">
        <v>40</v>
      </c>
      <c r="H335" s="4" t="s">
        <v>99</v>
      </c>
      <c r="I335" s="6">
        <v>6</v>
      </c>
      <c r="J335" s="6">
        <v>6072</v>
      </c>
      <c r="K335" s="6">
        <v>4139.41</v>
      </c>
      <c r="L335" s="6">
        <v>1932.59</v>
      </c>
    </row>
    <row r="336" spans="1:12" x14ac:dyDescent="0.3">
      <c r="A336" s="4" t="s">
        <v>782</v>
      </c>
      <c r="B336" s="5">
        <v>45503</v>
      </c>
      <c r="C336" s="4" t="s">
        <v>783</v>
      </c>
      <c r="D336" s="4" t="s">
        <v>784</v>
      </c>
      <c r="E336" s="4" t="s">
        <v>54</v>
      </c>
      <c r="F336" s="4" t="s">
        <v>71</v>
      </c>
      <c r="G336" s="4" t="s">
        <v>17</v>
      </c>
      <c r="H336" s="4" t="s">
        <v>72</v>
      </c>
      <c r="I336" s="6">
        <v>7</v>
      </c>
      <c r="J336" s="6">
        <v>11613</v>
      </c>
      <c r="K336" s="6">
        <v>8533.76</v>
      </c>
      <c r="L336" s="6">
        <v>3079.24</v>
      </c>
    </row>
    <row r="337" spans="1:12" x14ac:dyDescent="0.3">
      <c r="A337" s="4" t="s">
        <v>785</v>
      </c>
      <c r="B337" s="5">
        <v>46012</v>
      </c>
      <c r="C337" s="4" t="s">
        <v>727</v>
      </c>
      <c r="D337" s="4" t="s">
        <v>456</v>
      </c>
      <c r="E337" s="4" t="s">
        <v>54</v>
      </c>
      <c r="F337" s="4" t="s">
        <v>71</v>
      </c>
      <c r="G337" s="4" t="s">
        <v>40</v>
      </c>
      <c r="H337" s="4" t="s">
        <v>99</v>
      </c>
      <c r="I337" s="6">
        <v>10</v>
      </c>
      <c r="J337" s="6">
        <v>47130</v>
      </c>
      <c r="K337" s="6">
        <v>28302.19</v>
      </c>
      <c r="L337" s="6">
        <v>18827.810000000001</v>
      </c>
    </row>
    <row r="338" spans="1:12" x14ac:dyDescent="0.3">
      <c r="A338" s="4" t="s">
        <v>786</v>
      </c>
      <c r="B338" s="5">
        <v>45713</v>
      </c>
      <c r="C338" s="4" t="s">
        <v>120</v>
      </c>
      <c r="D338" s="4" t="s">
        <v>401</v>
      </c>
      <c r="E338" s="4" t="s">
        <v>54</v>
      </c>
      <c r="F338" s="4" t="s">
        <v>71</v>
      </c>
      <c r="G338" s="4" t="s">
        <v>17</v>
      </c>
      <c r="H338" s="4" t="s">
        <v>31</v>
      </c>
      <c r="I338" s="6">
        <v>2</v>
      </c>
      <c r="J338" s="6">
        <v>2820</v>
      </c>
      <c r="K338" s="6">
        <v>2365.5100000000002</v>
      </c>
      <c r="L338" s="6">
        <v>454.49</v>
      </c>
    </row>
    <row r="339" spans="1:12" x14ac:dyDescent="0.3">
      <c r="A339" s="4" t="s">
        <v>787</v>
      </c>
      <c r="B339" s="5">
        <v>45545</v>
      </c>
      <c r="C339" s="4" t="s">
        <v>594</v>
      </c>
      <c r="D339" s="4" t="s">
        <v>762</v>
      </c>
      <c r="E339" s="4" t="s">
        <v>29</v>
      </c>
      <c r="F339" s="4" t="s">
        <v>30</v>
      </c>
      <c r="G339" s="4" t="s">
        <v>24</v>
      </c>
      <c r="H339" s="4" t="s">
        <v>166</v>
      </c>
      <c r="I339" s="6">
        <v>4</v>
      </c>
      <c r="J339" s="6">
        <v>5992</v>
      </c>
      <c r="K339" s="6">
        <v>4574.3999999999996</v>
      </c>
      <c r="L339" s="6">
        <v>1417.6</v>
      </c>
    </row>
    <row r="340" spans="1:12" x14ac:dyDescent="0.3">
      <c r="A340" s="4" t="s">
        <v>788</v>
      </c>
      <c r="B340" s="5">
        <v>45369</v>
      </c>
      <c r="C340" s="4" t="s">
        <v>152</v>
      </c>
      <c r="D340" s="4" t="s">
        <v>305</v>
      </c>
      <c r="E340" s="4" t="s">
        <v>29</v>
      </c>
      <c r="F340" s="4" t="s">
        <v>30</v>
      </c>
      <c r="G340" s="4" t="s">
        <v>17</v>
      </c>
      <c r="H340" s="4" t="s">
        <v>31</v>
      </c>
      <c r="I340" s="6">
        <v>5</v>
      </c>
      <c r="J340" s="6">
        <v>18465</v>
      </c>
      <c r="K340" s="6">
        <v>12234.02</v>
      </c>
      <c r="L340" s="6">
        <v>6230.98</v>
      </c>
    </row>
    <row r="341" spans="1:12" x14ac:dyDescent="0.3">
      <c r="A341" s="4" t="s">
        <v>789</v>
      </c>
      <c r="B341" s="5">
        <v>45294</v>
      </c>
      <c r="C341" s="4" t="s">
        <v>152</v>
      </c>
      <c r="D341" s="4" t="s">
        <v>138</v>
      </c>
      <c r="E341" s="4" t="s">
        <v>54</v>
      </c>
      <c r="F341" s="4" t="s">
        <v>71</v>
      </c>
      <c r="G341" s="4" t="s">
        <v>40</v>
      </c>
      <c r="H341" s="4" t="s">
        <v>41</v>
      </c>
      <c r="I341" s="6">
        <v>8</v>
      </c>
      <c r="J341" s="6">
        <v>34384</v>
      </c>
      <c r="K341" s="6">
        <v>22287.25</v>
      </c>
      <c r="L341" s="6">
        <v>12096.75</v>
      </c>
    </row>
    <row r="342" spans="1:12" x14ac:dyDescent="0.3">
      <c r="A342" s="4" t="s">
        <v>790</v>
      </c>
      <c r="B342" s="5">
        <v>45508</v>
      </c>
      <c r="C342" s="4" t="s">
        <v>200</v>
      </c>
      <c r="D342" s="4" t="s">
        <v>255</v>
      </c>
      <c r="E342" s="4" t="s">
        <v>54</v>
      </c>
      <c r="F342" s="4" t="s">
        <v>142</v>
      </c>
      <c r="G342" s="4" t="s">
        <v>35</v>
      </c>
      <c r="H342" s="4" t="s">
        <v>45</v>
      </c>
      <c r="I342" s="6">
        <v>7</v>
      </c>
      <c r="J342" s="6">
        <v>14588</v>
      </c>
      <c r="K342" s="6">
        <v>12260.32</v>
      </c>
      <c r="L342" s="6">
        <v>2327.6799999999998</v>
      </c>
    </row>
    <row r="343" spans="1:12" x14ac:dyDescent="0.3">
      <c r="A343" s="4" t="s">
        <v>791</v>
      </c>
      <c r="B343" s="5">
        <v>45788</v>
      </c>
      <c r="C343" s="4" t="s">
        <v>792</v>
      </c>
      <c r="D343" s="4" t="s">
        <v>793</v>
      </c>
      <c r="E343" s="4" t="s">
        <v>54</v>
      </c>
      <c r="F343" s="4" t="s">
        <v>55</v>
      </c>
      <c r="G343" s="4" t="s">
        <v>40</v>
      </c>
      <c r="H343" s="4" t="s">
        <v>41</v>
      </c>
      <c r="I343" s="6">
        <v>9</v>
      </c>
      <c r="J343" s="6">
        <v>12321</v>
      </c>
      <c r="K343" s="6">
        <v>8869.18</v>
      </c>
      <c r="L343" s="6">
        <v>3451.82</v>
      </c>
    </row>
    <row r="344" spans="1:12" x14ac:dyDescent="0.3">
      <c r="A344" s="4" t="s">
        <v>794</v>
      </c>
      <c r="B344" s="5">
        <v>45453</v>
      </c>
      <c r="C344" s="4" t="s">
        <v>795</v>
      </c>
      <c r="D344" s="4" t="s">
        <v>369</v>
      </c>
      <c r="E344" s="4" t="s">
        <v>15</v>
      </c>
      <c r="F344" s="4" t="s">
        <v>16</v>
      </c>
      <c r="G344" s="4" t="s">
        <v>17</v>
      </c>
      <c r="H344" s="4" t="s">
        <v>31</v>
      </c>
      <c r="I344" s="6">
        <v>8</v>
      </c>
      <c r="J344" s="6">
        <v>3464</v>
      </c>
      <c r="K344" s="6">
        <v>2034.31</v>
      </c>
      <c r="L344" s="6">
        <v>1429.69</v>
      </c>
    </row>
    <row r="345" spans="1:12" x14ac:dyDescent="0.3">
      <c r="A345" s="4" t="s">
        <v>796</v>
      </c>
      <c r="B345" s="5">
        <v>45572</v>
      </c>
      <c r="C345" s="4" t="s">
        <v>152</v>
      </c>
      <c r="D345" s="4" t="s">
        <v>797</v>
      </c>
      <c r="E345" s="4" t="s">
        <v>15</v>
      </c>
      <c r="F345" s="4" t="s">
        <v>63</v>
      </c>
      <c r="G345" s="4" t="s">
        <v>40</v>
      </c>
      <c r="H345" s="4" t="s">
        <v>56</v>
      </c>
      <c r="I345" s="6">
        <v>3</v>
      </c>
      <c r="J345" s="6">
        <v>8316</v>
      </c>
      <c r="K345" s="6">
        <v>4970.42</v>
      </c>
      <c r="L345" s="6">
        <v>3345.58</v>
      </c>
    </row>
    <row r="346" spans="1:12" x14ac:dyDescent="0.3">
      <c r="A346" s="4" t="s">
        <v>798</v>
      </c>
      <c r="B346" s="5">
        <v>45604</v>
      </c>
      <c r="C346" s="4" t="s">
        <v>799</v>
      </c>
      <c r="D346" s="4" t="s">
        <v>800</v>
      </c>
      <c r="E346" s="4" t="s">
        <v>54</v>
      </c>
      <c r="F346" s="4" t="s">
        <v>142</v>
      </c>
      <c r="G346" s="4" t="s">
        <v>40</v>
      </c>
      <c r="H346" s="4" t="s">
        <v>41</v>
      </c>
      <c r="I346" s="6">
        <v>3</v>
      </c>
      <c r="J346" s="6">
        <v>2172</v>
      </c>
      <c r="K346" s="6">
        <v>1452.86</v>
      </c>
      <c r="L346" s="6">
        <v>719.14</v>
      </c>
    </row>
    <row r="347" spans="1:12" x14ac:dyDescent="0.3">
      <c r="A347" s="4" t="s">
        <v>801</v>
      </c>
      <c r="B347" s="5">
        <v>45427</v>
      </c>
      <c r="C347" s="4" t="s">
        <v>802</v>
      </c>
      <c r="D347" s="4" t="s">
        <v>204</v>
      </c>
      <c r="E347" s="4" t="s">
        <v>15</v>
      </c>
      <c r="F347" s="4" t="s">
        <v>90</v>
      </c>
      <c r="G347" s="4" t="s">
        <v>24</v>
      </c>
      <c r="H347" s="4" t="s">
        <v>50</v>
      </c>
      <c r="I347" s="6">
        <v>1</v>
      </c>
      <c r="J347" s="6">
        <v>2048</v>
      </c>
      <c r="K347" s="6">
        <v>1419.35</v>
      </c>
      <c r="L347" s="6">
        <v>628.65</v>
      </c>
    </row>
    <row r="348" spans="1:12" x14ac:dyDescent="0.3">
      <c r="A348" s="4" t="s">
        <v>803</v>
      </c>
      <c r="B348" s="5">
        <v>45724</v>
      </c>
      <c r="C348" s="4" t="s">
        <v>403</v>
      </c>
      <c r="D348" s="4" t="s">
        <v>804</v>
      </c>
      <c r="E348" s="4" t="s">
        <v>22</v>
      </c>
      <c r="F348" s="4" t="s">
        <v>23</v>
      </c>
      <c r="G348" s="4" t="s">
        <v>24</v>
      </c>
      <c r="H348" s="4" t="s">
        <v>25</v>
      </c>
      <c r="I348" s="6">
        <v>6</v>
      </c>
      <c r="J348" s="6">
        <v>7722</v>
      </c>
      <c r="K348" s="6">
        <v>6536.26</v>
      </c>
      <c r="L348" s="6">
        <v>1185.74</v>
      </c>
    </row>
    <row r="349" spans="1:12" x14ac:dyDescent="0.3">
      <c r="A349" s="4" t="s">
        <v>805</v>
      </c>
      <c r="B349" s="5">
        <v>45668</v>
      </c>
      <c r="C349" s="4" t="s">
        <v>137</v>
      </c>
      <c r="D349" s="4" t="s">
        <v>377</v>
      </c>
      <c r="E349" s="4" t="s">
        <v>15</v>
      </c>
      <c r="F349" s="4" t="s">
        <v>16</v>
      </c>
      <c r="G349" s="4" t="s">
        <v>35</v>
      </c>
      <c r="H349" s="4" t="s">
        <v>36</v>
      </c>
      <c r="I349" s="6">
        <v>2</v>
      </c>
      <c r="J349" s="6">
        <v>2278</v>
      </c>
      <c r="K349" s="6">
        <v>1323.43</v>
      </c>
      <c r="L349" s="6">
        <v>954.57</v>
      </c>
    </row>
    <row r="350" spans="1:12" x14ac:dyDescent="0.3">
      <c r="A350" s="4" t="s">
        <v>806</v>
      </c>
      <c r="B350" s="5">
        <v>45300</v>
      </c>
      <c r="C350" s="4" t="s">
        <v>652</v>
      </c>
      <c r="D350" s="4" t="s">
        <v>347</v>
      </c>
      <c r="E350" s="4" t="s">
        <v>22</v>
      </c>
      <c r="F350" s="4" t="s">
        <v>23</v>
      </c>
      <c r="G350" s="4" t="s">
        <v>17</v>
      </c>
      <c r="H350" s="4" t="s">
        <v>31</v>
      </c>
      <c r="I350" s="6">
        <v>3</v>
      </c>
      <c r="J350" s="6">
        <v>2580</v>
      </c>
      <c r="K350" s="6">
        <v>1829.61</v>
      </c>
      <c r="L350" s="6">
        <v>750.39</v>
      </c>
    </row>
    <row r="351" spans="1:12" x14ac:dyDescent="0.3">
      <c r="A351" s="4" t="s">
        <v>807</v>
      </c>
      <c r="B351" s="5">
        <v>45745</v>
      </c>
      <c r="C351" s="4" t="s">
        <v>695</v>
      </c>
      <c r="D351" s="4" t="s">
        <v>14</v>
      </c>
      <c r="E351" s="4" t="s">
        <v>54</v>
      </c>
      <c r="F351" s="4" t="s">
        <v>71</v>
      </c>
      <c r="G351" s="4" t="s">
        <v>40</v>
      </c>
      <c r="H351" s="4" t="s">
        <v>56</v>
      </c>
      <c r="I351" s="6">
        <v>3</v>
      </c>
      <c r="J351" s="6">
        <v>11016</v>
      </c>
      <c r="K351" s="6">
        <v>8094.81</v>
      </c>
      <c r="L351" s="6">
        <v>2921.19</v>
      </c>
    </row>
    <row r="352" spans="1:12" x14ac:dyDescent="0.3">
      <c r="A352" s="4" t="s">
        <v>808</v>
      </c>
      <c r="B352" s="5">
        <v>45731</v>
      </c>
      <c r="C352" s="4" t="s">
        <v>61</v>
      </c>
      <c r="D352" s="4" t="s">
        <v>599</v>
      </c>
      <c r="E352" s="4" t="s">
        <v>15</v>
      </c>
      <c r="F352" s="4" t="s">
        <v>16</v>
      </c>
      <c r="G352" s="4" t="s">
        <v>24</v>
      </c>
      <c r="H352" s="4" t="s">
        <v>50</v>
      </c>
      <c r="I352" s="6">
        <v>10</v>
      </c>
      <c r="J352" s="6">
        <v>34450</v>
      </c>
      <c r="K352" s="6">
        <v>22580.62</v>
      </c>
      <c r="L352" s="6">
        <v>11869.38</v>
      </c>
    </row>
    <row r="353" spans="1:12" x14ac:dyDescent="0.3">
      <c r="A353" s="4" t="s">
        <v>809</v>
      </c>
      <c r="B353" s="5">
        <v>45906</v>
      </c>
      <c r="C353" s="4" t="s">
        <v>810</v>
      </c>
      <c r="D353" s="4" t="s">
        <v>229</v>
      </c>
      <c r="E353" s="4" t="s">
        <v>29</v>
      </c>
      <c r="F353" s="4" t="s">
        <v>49</v>
      </c>
      <c r="G353" s="4" t="s">
        <v>17</v>
      </c>
      <c r="H353" s="4" t="s">
        <v>31</v>
      </c>
      <c r="I353" s="6">
        <v>2</v>
      </c>
      <c r="J353" s="6">
        <v>4664</v>
      </c>
      <c r="K353" s="6">
        <v>3339.51</v>
      </c>
      <c r="L353" s="6">
        <v>1324.49</v>
      </c>
    </row>
    <row r="354" spans="1:12" x14ac:dyDescent="0.3">
      <c r="A354" s="4" t="s">
        <v>811</v>
      </c>
      <c r="B354" s="5">
        <v>45693</v>
      </c>
      <c r="C354" s="4" t="s">
        <v>812</v>
      </c>
      <c r="D354" s="4" t="s">
        <v>813</v>
      </c>
      <c r="E354" s="4" t="s">
        <v>54</v>
      </c>
      <c r="F354" s="4" t="s">
        <v>142</v>
      </c>
      <c r="G354" s="4" t="s">
        <v>35</v>
      </c>
      <c r="H354" s="4" t="s">
        <v>45</v>
      </c>
      <c r="I354" s="6">
        <v>10</v>
      </c>
      <c r="J354" s="6">
        <v>44740</v>
      </c>
      <c r="K354" s="6">
        <v>27139.01</v>
      </c>
      <c r="L354" s="6">
        <v>17600.990000000002</v>
      </c>
    </row>
    <row r="355" spans="1:12" x14ac:dyDescent="0.3">
      <c r="A355" s="4" t="s">
        <v>814</v>
      </c>
      <c r="B355" s="5">
        <v>45900</v>
      </c>
      <c r="C355" s="4" t="s">
        <v>815</v>
      </c>
      <c r="D355" s="4" t="s">
        <v>816</v>
      </c>
      <c r="E355" s="4" t="s">
        <v>29</v>
      </c>
      <c r="F355" s="4" t="s">
        <v>49</v>
      </c>
      <c r="G355" s="4" t="s">
        <v>35</v>
      </c>
      <c r="H355" s="4" t="s">
        <v>36</v>
      </c>
      <c r="I355" s="6">
        <v>2</v>
      </c>
      <c r="J355" s="6">
        <v>4548</v>
      </c>
      <c r="K355" s="6">
        <v>3183.03</v>
      </c>
      <c r="L355" s="6">
        <v>1364.97</v>
      </c>
    </row>
    <row r="356" spans="1:12" x14ac:dyDescent="0.3">
      <c r="A356" s="4" t="s">
        <v>817</v>
      </c>
      <c r="B356" s="5">
        <v>45874</v>
      </c>
      <c r="C356" s="4" t="s">
        <v>818</v>
      </c>
      <c r="D356" s="4" t="s">
        <v>381</v>
      </c>
      <c r="E356" s="4" t="s">
        <v>15</v>
      </c>
      <c r="F356" s="4" t="s">
        <v>63</v>
      </c>
      <c r="G356" s="4" t="s">
        <v>40</v>
      </c>
      <c r="H356" s="4" t="s">
        <v>41</v>
      </c>
      <c r="I356" s="6">
        <v>3</v>
      </c>
      <c r="J356" s="6">
        <v>10404</v>
      </c>
      <c r="K356" s="6">
        <v>8408.9699999999993</v>
      </c>
      <c r="L356" s="6">
        <v>1995.03</v>
      </c>
    </row>
    <row r="357" spans="1:12" x14ac:dyDescent="0.3">
      <c r="A357" s="4" t="s">
        <v>819</v>
      </c>
      <c r="B357" s="5">
        <v>45512</v>
      </c>
      <c r="C357" s="4" t="s">
        <v>680</v>
      </c>
      <c r="D357" s="4" t="s">
        <v>784</v>
      </c>
      <c r="E357" s="4" t="s">
        <v>29</v>
      </c>
      <c r="F357" s="4" t="s">
        <v>49</v>
      </c>
      <c r="G357" s="4" t="s">
        <v>24</v>
      </c>
      <c r="H357" s="4" t="s">
        <v>50</v>
      </c>
      <c r="I357" s="6">
        <v>1</v>
      </c>
      <c r="J357" s="6">
        <v>853</v>
      </c>
      <c r="K357" s="6">
        <v>472.68</v>
      </c>
      <c r="L357" s="6">
        <v>380.32</v>
      </c>
    </row>
    <row r="358" spans="1:12" x14ac:dyDescent="0.3">
      <c r="A358" s="4" t="s">
        <v>820</v>
      </c>
      <c r="B358" s="5">
        <v>45703</v>
      </c>
      <c r="C358" s="4" t="s">
        <v>821</v>
      </c>
      <c r="D358" s="4" t="s">
        <v>78</v>
      </c>
      <c r="E358" s="4" t="s">
        <v>22</v>
      </c>
      <c r="F358" s="4" t="s">
        <v>79</v>
      </c>
      <c r="G358" s="4" t="s">
        <v>40</v>
      </c>
      <c r="H358" s="4" t="s">
        <v>99</v>
      </c>
      <c r="I358" s="6">
        <v>9</v>
      </c>
      <c r="J358" s="6">
        <v>33327</v>
      </c>
      <c r="K358" s="6">
        <v>22564.799999999999</v>
      </c>
      <c r="L358" s="6">
        <v>10762.2</v>
      </c>
    </row>
    <row r="359" spans="1:12" x14ac:dyDescent="0.3">
      <c r="A359" s="4" t="s">
        <v>822</v>
      </c>
      <c r="B359" s="5">
        <v>45500</v>
      </c>
      <c r="C359" s="4" t="s">
        <v>349</v>
      </c>
      <c r="D359" s="4" t="s">
        <v>78</v>
      </c>
      <c r="E359" s="4" t="s">
        <v>29</v>
      </c>
      <c r="F359" s="4" t="s">
        <v>49</v>
      </c>
      <c r="G359" s="4" t="s">
        <v>24</v>
      </c>
      <c r="H359" s="4" t="s">
        <v>50</v>
      </c>
      <c r="I359" s="6">
        <v>5</v>
      </c>
      <c r="J359" s="6">
        <v>4735</v>
      </c>
      <c r="K359" s="6">
        <v>3330.56</v>
      </c>
      <c r="L359" s="6">
        <v>1404.44</v>
      </c>
    </row>
    <row r="360" spans="1:12" x14ac:dyDescent="0.3">
      <c r="A360" s="4" t="s">
        <v>823</v>
      </c>
      <c r="B360" s="5">
        <v>45536</v>
      </c>
      <c r="C360" s="4" t="s">
        <v>472</v>
      </c>
      <c r="D360" s="4" t="s">
        <v>53</v>
      </c>
      <c r="E360" s="4" t="s">
        <v>54</v>
      </c>
      <c r="F360" s="4" t="s">
        <v>55</v>
      </c>
      <c r="G360" s="4" t="s">
        <v>17</v>
      </c>
      <c r="H360" s="4" t="s">
        <v>72</v>
      </c>
      <c r="I360" s="6">
        <v>2</v>
      </c>
      <c r="J360" s="6">
        <v>5680</v>
      </c>
      <c r="K360" s="6">
        <v>4314.54</v>
      </c>
      <c r="L360" s="6">
        <v>1365.46</v>
      </c>
    </row>
    <row r="361" spans="1:12" x14ac:dyDescent="0.3">
      <c r="A361" s="4" t="s">
        <v>824</v>
      </c>
      <c r="B361" s="5">
        <v>45965</v>
      </c>
      <c r="C361" s="4" t="s">
        <v>556</v>
      </c>
      <c r="D361" s="4" t="s">
        <v>98</v>
      </c>
      <c r="E361" s="4" t="s">
        <v>15</v>
      </c>
      <c r="F361" s="4" t="s">
        <v>63</v>
      </c>
      <c r="G361" s="4" t="s">
        <v>24</v>
      </c>
      <c r="H361" s="4" t="s">
        <v>50</v>
      </c>
      <c r="I361" s="6">
        <v>8</v>
      </c>
      <c r="J361" s="6">
        <v>6000</v>
      </c>
      <c r="K361" s="6">
        <v>3856.72</v>
      </c>
      <c r="L361" s="6">
        <v>2143.2800000000002</v>
      </c>
    </row>
    <row r="362" spans="1:12" x14ac:dyDescent="0.3">
      <c r="A362" s="4" t="s">
        <v>825</v>
      </c>
      <c r="B362" s="5">
        <v>45647</v>
      </c>
      <c r="C362" s="4" t="s">
        <v>826</v>
      </c>
      <c r="D362" s="4" t="s">
        <v>827</v>
      </c>
      <c r="E362" s="4" t="s">
        <v>15</v>
      </c>
      <c r="F362" s="4" t="s">
        <v>90</v>
      </c>
      <c r="G362" s="4" t="s">
        <v>24</v>
      </c>
      <c r="H362" s="4" t="s">
        <v>166</v>
      </c>
      <c r="I362" s="6">
        <v>1</v>
      </c>
      <c r="J362" s="6">
        <v>1642</v>
      </c>
      <c r="K362" s="6">
        <v>1147.6300000000001</v>
      </c>
      <c r="L362" s="6">
        <v>494.37</v>
      </c>
    </row>
    <row r="363" spans="1:12" x14ac:dyDescent="0.3">
      <c r="A363" s="4" t="s">
        <v>828</v>
      </c>
      <c r="B363" s="5">
        <v>45412</v>
      </c>
      <c r="C363" s="4" t="s">
        <v>438</v>
      </c>
      <c r="D363" s="4" t="s">
        <v>829</v>
      </c>
      <c r="E363" s="4" t="s">
        <v>54</v>
      </c>
      <c r="F363" s="4" t="s">
        <v>142</v>
      </c>
      <c r="G363" s="4" t="s">
        <v>40</v>
      </c>
      <c r="H363" s="4" t="s">
        <v>41</v>
      </c>
      <c r="I363" s="6">
        <v>3</v>
      </c>
      <c r="J363" s="6">
        <v>7503</v>
      </c>
      <c r="K363" s="6">
        <v>5776.42</v>
      </c>
      <c r="L363" s="6">
        <v>1726.58</v>
      </c>
    </row>
    <row r="364" spans="1:12" x14ac:dyDescent="0.3">
      <c r="A364" s="4" t="s">
        <v>830</v>
      </c>
      <c r="B364" s="5">
        <v>45882</v>
      </c>
      <c r="C364" s="4" t="s">
        <v>831</v>
      </c>
      <c r="D364" s="4" t="s">
        <v>375</v>
      </c>
      <c r="E364" s="4" t="s">
        <v>22</v>
      </c>
      <c r="F364" s="4" t="s">
        <v>67</v>
      </c>
      <c r="G364" s="4" t="s">
        <v>35</v>
      </c>
      <c r="H364" s="4" t="s">
        <v>45</v>
      </c>
      <c r="I364" s="6">
        <v>2</v>
      </c>
      <c r="J364" s="6">
        <v>4908</v>
      </c>
      <c r="K364" s="6">
        <v>3748.22</v>
      </c>
      <c r="L364" s="6">
        <v>1159.78</v>
      </c>
    </row>
    <row r="365" spans="1:12" x14ac:dyDescent="0.3">
      <c r="A365" s="4" t="s">
        <v>832</v>
      </c>
      <c r="B365" s="5">
        <v>45462</v>
      </c>
      <c r="C365" s="4" t="s">
        <v>269</v>
      </c>
      <c r="D365" s="4" t="s">
        <v>296</v>
      </c>
      <c r="E365" s="4" t="s">
        <v>22</v>
      </c>
      <c r="F365" s="4" t="s">
        <v>79</v>
      </c>
      <c r="G365" s="4" t="s">
        <v>40</v>
      </c>
      <c r="H365" s="4" t="s">
        <v>41</v>
      </c>
      <c r="I365" s="6">
        <v>1</v>
      </c>
      <c r="J365" s="6">
        <v>4392</v>
      </c>
      <c r="K365" s="6">
        <v>3547.89</v>
      </c>
      <c r="L365" s="6">
        <v>844.11</v>
      </c>
    </row>
    <row r="366" spans="1:12" x14ac:dyDescent="0.3">
      <c r="A366" s="4" t="s">
        <v>833</v>
      </c>
      <c r="B366" s="5">
        <v>45294</v>
      </c>
      <c r="C366" s="4" t="s">
        <v>834</v>
      </c>
      <c r="D366" s="4" t="s">
        <v>249</v>
      </c>
      <c r="E366" s="4" t="s">
        <v>54</v>
      </c>
      <c r="F366" s="4" t="s">
        <v>142</v>
      </c>
      <c r="G366" s="4" t="s">
        <v>17</v>
      </c>
      <c r="H366" s="4" t="s">
        <v>72</v>
      </c>
      <c r="I366" s="6">
        <v>2</v>
      </c>
      <c r="J366" s="6">
        <v>4342</v>
      </c>
      <c r="K366" s="6">
        <v>3353.04</v>
      </c>
      <c r="L366" s="6">
        <v>988.96</v>
      </c>
    </row>
    <row r="367" spans="1:12" x14ac:dyDescent="0.3">
      <c r="A367" s="4" t="s">
        <v>835</v>
      </c>
      <c r="B367" s="5">
        <v>45475</v>
      </c>
      <c r="C367" s="4" t="s">
        <v>836</v>
      </c>
      <c r="D367" s="4" t="s">
        <v>399</v>
      </c>
      <c r="E367" s="4" t="s">
        <v>29</v>
      </c>
      <c r="F367" s="4" t="s">
        <v>102</v>
      </c>
      <c r="G367" s="4" t="s">
        <v>35</v>
      </c>
      <c r="H367" s="4" t="s">
        <v>80</v>
      </c>
      <c r="I367" s="6">
        <v>6</v>
      </c>
      <c r="J367" s="6">
        <v>20622</v>
      </c>
      <c r="K367" s="6">
        <v>17035.169999999998</v>
      </c>
      <c r="L367" s="6">
        <v>3586.83</v>
      </c>
    </row>
    <row r="368" spans="1:12" x14ac:dyDescent="0.3">
      <c r="A368" s="4" t="s">
        <v>837</v>
      </c>
      <c r="B368" s="5">
        <v>45619</v>
      </c>
      <c r="C368" s="4" t="s">
        <v>271</v>
      </c>
      <c r="D368" s="4" t="s">
        <v>650</v>
      </c>
      <c r="E368" s="4" t="s">
        <v>22</v>
      </c>
      <c r="F368" s="4" t="s">
        <v>23</v>
      </c>
      <c r="G368" s="4" t="s">
        <v>40</v>
      </c>
      <c r="H368" s="4" t="s">
        <v>41</v>
      </c>
      <c r="I368" s="6">
        <v>4</v>
      </c>
      <c r="J368" s="6">
        <v>14836</v>
      </c>
      <c r="K368" s="6">
        <v>12236.09</v>
      </c>
      <c r="L368" s="6">
        <v>2599.91</v>
      </c>
    </row>
    <row r="369" spans="1:12" x14ac:dyDescent="0.3">
      <c r="A369" s="4" t="s">
        <v>838</v>
      </c>
      <c r="B369" s="5">
        <v>45820</v>
      </c>
      <c r="C369" s="4" t="s">
        <v>446</v>
      </c>
      <c r="D369" s="4" t="s">
        <v>839</v>
      </c>
      <c r="E369" s="4" t="s">
        <v>54</v>
      </c>
      <c r="F369" s="4" t="s">
        <v>142</v>
      </c>
      <c r="G369" s="4" t="s">
        <v>35</v>
      </c>
      <c r="H369" s="4" t="s">
        <v>45</v>
      </c>
      <c r="I369" s="6">
        <v>1</v>
      </c>
      <c r="J369" s="6">
        <v>1769</v>
      </c>
      <c r="K369" s="6">
        <v>1091.3900000000001</v>
      </c>
      <c r="L369" s="6">
        <v>677.61</v>
      </c>
    </row>
    <row r="370" spans="1:12" x14ac:dyDescent="0.3">
      <c r="A370" s="4" t="s">
        <v>840</v>
      </c>
      <c r="B370" s="5">
        <v>45759</v>
      </c>
      <c r="C370" s="4" t="s">
        <v>841</v>
      </c>
      <c r="D370" s="4" t="s">
        <v>431</v>
      </c>
      <c r="E370" s="4" t="s">
        <v>15</v>
      </c>
      <c r="F370" s="4" t="s">
        <v>63</v>
      </c>
      <c r="G370" s="4" t="s">
        <v>40</v>
      </c>
      <c r="H370" s="4" t="s">
        <v>99</v>
      </c>
      <c r="I370" s="6">
        <v>5</v>
      </c>
      <c r="J370" s="6">
        <v>14905</v>
      </c>
      <c r="K370" s="6">
        <v>8584.02</v>
      </c>
      <c r="L370" s="6">
        <v>6320.98</v>
      </c>
    </row>
    <row r="371" spans="1:12" x14ac:dyDescent="0.3">
      <c r="A371" s="4" t="s">
        <v>842</v>
      </c>
      <c r="B371" s="5">
        <v>45897</v>
      </c>
      <c r="C371" s="4" t="s">
        <v>843</v>
      </c>
      <c r="D371" s="4" t="s">
        <v>733</v>
      </c>
      <c r="E371" s="4" t="s">
        <v>29</v>
      </c>
      <c r="F371" s="4" t="s">
        <v>49</v>
      </c>
      <c r="G371" s="4" t="s">
        <v>17</v>
      </c>
      <c r="H371" s="4" t="s">
        <v>72</v>
      </c>
      <c r="I371" s="6">
        <v>5</v>
      </c>
      <c r="J371" s="6">
        <v>11435</v>
      </c>
      <c r="K371" s="6">
        <v>7880.75</v>
      </c>
      <c r="L371" s="6">
        <v>3554.25</v>
      </c>
    </row>
    <row r="372" spans="1:12" x14ac:dyDescent="0.3">
      <c r="A372" s="4" t="s">
        <v>844</v>
      </c>
      <c r="B372" s="5">
        <v>45646</v>
      </c>
      <c r="C372" s="4" t="s">
        <v>841</v>
      </c>
      <c r="D372" s="4" t="s">
        <v>829</v>
      </c>
      <c r="E372" s="4" t="s">
        <v>29</v>
      </c>
      <c r="F372" s="4" t="s">
        <v>102</v>
      </c>
      <c r="G372" s="4" t="s">
        <v>24</v>
      </c>
      <c r="H372" s="4" t="s">
        <v>25</v>
      </c>
      <c r="I372" s="6">
        <v>7</v>
      </c>
      <c r="J372" s="6">
        <v>3465</v>
      </c>
      <c r="K372" s="6">
        <v>2147.9499999999998</v>
      </c>
      <c r="L372" s="6">
        <v>1317.05</v>
      </c>
    </row>
    <row r="373" spans="1:12" x14ac:dyDescent="0.3">
      <c r="A373" s="4" t="s">
        <v>845</v>
      </c>
      <c r="B373" s="5">
        <v>45535</v>
      </c>
      <c r="C373" s="4" t="s">
        <v>584</v>
      </c>
      <c r="D373" s="4" t="s">
        <v>846</v>
      </c>
      <c r="E373" s="4" t="s">
        <v>15</v>
      </c>
      <c r="F373" s="4" t="s">
        <v>90</v>
      </c>
      <c r="G373" s="4" t="s">
        <v>35</v>
      </c>
      <c r="H373" s="4" t="s">
        <v>36</v>
      </c>
      <c r="I373" s="6">
        <v>5</v>
      </c>
      <c r="J373" s="6">
        <v>5755</v>
      </c>
      <c r="K373" s="6">
        <v>3519.52</v>
      </c>
      <c r="L373" s="6">
        <v>2235.48</v>
      </c>
    </row>
    <row r="374" spans="1:12" x14ac:dyDescent="0.3">
      <c r="A374" s="4" t="s">
        <v>847</v>
      </c>
      <c r="B374" s="5">
        <v>45529</v>
      </c>
      <c r="C374" s="4" t="s">
        <v>848</v>
      </c>
      <c r="D374" s="4" t="s">
        <v>728</v>
      </c>
      <c r="E374" s="4" t="s">
        <v>15</v>
      </c>
      <c r="F374" s="4" t="s">
        <v>16</v>
      </c>
      <c r="G374" s="4" t="s">
        <v>17</v>
      </c>
      <c r="H374" s="4" t="s">
        <v>18</v>
      </c>
      <c r="I374" s="6">
        <v>5</v>
      </c>
      <c r="J374" s="6">
        <v>5310</v>
      </c>
      <c r="K374" s="6">
        <v>2990.43</v>
      </c>
      <c r="L374" s="6">
        <v>2319.5700000000002</v>
      </c>
    </row>
    <row r="375" spans="1:12" x14ac:dyDescent="0.3">
      <c r="A375" s="4" t="s">
        <v>849</v>
      </c>
      <c r="B375" s="5">
        <v>45944</v>
      </c>
      <c r="C375" s="4" t="s">
        <v>594</v>
      </c>
      <c r="D375" s="4" t="s">
        <v>350</v>
      </c>
      <c r="E375" s="4" t="s">
        <v>54</v>
      </c>
      <c r="F375" s="4" t="s">
        <v>55</v>
      </c>
      <c r="G375" s="4" t="s">
        <v>17</v>
      </c>
      <c r="H375" s="4" t="s">
        <v>18</v>
      </c>
      <c r="I375" s="6">
        <v>2</v>
      </c>
      <c r="J375" s="6">
        <v>2164</v>
      </c>
      <c r="K375" s="6">
        <v>1518.32</v>
      </c>
      <c r="L375" s="6">
        <v>645.67999999999995</v>
      </c>
    </row>
    <row r="376" spans="1:12" x14ac:dyDescent="0.3">
      <c r="A376" s="4" t="s">
        <v>850</v>
      </c>
      <c r="B376" s="5">
        <v>45614</v>
      </c>
      <c r="C376" s="4" t="s">
        <v>594</v>
      </c>
      <c r="D376" s="4" t="s">
        <v>232</v>
      </c>
      <c r="E376" s="4" t="s">
        <v>15</v>
      </c>
      <c r="F376" s="4" t="s">
        <v>63</v>
      </c>
      <c r="G376" s="4" t="s">
        <v>17</v>
      </c>
      <c r="H376" s="4" t="s">
        <v>31</v>
      </c>
      <c r="I376" s="6">
        <v>3</v>
      </c>
      <c r="J376" s="6">
        <v>6717</v>
      </c>
      <c r="K376" s="6">
        <v>4282.1099999999997</v>
      </c>
      <c r="L376" s="6">
        <v>2434.89</v>
      </c>
    </row>
    <row r="377" spans="1:12" x14ac:dyDescent="0.3">
      <c r="A377" s="4" t="s">
        <v>851</v>
      </c>
      <c r="B377" s="5">
        <v>45431</v>
      </c>
      <c r="C377" s="4" t="s">
        <v>313</v>
      </c>
      <c r="D377" s="4" t="s">
        <v>852</v>
      </c>
      <c r="E377" s="4" t="s">
        <v>54</v>
      </c>
      <c r="F377" s="4" t="s">
        <v>55</v>
      </c>
      <c r="G377" s="4" t="s">
        <v>40</v>
      </c>
      <c r="H377" s="4" t="s">
        <v>99</v>
      </c>
      <c r="I377" s="6">
        <v>4</v>
      </c>
      <c r="J377" s="6">
        <v>3644</v>
      </c>
      <c r="K377" s="6">
        <v>3035.69</v>
      </c>
      <c r="L377" s="6">
        <v>608.30999999999995</v>
      </c>
    </row>
    <row r="378" spans="1:12" x14ac:dyDescent="0.3">
      <c r="A378" s="4" t="s">
        <v>853</v>
      </c>
      <c r="B378" s="5">
        <v>45415</v>
      </c>
      <c r="C378" s="4" t="s">
        <v>38</v>
      </c>
      <c r="D378" s="4" t="s">
        <v>359</v>
      </c>
      <c r="E378" s="4" t="s">
        <v>29</v>
      </c>
      <c r="F378" s="4" t="s">
        <v>102</v>
      </c>
      <c r="G378" s="4" t="s">
        <v>24</v>
      </c>
      <c r="H378" s="4" t="s">
        <v>166</v>
      </c>
      <c r="I378" s="6">
        <v>8</v>
      </c>
      <c r="J378" s="6">
        <v>32936</v>
      </c>
      <c r="K378" s="6">
        <v>21217.7</v>
      </c>
      <c r="L378" s="6">
        <v>11718.3</v>
      </c>
    </row>
    <row r="379" spans="1:12" x14ac:dyDescent="0.3">
      <c r="A379" s="4" t="s">
        <v>854</v>
      </c>
      <c r="B379" s="5">
        <v>45384</v>
      </c>
      <c r="C379" s="4" t="s">
        <v>129</v>
      </c>
      <c r="D379" s="4" t="s">
        <v>190</v>
      </c>
      <c r="E379" s="4" t="s">
        <v>29</v>
      </c>
      <c r="F379" s="4" t="s">
        <v>49</v>
      </c>
      <c r="G379" s="4" t="s">
        <v>40</v>
      </c>
      <c r="H379" s="4" t="s">
        <v>99</v>
      </c>
      <c r="I379" s="6">
        <v>8</v>
      </c>
      <c r="J379" s="6">
        <v>19760</v>
      </c>
      <c r="K379" s="6">
        <v>15921.51</v>
      </c>
      <c r="L379" s="6">
        <v>3838.49</v>
      </c>
    </row>
    <row r="380" spans="1:12" x14ac:dyDescent="0.3">
      <c r="A380" s="4" t="s">
        <v>855</v>
      </c>
      <c r="B380" s="5">
        <v>45656</v>
      </c>
      <c r="C380" s="4" t="s">
        <v>856</v>
      </c>
      <c r="D380" s="4" t="s">
        <v>857</v>
      </c>
      <c r="E380" s="4" t="s">
        <v>15</v>
      </c>
      <c r="F380" s="4" t="s">
        <v>16</v>
      </c>
      <c r="G380" s="4" t="s">
        <v>40</v>
      </c>
      <c r="H380" s="4" t="s">
        <v>41</v>
      </c>
      <c r="I380" s="6">
        <v>3</v>
      </c>
      <c r="J380" s="6">
        <v>3141</v>
      </c>
      <c r="K380" s="6">
        <v>2397.67</v>
      </c>
      <c r="L380" s="6">
        <v>743.33</v>
      </c>
    </row>
    <row r="381" spans="1:12" x14ac:dyDescent="0.3">
      <c r="A381" s="4" t="s">
        <v>858</v>
      </c>
      <c r="B381" s="5">
        <v>45706</v>
      </c>
      <c r="C381" s="4" t="s">
        <v>97</v>
      </c>
      <c r="D381" s="4" t="s">
        <v>769</v>
      </c>
      <c r="E381" s="4" t="s">
        <v>15</v>
      </c>
      <c r="F381" s="4" t="s">
        <v>90</v>
      </c>
      <c r="G381" s="4" t="s">
        <v>40</v>
      </c>
      <c r="H381" s="4" t="s">
        <v>99</v>
      </c>
      <c r="I381" s="6">
        <v>5</v>
      </c>
      <c r="J381" s="6">
        <v>8620</v>
      </c>
      <c r="K381" s="6">
        <v>4821.38</v>
      </c>
      <c r="L381" s="6">
        <v>3798.62</v>
      </c>
    </row>
    <row r="382" spans="1:12" x14ac:dyDescent="0.3">
      <c r="A382" s="4" t="s">
        <v>859</v>
      </c>
      <c r="B382" s="5">
        <v>45355</v>
      </c>
      <c r="C382" s="4" t="s">
        <v>168</v>
      </c>
      <c r="D382" s="4" t="s">
        <v>566</v>
      </c>
      <c r="E382" s="4" t="s">
        <v>29</v>
      </c>
      <c r="F382" s="4" t="s">
        <v>102</v>
      </c>
      <c r="G382" s="4" t="s">
        <v>35</v>
      </c>
      <c r="H382" s="4" t="s">
        <v>80</v>
      </c>
      <c r="I382" s="6">
        <v>2</v>
      </c>
      <c r="J382" s="6">
        <v>2890</v>
      </c>
      <c r="K382" s="6">
        <v>1694.8</v>
      </c>
      <c r="L382" s="6">
        <v>1195.2</v>
      </c>
    </row>
    <row r="383" spans="1:12" x14ac:dyDescent="0.3">
      <c r="A383" s="4" t="s">
        <v>860</v>
      </c>
      <c r="B383" s="5">
        <v>45368</v>
      </c>
      <c r="C383" s="4" t="s">
        <v>861</v>
      </c>
      <c r="D383" s="4" t="s">
        <v>862</v>
      </c>
      <c r="E383" s="4" t="s">
        <v>29</v>
      </c>
      <c r="F383" s="4" t="s">
        <v>49</v>
      </c>
      <c r="G383" s="4" t="s">
        <v>40</v>
      </c>
      <c r="H383" s="4" t="s">
        <v>41</v>
      </c>
      <c r="I383" s="6">
        <v>2</v>
      </c>
      <c r="J383" s="6">
        <v>4840</v>
      </c>
      <c r="K383" s="6">
        <v>3994.11</v>
      </c>
      <c r="L383" s="6">
        <v>845.89</v>
      </c>
    </row>
    <row r="384" spans="1:12" x14ac:dyDescent="0.3">
      <c r="A384" s="4" t="s">
        <v>863</v>
      </c>
      <c r="B384" s="5">
        <v>45631</v>
      </c>
      <c r="C384" s="4" t="s">
        <v>427</v>
      </c>
      <c r="D384" s="4" t="s">
        <v>475</v>
      </c>
      <c r="E384" s="4" t="s">
        <v>29</v>
      </c>
      <c r="F384" s="4" t="s">
        <v>30</v>
      </c>
      <c r="G384" s="4" t="s">
        <v>35</v>
      </c>
      <c r="H384" s="4" t="s">
        <v>80</v>
      </c>
      <c r="I384" s="6">
        <v>3</v>
      </c>
      <c r="J384" s="6">
        <v>3159</v>
      </c>
      <c r="K384" s="6">
        <v>2595.19</v>
      </c>
      <c r="L384" s="6">
        <v>563.80999999999995</v>
      </c>
    </row>
    <row r="385" spans="1:12" x14ac:dyDescent="0.3">
      <c r="A385" s="4" t="s">
        <v>864</v>
      </c>
      <c r="B385" s="5">
        <v>45696</v>
      </c>
      <c r="C385" s="4" t="s">
        <v>865</v>
      </c>
      <c r="D385" s="4" t="s">
        <v>575</v>
      </c>
      <c r="E385" s="4" t="s">
        <v>22</v>
      </c>
      <c r="F385" s="4" t="s">
        <v>23</v>
      </c>
      <c r="G385" s="4" t="s">
        <v>24</v>
      </c>
      <c r="H385" s="4" t="s">
        <v>166</v>
      </c>
      <c r="I385" s="6">
        <v>10</v>
      </c>
      <c r="J385" s="6">
        <v>38480</v>
      </c>
      <c r="K385" s="6">
        <v>30649.54</v>
      </c>
      <c r="L385" s="6">
        <v>7830.46</v>
      </c>
    </row>
    <row r="386" spans="1:12" x14ac:dyDescent="0.3">
      <c r="A386" s="4" t="s">
        <v>866</v>
      </c>
      <c r="B386" s="5">
        <v>45483</v>
      </c>
      <c r="C386" s="4" t="s">
        <v>279</v>
      </c>
      <c r="D386" s="4" t="s">
        <v>867</v>
      </c>
      <c r="E386" s="4" t="s">
        <v>22</v>
      </c>
      <c r="F386" s="4" t="s">
        <v>79</v>
      </c>
      <c r="G386" s="4" t="s">
        <v>35</v>
      </c>
      <c r="H386" s="4" t="s">
        <v>36</v>
      </c>
      <c r="I386" s="6">
        <v>3</v>
      </c>
      <c r="J386" s="6">
        <v>9597</v>
      </c>
      <c r="K386" s="6">
        <v>5896.54</v>
      </c>
      <c r="L386" s="6">
        <v>3700.46</v>
      </c>
    </row>
    <row r="387" spans="1:12" x14ac:dyDescent="0.3">
      <c r="A387" s="4" t="s">
        <v>868</v>
      </c>
      <c r="B387" s="5">
        <v>45802</v>
      </c>
      <c r="C387" s="4" t="s">
        <v>165</v>
      </c>
      <c r="D387" s="4" t="s">
        <v>869</v>
      </c>
      <c r="E387" s="4" t="s">
        <v>22</v>
      </c>
      <c r="F387" s="4" t="s">
        <v>23</v>
      </c>
      <c r="G387" s="4" t="s">
        <v>24</v>
      </c>
      <c r="H387" s="4" t="s">
        <v>25</v>
      </c>
      <c r="I387" s="6">
        <v>10</v>
      </c>
      <c r="J387" s="6">
        <v>23130</v>
      </c>
      <c r="K387" s="6">
        <v>17212.96</v>
      </c>
      <c r="L387" s="6">
        <v>5917.04</v>
      </c>
    </row>
    <row r="388" spans="1:12" x14ac:dyDescent="0.3">
      <c r="A388" s="4" t="s">
        <v>870</v>
      </c>
      <c r="B388" s="5">
        <v>45496</v>
      </c>
      <c r="C388" s="4" t="s">
        <v>700</v>
      </c>
      <c r="D388" s="4" t="s">
        <v>114</v>
      </c>
      <c r="E388" s="4" t="s">
        <v>22</v>
      </c>
      <c r="F388" s="4" t="s">
        <v>23</v>
      </c>
      <c r="G388" s="4" t="s">
        <v>24</v>
      </c>
      <c r="H388" s="4" t="s">
        <v>50</v>
      </c>
      <c r="I388" s="6">
        <v>5</v>
      </c>
      <c r="J388" s="6">
        <v>17185</v>
      </c>
      <c r="K388" s="6">
        <v>10159.27</v>
      </c>
      <c r="L388" s="6">
        <v>7025.73</v>
      </c>
    </row>
    <row r="389" spans="1:12" x14ac:dyDescent="0.3">
      <c r="A389" s="4" t="s">
        <v>871</v>
      </c>
      <c r="B389" s="5">
        <v>45788</v>
      </c>
      <c r="C389" s="4" t="s">
        <v>872</v>
      </c>
      <c r="D389" s="4" t="s">
        <v>246</v>
      </c>
      <c r="E389" s="4" t="s">
        <v>15</v>
      </c>
      <c r="F389" s="4" t="s">
        <v>63</v>
      </c>
      <c r="G389" s="4" t="s">
        <v>17</v>
      </c>
      <c r="H389" s="4" t="s">
        <v>18</v>
      </c>
      <c r="I389" s="6">
        <v>6</v>
      </c>
      <c r="J389" s="6">
        <v>25374</v>
      </c>
      <c r="K389" s="6">
        <v>18100.68</v>
      </c>
      <c r="L389" s="6">
        <v>7273.32</v>
      </c>
    </row>
    <row r="390" spans="1:12" x14ac:dyDescent="0.3">
      <c r="A390" s="4" t="s">
        <v>873</v>
      </c>
      <c r="B390" s="5">
        <v>45516</v>
      </c>
      <c r="C390" s="4" t="s">
        <v>438</v>
      </c>
      <c r="D390" s="4" t="s">
        <v>867</v>
      </c>
      <c r="E390" s="4" t="s">
        <v>54</v>
      </c>
      <c r="F390" s="4" t="s">
        <v>55</v>
      </c>
      <c r="G390" s="4" t="s">
        <v>40</v>
      </c>
      <c r="H390" s="4" t="s">
        <v>99</v>
      </c>
      <c r="I390" s="6">
        <v>3</v>
      </c>
      <c r="J390" s="6">
        <v>1539</v>
      </c>
      <c r="K390" s="6">
        <v>993.68</v>
      </c>
      <c r="L390" s="6">
        <v>545.32000000000005</v>
      </c>
    </row>
    <row r="391" spans="1:12" x14ac:dyDescent="0.3">
      <c r="A391" s="4" t="s">
        <v>874</v>
      </c>
      <c r="B391" s="5">
        <v>45394</v>
      </c>
      <c r="C391" s="4" t="s">
        <v>480</v>
      </c>
      <c r="D391" s="4" t="s">
        <v>264</v>
      </c>
      <c r="E391" s="4" t="s">
        <v>15</v>
      </c>
      <c r="F391" s="4" t="s">
        <v>63</v>
      </c>
      <c r="G391" s="4" t="s">
        <v>35</v>
      </c>
      <c r="H391" s="4" t="s">
        <v>45</v>
      </c>
      <c r="I391" s="6">
        <v>6</v>
      </c>
      <c r="J391" s="6">
        <v>13236</v>
      </c>
      <c r="K391" s="6">
        <v>11147.28</v>
      </c>
      <c r="L391" s="6">
        <v>2088.7199999999998</v>
      </c>
    </row>
    <row r="392" spans="1:12" x14ac:dyDescent="0.3">
      <c r="A392" s="4" t="s">
        <v>875</v>
      </c>
      <c r="B392" s="5">
        <v>45689</v>
      </c>
      <c r="C392" s="4" t="s">
        <v>110</v>
      </c>
      <c r="D392" s="4" t="s">
        <v>466</v>
      </c>
      <c r="E392" s="4" t="s">
        <v>54</v>
      </c>
      <c r="F392" s="4" t="s">
        <v>71</v>
      </c>
      <c r="G392" s="4" t="s">
        <v>17</v>
      </c>
      <c r="H392" s="4" t="s">
        <v>18</v>
      </c>
      <c r="I392" s="6">
        <v>1</v>
      </c>
      <c r="J392" s="6">
        <v>2097</v>
      </c>
      <c r="K392" s="6">
        <v>1515.52</v>
      </c>
      <c r="L392" s="6">
        <v>581.48</v>
      </c>
    </row>
    <row r="393" spans="1:12" x14ac:dyDescent="0.3">
      <c r="A393" s="4" t="s">
        <v>876</v>
      </c>
      <c r="B393" s="5">
        <v>45320</v>
      </c>
      <c r="C393" s="4" t="s">
        <v>764</v>
      </c>
      <c r="D393" s="4" t="s">
        <v>442</v>
      </c>
      <c r="E393" s="4" t="s">
        <v>29</v>
      </c>
      <c r="F393" s="4" t="s">
        <v>102</v>
      </c>
      <c r="G393" s="4" t="s">
        <v>17</v>
      </c>
      <c r="H393" s="4" t="s">
        <v>72</v>
      </c>
      <c r="I393" s="6">
        <v>6</v>
      </c>
      <c r="J393" s="6">
        <v>19434</v>
      </c>
      <c r="K393" s="6">
        <v>16017.39</v>
      </c>
      <c r="L393" s="6">
        <v>3416.61</v>
      </c>
    </row>
    <row r="394" spans="1:12" x14ac:dyDescent="0.3">
      <c r="A394" s="4" t="s">
        <v>877</v>
      </c>
      <c r="B394" s="5">
        <v>45794</v>
      </c>
      <c r="C394" s="4" t="s">
        <v>628</v>
      </c>
      <c r="D394" s="4" t="s">
        <v>439</v>
      </c>
      <c r="E394" s="4" t="s">
        <v>29</v>
      </c>
      <c r="F394" s="4" t="s">
        <v>30</v>
      </c>
      <c r="G394" s="4" t="s">
        <v>40</v>
      </c>
      <c r="H394" s="4" t="s">
        <v>56</v>
      </c>
      <c r="I394" s="6">
        <v>8</v>
      </c>
      <c r="J394" s="6">
        <v>37928</v>
      </c>
      <c r="K394" s="6">
        <v>24376.93</v>
      </c>
      <c r="L394" s="6">
        <v>13551.07</v>
      </c>
    </row>
    <row r="395" spans="1:12" x14ac:dyDescent="0.3">
      <c r="A395" s="4" t="s">
        <v>878</v>
      </c>
      <c r="B395" s="5">
        <v>45292</v>
      </c>
      <c r="C395" s="4" t="s">
        <v>104</v>
      </c>
      <c r="D395" s="4" t="s">
        <v>879</v>
      </c>
      <c r="E395" s="4" t="s">
        <v>15</v>
      </c>
      <c r="F395" s="4" t="s">
        <v>16</v>
      </c>
      <c r="G395" s="4" t="s">
        <v>17</v>
      </c>
      <c r="H395" s="4" t="s">
        <v>72</v>
      </c>
      <c r="I395" s="6">
        <v>4</v>
      </c>
      <c r="J395" s="6">
        <v>1852</v>
      </c>
      <c r="K395" s="6">
        <v>1311.09</v>
      </c>
      <c r="L395" s="6">
        <v>540.91</v>
      </c>
    </row>
    <row r="396" spans="1:12" x14ac:dyDescent="0.3">
      <c r="A396" s="4" t="s">
        <v>880</v>
      </c>
      <c r="B396" s="5">
        <v>45443</v>
      </c>
      <c r="C396" s="4" t="s">
        <v>487</v>
      </c>
      <c r="D396" s="4" t="s">
        <v>602</v>
      </c>
      <c r="E396" s="4" t="s">
        <v>29</v>
      </c>
      <c r="F396" s="4" t="s">
        <v>49</v>
      </c>
      <c r="G396" s="4" t="s">
        <v>17</v>
      </c>
      <c r="H396" s="4" t="s">
        <v>18</v>
      </c>
      <c r="I396" s="6">
        <v>3</v>
      </c>
      <c r="J396" s="6">
        <v>8850</v>
      </c>
      <c r="K396" s="6">
        <v>5025.62</v>
      </c>
      <c r="L396" s="6">
        <v>3824.38</v>
      </c>
    </row>
    <row r="397" spans="1:12" x14ac:dyDescent="0.3">
      <c r="A397" s="4" t="s">
        <v>881</v>
      </c>
      <c r="B397" s="5">
        <v>45622</v>
      </c>
      <c r="C397" s="4" t="s">
        <v>882</v>
      </c>
      <c r="D397" s="4" t="s">
        <v>296</v>
      </c>
      <c r="E397" s="4" t="s">
        <v>54</v>
      </c>
      <c r="F397" s="4" t="s">
        <v>142</v>
      </c>
      <c r="G397" s="4" t="s">
        <v>40</v>
      </c>
      <c r="H397" s="4" t="s">
        <v>41</v>
      </c>
      <c r="I397" s="6">
        <v>7</v>
      </c>
      <c r="J397" s="6">
        <v>7889</v>
      </c>
      <c r="K397" s="6">
        <v>5135.49</v>
      </c>
      <c r="L397" s="6">
        <v>2753.51</v>
      </c>
    </row>
    <row r="398" spans="1:12" x14ac:dyDescent="0.3">
      <c r="A398" s="4" t="s">
        <v>883</v>
      </c>
      <c r="B398" s="5">
        <v>45867</v>
      </c>
      <c r="C398" s="4" t="s">
        <v>526</v>
      </c>
      <c r="D398" s="4" t="s">
        <v>884</v>
      </c>
      <c r="E398" s="4" t="s">
        <v>22</v>
      </c>
      <c r="F398" s="4" t="s">
        <v>79</v>
      </c>
      <c r="G398" s="4" t="s">
        <v>35</v>
      </c>
      <c r="H398" s="4" t="s">
        <v>80</v>
      </c>
      <c r="I398" s="6">
        <v>6</v>
      </c>
      <c r="J398" s="6">
        <v>10362</v>
      </c>
      <c r="K398" s="6">
        <v>7897.45</v>
      </c>
      <c r="L398" s="6">
        <v>2464.5500000000002</v>
      </c>
    </row>
    <row r="399" spans="1:12" x14ac:dyDescent="0.3">
      <c r="A399" s="4" t="s">
        <v>885</v>
      </c>
      <c r="B399" s="5">
        <v>45293</v>
      </c>
      <c r="C399" s="4" t="s">
        <v>281</v>
      </c>
      <c r="D399" s="4" t="s">
        <v>886</v>
      </c>
      <c r="E399" s="4" t="s">
        <v>29</v>
      </c>
      <c r="F399" s="4" t="s">
        <v>49</v>
      </c>
      <c r="G399" s="4" t="s">
        <v>40</v>
      </c>
      <c r="H399" s="4" t="s">
        <v>99</v>
      </c>
      <c r="I399" s="6">
        <v>5</v>
      </c>
      <c r="J399" s="6">
        <v>6715</v>
      </c>
      <c r="K399" s="6">
        <v>4051.24</v>
      </c>
      <c r="L399" s="6">
        <v>2663.76</v>
      </c>
    </row>
    <row r="400" spans="1:12" x14ac:dyDescent="0.3">
      <c r="A400" s="4" t="s">
        <v>887</v>
      </c>
      <c r="B400" s="5">
        <v>45398</v>
      </c>
      <c r="C400" s="4" t="s">
        <v>865</v>
      </c>
      <c r="D400" s="4" t="s">
        <v>888</v>
      </c>
      <c r="E400" s="4" t="s">
        <v>15</v>
      </c>
      <c r="F400" s="4" t="s">
        <v>16</v>
      </c>
      <c r="G400" s="4" t="s">
        <v>17</v>
      </c>
      <c r="H400" s="4" t="s">
        <v>72</v>
      </c>
      <c r="I400" s="6">
        <v>6</v>
      </c>
      <c r="J400" s="6">
        <v>12654</v>
      </c>
      <c r="K400" s="6">
        <v>9387.93</v>
      </c>
      <c r="L400" s="6">
        <v>3266.07</v>
      </c>
    </row>
    <row r="401" spans="1:12" x14ac:dyDescent="0.3">
      <c r="A401" s="4" t="s">
        <v>889</v>
      </c>
      <c r="B401" s="5">
        <v>45463</v>
      </c>
      <c r="C401" s="4" t="s">
        <v>890</v>
      </c>
      <c r="D401" s="4" t="s">
        <v>829</v>
      </c>
      <c r="E401" s="4" t="s">
        <v>54</v>
      </c>
      <c r="F401" s="4" t="s">
        <v>71</v>
      </c>
      <c r="G401" s="4" t="s">
        <v>24</v>
      </c>
      <c r="H401" s="4" t="s">
        <v>50</v>
      </c>
      <c r="I401" s="6">
        <v>4</v>
      </c>
      <c r="J401" s="6">
        <v>12564</v>
      </c>
      <c r="K401" s="6">
        <v>10612.99</v>
      </c>
      <c r="L401" s="6">
        <v>1951.01</v>
      </c>
    </row>
    <row r="402" spans="1:12" x14ac:dyDescent="0.3">
      <c r="A402" s="4" t="s">
        <v>891</v>
      </c>
      <c r="B402" s="5">
        <v>45650</v>
      </c>
      <c r="C402" s="4" t="s">
        <v>892</v>
      </c>
      <c r="D402" s="4" t="s">
        <v>852</v>
      </c>
      <c r="E402" s="4" t="s">
        <v>22</v>
      </c>
      <c r="F402" s="4" t="s">
        <v>23</v>
      </c>
      <c r="G402" s="4" t="s">
        <v>40</v>
      </c>
      <c r="H402" s="4" t="s">
        <v>99</v>
      </c>
      <c r="I402" s="6">
        <v>4</v>
      </c>
      <c r="J402" s="6">
        <v>9376</v>
      </c>
      <c r="K402" s="6">
        <v>7106.57</v>
      </c>
      <c r="L402" s="6">
        <v>2269.4299999999998</v>
      </c>
    </row>
    <row r="403" spans="1:12" x14ac:dyDescent="0.3">
      <c r="A403" s="4" t="s">
        <v>893</v>
      </c>
      <c r="B403" s="5">
        <v>45715</v>
      </c>
      <c r="C403" s="4" t="s">
        <v>843</v>
      </c>
      <c r="D403" s="4" t="s">
        <v>894</v>
      </c>
      <c r="E403" s="4" t="s">
        <v>15</v>
      </c>
      <c r="F403" s="4" t="s">
        <v>16</v>
      </c>
      <c r="G403" s="4" t="s">
        <v>35</v>
      </c>
      <c r="H403" s="4" t="s">
        <v>36</v>
      </c>
      <c r="I403" s="6">
        <v>8</v>
      </c>
      <c r="J403" s="6">
        <v>29896</v>
      </c>
      <c r="K403" s="6">
        <v>25134.48</v>
      </c>
      <c r="L403" s="6">
        <v>4761.5200000000004</v>
      </c>
    </row>
    <row r="404" spans="1:12" x14ac:dyDescent="0.3">
      <c r="A404" s="4" t="s">
        <v>895</v>
      </c>
      <c r="B404" s="5">
        <v>45883</v>
      </c>
      <c r="C404" s="4" t="s">
        <v>802</v>
      </c>
      <c r="D404" s="4" t="s">
        <v>48</v>
      </c>
      <c r="E404" s="4" t="s">
        <v>54</v>
      </c>
      <c r="F404" s="4" t="s">
        <v>71</v>
      </c>
      <c r="G404" s="4" t="s">
        <v>35</v>
      </c>
      <c r="H404" s="4" t="s">
        <v>36</v>
      </c>
      <c r="I404" s="6">
        <v>2</v>
      </c>
      <c r="J404" s="6">
        <v>8454</v>
      </c>
      <c r="K404" s="6">
        <v>6650.08</v>
      </c>
      <c r="L404" s="6">
        <v>1803.92</v>
      </c>
    </row>
    <row r="405" spans="1:12" x14ac:dyDescent="0.3">
      <c r="A405" s="4" t="s">
        <v>896</v>
      </c>
      <c r="B405" s="5">
        <v>45399</v>
      </c>
      <c r="C405" s="4" t="s">
        <v>412</v>
      </c>
      <c r="D405" s="4" t="s">
        <v>150</v>
      </c>
      <c r="E405" s="4" t="s">
        <v>22</v>
      </c>
      <c r="F405" s="4" t="s">
        <v>23</v>
      </c>
      <c r="G405" s="4" t="s">
        <v>24</v>
      </c>
      <c r="H405" s="4" t="s">
        <v>25</v>
      </c>
      <c r="I405" s="6">
        <v>5</v>
      </c>
      <c r="J405" s="6">
        <v>2320</v>
      </c>
      <c r="K405" s="6">
        <v>1497.83</v>
      </c>
      <c r="L405" s="6">
        <v>822.17</v>
      </c>
    </row>
    <row r="406" spans="1:12" x14ac:dyDescent="0.3">
      <c r="A406" s="4" t="s">
        <v>897</v>
      </c>
      <c r="B406" s="5">
        <v>45387</v>
      </c>
      <c r="C406" s="4" t="s">
        <v>535</v>
      </c>
      <c r="D406" s="4" t="s">
        <v>340</v>
      </c>
      <c r="E406" s="4" t="s">
        <v>29</v>
      </c>
      <c r="F406" s="4" t="s">
        <v>49</v>
      </c>
      <c r="G406" s="4" t="s">
        <v>24</v>
      </c>
      <c r="H406" s="4" t="s">
        <v>166</v>
      </c>
      <c r="I406" s="6">
        <v>2</v>
      </c>
      <c r="J406" s="6">
        <v>9562</v>
      </c>
      <c r="K406" s="6">
        <v>7960.85</v>
      </c>
      <c r="L406" s="6">
        <v>1601.15</v>
      </c>
    </row>
    <row r="407" spans="1:12" x14ac:dyDescent="0.3">
      <c r="A407" s="4" t="s">
        <v>898</v>
      </c>
      <c r="B407" s="5">
        <v>45395</v>
      </c>
      <c r="C407" s="4" t="s">
        <v>104</v>
      </c>
      <c r="D407" s="4" t="s">
        <v>754</v>
      </c>
      <c r="E407" s="4" t="s">
        <v>15</v>
      </c>
      <c r="F407" s="4" t="s">
        <v>63</v>
      </c>
      <c r="G407" s="4" t="s">
        <v>17</v>
      </c>
      <c r="H407" s="4" t="s">
        <v>31</v>
      </c>
      <c r="I407" s="6">
        <v>3</v>
      </c>
      <c r="J407" s="6">
        <v>11568</v>
      </c>
      <c r="K407" s="6">
        <v>6907.61</v>
      </c>
      <c r="L407" s="6">
        <v>4660.3900000000003</v>
      </c>
    </row>
    <row r="408" spans="1:12" x14ac:dyDescent="0.3">
      <c r="A408" s="4" t="s">
        <v>899</v>
      </c>
      <c r="B408" s="5">
        <v>45580</v>
      </c>
      <c r="C408" s="4" t="s">
        <v>900</v>
      </c>
      <c r="D408" s="4" t="s">
        <v>673</v>
      </c>
      <c r="E408" s="4" t="s">
        <v>29</v>
      </c>
      <c r="F408" s="4" t="s">
        <v>49</v>
      </c>
      <c r="G408" s="4" t="s">
        <v>17</v>
      </c>
      <c r="H408" s="4" t="s">
        <v>18</v>
      </c>
      <c r="I408" s="6">
        <v>9</v>
      </c>
      <c r="J408" s="6">
        <v>42516</v>
      </c>
      <c r="K408" s="6">
        <v>26767.200000000001</v>
      </c>
      <c r="L408" s="6">
        <v>15748.8</v>
      </c>
    </row>
    <row r="409" spans="1:12" x14ac:dyDescent="0.3">
      <c r="A409" s="4" t="s">
        <v>901</v>
      </c>
      <c r="B409" s="5">
        <v>45449</v>
      </c>
      <c r="C409" s="4" t="s">
        <v>771</v>
      </c>
      <c r="D409" s="4" t="s">
        <v>797</v>
      </c>
      <c r="E409" s="4" t="s">
        <v>15</v>
      </c>
      <c r="F409" s="4" t="s">
        <v>16</v>
      </c>
      <c r="G409" s="4" t="s">
        <v>35</v>
      </c>
      <c r="H409" s="4" t="s">
        <v>36</v>
      </c>
      <c r="I409" s="6">
        <v>10</v>
      </c>
      <c r="J409" s="6">
        <v>48020</v>
      </c>
      <c r="K409" s="6">
        <v>38509.94</v>
      </c>
      <c r="L409" s="6">
        <v>9510.06</v>
      </c>
    </row>
    <row r="410" spans="1:12" x14ac:dyDescent="0.3">
      <c r="A410" s="4" t="s">
        <v>902</v>
      </c>
      <c r="B410" s="5">
        <v>45318</v>
      </c>
      <c r="C410" s="4" t="s">
        <v>783</v>
      </c>
      <c r="D410" s="4" t="s">
        <v>362</v>
      </c>
      <c r="E410" s="4" t="s">
        <v>15</v>
      </c>
      <c r="F410" s="4" t="s">
        <v>63</v>
      </c>
      <c r="G410" s="4" t="s">
        <v>24</v>
      </c>
      <c r="H410" s="4" t="s">
        <v>50</v>
      </c>
      <c r="I410" s="6">
        <v>5</v>
      </c>
      <c r="J410" s="6">
        <v>21170</v>
      </c>
      <c r="K410" s="6">
        <v>12911.63</v>
      </c>
      <c r="L410" s="6">
        <v>8258.3700000000008</v>
      </c>
    </row>
    <row r="411" spans="1:12" x14ac:dyDescent="0.3">
      <c r="A411" s="4" t="s">
        <v>903</v>
      </c>
      <c r="B411" s="5">
        <v>45774</v>
      </c>
      <c r="C411" s="4" t="s">
        <v>904</v>
      </c>
      <c r="D411" s="4" t="s">
        <v>385</v>
      </c>
      <c r="E411" s="4" t="s">
        <v>54</v>
      </c>
      <c r="F411" s="4" t="s">
        <v>142</v>
      </c>
      <c r="G411" s="4" t="s">
        <v>35</v>
      </c>
      <c r="H411" s="4" t="s">
        <v>80</v>
      </c>
      <c r="I411" s="6">
        <v>2</v>
      </c>
      <c r="J411" s="6">
        <v>5652</v>
      </c>
      <c r="K411" s="6">
        <v>4439.4399999999996</v>
      </c>
      <c r="L411" s="6">
        <v>1212.56</v>
      </c>
    </row>
    <row r="412" spans="1:12" x14ac:dyDescent="0.3">
      <c r="A412" s="4" t="s">
        <v>905</v>
      </c>
      <c r="B412" s="5">
        <v>45682</v>
      </c>
      <c r="C412" s="4" t="s">
        <v>906</v>
      </c>
      <c r="D412" s="4" t="s">
        <v>536</v>
      </c>
      <c r="E412" s="4" t="s">
        <v>15</v>
      </c>
      <c r="F412" s="4" t="s">
        <v>90</v>
      </c>
      <c r="G412" s="4" t="s">
        <v>35</v>
      </c>
      <c r="H412" s="4" t="s">
        <v>45</v>
      </c>
      <c r="I412" s="6">
        <v>7</v>
      </c>
      <c r="J412" s="6">
        <v>12698</v>
      </c>
      <c r="K412" s="6">
        <v>8397.27</v>
      </c>
      <c r="L412" s="6">
        <v>4300.7299999999996</v>
      </c>
    </row>
    <row r="413" spans="1:12" x14ac:dyDescent="0.3">
      <c r="A413" s="4" t="s">
        <v>907</v>
      </c>
      <c r="B413" s="5">
        <v>45567</v>
      </c>
      <c r="C413" s="4" t="s">
        <v>228</v>
      </c>
      <c r="D413" s="4" t="s">
        <v>478</v>
      </c>
      <c r="E413" s="4" t="s">
        <v>22</v>
      </c>
      <c r="F413" s="4" t="s">
        <v>23</v>
      </c>
      <c r="G413" s="4" t="s">
        <v>40</v>
      </c>
      <c r="H413" s="4" t="s">
        <v>99</v>
      </c>
      <c r="I413" s="6">
        <v>8</v>
      </c>
      <c r="J413" s="6">
        <v>32872</v>
      </c>
      <c r="K413" s="6">
        <v>20677.150000000001</v>
      </c>
      <c r="L413" s="6">
        <v>12194.85</v>
      </c>
    </row>
    <row r="414" spans="1:12" x14ac:dyDescent="0.3">
      <c r="A414" s="4" t="s">
        <v>908</v>
      </c>
      <c r="B414" s="5">
        <v>45846</v>
      </c>
      <c r="C414" s="4" t="s">
        <v>419</v>
      </c>
      <c r="D414" s="4" t="s">
        <v>909</v>
      </c>
      <c r="E414" s="4" t="s">
        <v>29</v>
      </c>
      <c r="F414" s="4" t="s">
        <v>30</v>
      </c>
      <c r="G414" s="4" t="s">
        <v>17</v>
      </c>
      <c r="H414" s="4" t="s">
        <v>31</v>
      </c>
      <c r="I414" s="6">
        <v>2</v>
      </c>
      <c r="J414" s="6">
        <v>2004</v>
      </c>
      <c r="K414" s="6">
        <v>1503.89</v>
      </c>
      <c r="L414" s="6">
        <v>500.11</v>
      </c>
    </row>
    <row r="415" spans="1:12" x14ac:dyDescent="0.3">
      <c r="A415" s="4" t="s">
        <v>910</v>
      </c>
      <c r="B415" s="5">
        <v>45778</v>
      </c>
      <c r="C415" s="4" t="s">
        <v>281</v>
      </c>
      <c r="D415" s="4" t="s">
        <v>508</v>
      </c>
      <c r="E415" s="4" t="s">
        <v>15</v>
      </c>
      <c r="F415" s="4" t="s">
        <v>63</v>
      </c>
      <c r="G415" s="4" t="s">
        <v>35</v>
      </c>
      <c r="H415" s="4" t="s">
        <v>45</v>
      </c>
      <c r="I415" s="6">
        <v>7</v>
      </c>
      <c r="J415" s="6">
        <v>32802</v>
      </c>
      <c r="K415" s="6">
        <v>24802.26</v>
      </c>
      <c r="L415" s="6">
        <v>7999.74</v>
      </c>
    </row>
    <row r="416" spans="1:12" x14ac:dyDescent="0.3">
      <c r="A416" s="4" t="s">
        <v>911</v>
      </c>
      <c r="B416" s="5">
        <v>45821</v>
      </c>
      <c r="C416" s="4" t="s">
        <v>912</v>
      </c>
      <c r="D416" s="4" t="s">
        <v>605</v>
      </c>
      <c r="E416" s="4" t="s">
        <v>22</v>
      </c>
      <c r="F416" s="4" t="s">
        <v>67</v>
      </c>
      <c r="G416" s="4" t="s">
        <v>24</v>
      </c>
      <c r="H416" s="4" t="s">
        <v>50</v>
      </c>
      <c r="I416" s="6">
        <v>7</v>
      </c>
      <c r="J416" s="6">
        <v>4088</v>
      </c>
      <c r="K416" s="6">
        <v>2864.18</v>
      </c>
      <c r="L416" s="6">
        <v>1223.82</v>
      </c>
    </row>
    <row r="417" spans="1:12" x14ac:dyDescent="0.3">
      <c r="A417" s="4" t="s">
        <v>913</v>
      </c>
      <c r="B417" s="5">
        <v>45421</v>
      </c>
      <c r="C417" s="4" t="s">
        <v>573</v>
      </c>
      <c r="D417" s="4" t="s">
        <v>111</v>
      </c>
      <c r="E417" s="4" t="s">
        <v>15</v>
      </c>
      <c r="F417" s="4" t="s">
        <v>63</v>
      </c>
      <c r="G417" s="4" t="s">
        <v>24</v>
      </c>
      <c r="H417" s="4" t="s">
        <v>166</v>
      </c>
      <c r="I417" s="6">
        <v>3</v>
      </c>
      <c r="J417" s="6">
        <v>6105</v>
      </c>
      <c r="K417" s="6">
        <v>4838.45</v>
      </c>
      <c r="L417" s="6">
        <v>1266.55</v>
      </c>
    </row>
    <row r="418" spans="1:12" x14ac:dyDescent="0.3">
      <c r="A418" s="4" t="s">
        <v>914</v>
      </c>
      <c r="B418" s="5">
        <v>45556</v>
      </c>
      <c r="C418" s="4" t="s">
        <v>553</v>
      </c>
      <c r="D418" s="4" t="s">
        <v>527</v>
      </c>
      <c r="E418" s="4" t="s">
        <v>15</v>
      </c>
      <c r="F418" s="4" t="s">
        <v>90</v>
      </c>
      <c r="G418" s="4" t="s">
        <v>35</v>
      </c>
      <c r="H418" s="4" t="s">
        <v>36</v>
      </c>
      <c r="I418" s="6">
        <v>4</v>
      </c>
      <c r="J418" s="6">
        <v>6044</v>
      </c>
      <c r="K418" s="6">
        <v>4836.6000000000004</v>
      </c>
      <c r="L418" s="6">
        <v>1207.4000000000001</v>
      </c>
    </row>
    <row r="419" spans="1:12" x14ac:dyDescent="0.3">
      <c r="A419" s="4" t="s">
        <v>915</v>
      </c>
      <c r="B419" s="5">
        <v>45574</v>
      </c>
      <c r="C419" s="4" t="s">
        <v>848</v>
      </c>
      <c r="D419" s="4" t="s">
        <v>138</v>
      </c>
      <c r="E419" s="4" t="s">
        <v>15</v>
      </c>
      <c r="F419" s="4" t="s">
        <v>63</v>
      </c>
      <c r="G419" s="4" t="s">
        <v>35</v>
      </c>
      <c r="H419" s="4" t="s">
        <v>45</v>
      </c>
      <c r="I419" s="6">
        <v>7</v>
      </c>
      <c r="J419" s="6">
        <v>33754</v>
      </c>
      <c r="K419" s="6">
        <v>21867.13</v>
      </c>
      <c r="L419" s="6">
        <v>11886.87</v>
      </c>
    </row>
    <row r="420" spans="1:12" x14ac:dyDescent="0.3">
      <c r="A420" s="4" t="s">
        <v>916</v>
      </c>
      <c r="B420" s="5">
        <v>45407</v>
      </c>
      <c r="C420" s="4" t="s">
        <v>217</v>
      </c>
      <c r="D420" s="4" t="s">
        <v>917</v>
      </c>
      <c r="E420" s="4" t="s">
        <v>15</v>
      </c>
      <c r="F420" s="4" t="s">
        <v>90</v>
      </c>
      <c r="G420" s="4" t="s">
        <v>17</v>
      </c>
      <c r="H420" s="4" t="s">
        <v>72</v>
      </c>
      <c r="I420" s="6">
        <v>10</v>
      </c>
      <c r="J420" s="6">
        <v>45800</v>
      </c>
      <c r="K420" s="6">
        <v>35930.36</v>
      </c>
      <c r="L420" s="6">
        <v>9869.64</v>
      </c>
    </row>
    <row r="421" spans="1:12" x14ac:dyDescent="0.3">
      <c r="A421" s="4" t="s">
        <v>918</v>
      </c>
      <c r="B421" s="5">
        <v>45868</v>
      </c>
      <c r="C421" s="4" t="s">
        <v>346</v>
      </c>
      <c r="D421" s="4" t="s">
        <v>589</v>
      </c>
      <c r="E421" s="4" t="s">
        <v>29</v>
      </c>
      <c r="F421" s="4" t="s">
        <v>30</v>
      </c>
      <c r="G421" s="4" t="s">
        <v>17</v>
      </c>
      <c r="H421" s="4" t="s">
        <v>72</v>
      </c>
      <c r="I421" s="6">
        <v>10</v>
      </c>
      <c r="J421" s="6">
        <v>11200</v>
      </c>
      <c r="K421" s="6">
        <v>9267.76</v>
      </c>
      <c r="L421" s="6">
        <v>1932.24</v>
      </c>
    </row>
    <row r="422" spans="1:12" x14ac:dyDescent="0.3">
      <c r="A422" s="4" t="s">
        <v>919</v>
      </c>
      <c r="B422" s="5">
        <v>45776</v>
      </c>
      <c r="C422" s="4" t="s">
        <v>628</v>
      </c>
      <c r="D422" s="4" t="s">
        <v>466</v>
      </c>
      <c r="E422" s="4" t="s">
        <v>54</v>
      </c>
      <c r="F422" s="4" t="s">
        <v>55</v>
      </c>
      <c r="G422" s="4" t="s">
        <v>40</v>
      </c>
      <c r="H422" s="4" t="s">
        <v>99</v>
      </c>
      <c r="I422" s="6">
        <v>7</v>
      </c>
      <c r="J422" s="6">
        <v>29939</v>
      </c>
      <c r="K422" s="6">
        <v>21604.19</v>
      </c>
      <c r="L422" s="6">
        <v>8334.81</v>
      </c>
    </row>
    <row r="423" spans="1:12" x14ac:dyDescent="0.3">
      <c r="A423" s="4" t="s">
        <v>920</v>
      </c>
      <c r="B423" s="5">
        <v>45631</v>
      </c>
      <c r="C423" s="4" t="s">
        <v>780</v>
      </c>
      <c r="D423" s="4" t="s">
        <v>921</v>
      </c>
      <c r="E423" s="4" t="s">
        <v>54</v>
      </c>
      <c r="F423" s="4" t="s">
        <v>55</v>
      </c>
      <c r="G423" s="4" t="s">
        <v>24</v>
      </c>
      <c r="H423" s="4" t="s">
        <v>166</v>
      </c>
      <c r="I423" s="6">
        <v>10</v>
      </c>
      <c r="J423" s="6">
        <v>35900</v>
      </c>
      <c r="K423" s="6">
        <v>20162.689999999999</v>
      </c>
      <c r="L423" s="6">
        <v>15737.31</v>
      </c>
    </row>
    <row r="424" spans="1:12" x14ac:dyDescent="0.3">
      <c r="A424" s="4" t="s">
        <v>922</v>
      </c>
      <c r="B424" s="5">
        <v>45602</v>
      </c>
      <c r="C424" s="4" t="s">
        <v>923</v>
      </c>
      <c r="D424" s="4" t="s">
        <v>867</v>
      </c>
      <c r="E424" s="4" t="s">
        <v>22</v>
      </c>
      <c r="F424" s="4" t="s">
        <v>67</v>
      </c>
      <c r="G424" s="4" t="s">
        <v>40</v>
      </c>
      <c r="H424" s="4" t="s">
        <v>41</v>
      </c>
      <c r="I424" s="6">
        <v>1</v>
      </c>
      <c r="J424" s="6">
        <v>3067</v>
      </c>
      <c r="K424" s="6">
        <v>2438.9299999999998</v>
      </c>
      <c r="L424" s="6">
        <v>628.07000000000005</v>
      </c>
    </row>
    <row r="425" spans="1:12" x14ac:dyDescent="0.3">
      <c r="A425" s="4" t="s">
        <v>924</v>
      </c>
      <c r="B425" s="5">
        <v>45745</v>
      </c>
      <c r="C425" s="4" t="s">
        <v>624</v>
      </c>
      <c r="D425" s="4" t="s">
        <v>255</v>
      </c>
      <c r="E425" s="4" t="s">
        <v>22</v>
      </c>
      <c r="F425" s="4" t="s">
        <v>79</v>
      </c>
      <c r="G425" s="4" t="s">
        <v>17</v>
      </c>
      <c r="H425" s="4" t="s">
        <v>31</v>
      </c>
      <c r="I425" s="6">
        <v>2</v>
      </c>
      <c r="J425" s="6">
        <v>4334</v>
      </c>
      <c r="K425" s="6">
        <v>2558.4299999999998</v>
      </c>
      <c r="L425" s="6">
        <v>1775.57</v>
      </c>
    </row>
    <row r="426" spans="1:12" x14ac:dyDescent="0.3">
      <c r="A426" s="4" t="s">
        <v>925</v>
      </c>
      <c r="B426" s="5">
        <v>45708</v>
      </c>
      <c r="C426" s="4" t="s">
        <v>212</v>
      </c>
      <c r="D426" s="4" t="s">
        <v>827</v>
      </c>
      <c r="E426" s="4" t="s">
        <v>22</v>
      </c>
      <c r="F426" s="4" t="s">
        <v>79</v>
      </c>
      <c r="G426" s="4" t="s">
        <v>17</v>
      </c>
      <c r="H426" s="4" t="s">
        <v>31</v>
      </c>
      <c r="I426" s="6">
        <v>2</v>
      </c>
      <c r="J426" s="6">
        <v>3678</v>
      </c>
      <c r="K426" s="6">
        <v>2510.29</v>
      </c>
      <c r="L426" s="6">
        <v>1167.71</v>
      </c>
    </row>
    <row r="427" spans="1:12" x14ac:dyDescent="0.3">
      <c r="A427" s="4" t="s">
        <v>926</v>
      </c>
      <c r="B427" s="5">
        <v>45810</v>
      </c>
      <c r="C427" s="4" t="s">
        <v>132</v>
      </c>
      <c r="D427" s="4" t="s">
        <v>659</v>
      </c>
      <c r="E427" s="4" t="s">
        <v>54</v>
      </c>
      <c r="F427" s="4" t="s">
        <v>142</v>
      </c>
      <c r="G427" s="4" t="s">
        <v>35</v>
      </c>
      <c r="H427" s="4" t="s">
        <v>45</v>
      </c>
      <c r="I427" s="6">
        <v>3</v>
      </c>
      <c r="J427" s="6">
        <v>2511</v>
      </c>
      <c r="K427" s="6">
        <v>1615.42</v>
      </c>
      <c r="L427" s="6">
        <v>895.58</v>
      </c>
    </row>
    <row r="428" spans="1:12" x14ac:dyDescent="0.3">
      <c r="A428" s="4" t="s">
        <v>927</v>
      </c>
      <c r="B428" s="5">
        <v>45759</v>
      </c>
      <c r="C428" s="4" t="s">
        <v>374</v>
      </c>
      <c r="D428" s="4" t="s">
        <v>797</v>
      </c>
      <c r="E428" s="4" t="s">
        <v>15</v>
      </c>
      <c r="F428" s="4" t="s">
        <v>16</v>
      </c>
      <c r="G428" s="4" t="s">
        <v>40</v>
      </c>
      <c r="H428" s="4" t="s">
        <v>56</v>
      </c>
      <c r="I428" s="6">
        <v>4</v>
      </c>
      <c r="J428" s="6">
        <v>3088</v>
      </c>
      <c r="K428" s="6">
        <v>1929.53</v>
      </c>
      <c r="L428" s="6">
        <v>1158.47</v>
      </c>
    </row>
    <row r="429" spans="1:12" x14ac:dyDescent="0.3">
      <c r="A429" s="4" t="s">
        <v>928</v>
      </c>
      <c r="B429" s="5">
        <v>45418</v>
      </c>
      <c r="C429" s="4" t="s">
        <v>438</v>
      </c>
      <c r="D429" s="4" t="s">
        <v>264</v>
      </c>
      <c r="E429" s="4" t="s">
        <v>29</v>
      </c>
      <c r="F429" s="4" t="s">
        <v>49</v>
      </c>
      <c r="G429" s="4" t="s">
        <v>40</v>
      </c>
      <c r="H429" s="4" t="s">
        <v>41</v>
      </c>
      <c r="I429" s="6">
        <v>8</v>
      </c>
      <c r="J429" s="6">
        <v>35496</v>
      </c>
      <c r="K429" s="6">
        <v>23749.759999999998</v>
      </c>
      <c r="L429" s="6">
        <v>11746.24</v>
      </c>
    </row>
    <row r="430" spans="1:12" x14ac:dyDescent="0.3">
      <c r="A430" s="4" t="s">
        <v>929</v>
      </c>
      <c r="B430" s="5">
        <v>45777</v>
      </c>
      <c r="C430" s="4" t="s">
        <v>329</v>
      </c>
      <c r="D430" s="4" t="s">
        <v>488</v>
      </c>
      <c r="E430" s="4" t="s">
        <v>54</v>
      </c>
      <c r="F430" s="4" t="s">
        <v>55</v>
      </c>
      <c r="G430" s="4" t="s">
        <v>17</v>
      </c>
      <c r="H430" s="4" t="s">
        <v>72</v>
      </c>
      <c r="I430" s="6">
        <v>8</v>
      </c>
      <c r="J430" s="6">
        <v>14032</v>
      </c>
      <c r="K430" s="6">
        <v>11761.01</v>
      </c>
      <c r="L430" s="6">
        <v>2270.9899999999998</v>
      </c>
    </row>
    <row r="431" spans="1:12" x14ac:dyDescent="0.3">
      <c r="A431" s="4" t="s">
        <v>930</v>
      </c>
      <c r="B431" s="5">
        <v>45342</v>
      </c>
      <c r="C431" s="4" t="s">
        <v>498</v>
      </c>
      <c r="D431" s="4" t="s">
        <v>931</v>
      </c>
      <c r="E431" s="4" t="s">
        <v>54</v>
      </c>
      <c r="F431" s="4" t="s">
        <v>142</v>
      </c>
      <c r="G431" s="4" t="s">
        <v>40</v>
      </c>
      <c r="H431" s="4" t="s">
        <v>99</v>
      </c>
      <c r="I431" s="6">
        <v>2</v>
      </c>
      <c r="J431" s="6">
        <v>5270</v>
      </c>
      <c r="K431" s="6">
        <v>2941.9</v>
      </c>
      <c r="L431" s="6">
        <v>2328.1</v>
      </c>
    </row>
    <row r="432" spans="1:12" x14ac:dyDescent="0.3">
      <c r="A432" s="4" t="s">
        <v>932</v>
      </c>
      <c r="B432" s="5">
        <v>45711</v>
      </c>
      <c r="C432" s="4" t="s">
        <v>933</v>
      </c>
      <c r="D432" s="4" t="s">
        <v>524</v>
      </c>
      <c r="E432" s="4" t="s">
        <v>29</v>
      </c>
      <c r="F432" s="4" t="s">
        <v>102</v>
      </c>
      <c r="G432" s="4" t="s">
        <v>17</v>
      </c>
      <c r="H432" s="4" t="s">
        <v>31</v>
      </c>
      <c r="I432" s="6">
        <v>4</v>
      </c>
      <c r="J432" s="6">
        <v>7972</v>
      </c>
      <c r="K432" s="6">
        <v>5028.1400000000003</v>
      </c>
      <c r="L432" s="6">
        <v>2943.86</v>
      </c>
    </row>
    <row r="433" spans="1:12" x14ac:dyDescent="0.3">
      <c r="A433" s="4" t="s">
        <v>934</v>
      </c>
      <c r="B433" s="5">
        <v>45914</v>
      </c>
      <c r="C433" s="4" t="s">
        <v>935</v>
      </c>
      <c r="D433" s="4" t="s">
        <v>470</v>
      </c>
      <c r="E433" s="4" t="s">
        <v>15</v>
      </c>
      <c r="F433" s="4" t="s">
        <v>63</v>
      </c>
      <c r="G433" s="4" t="s">
        <v>24</v>
      </c>
      <c r="H433" s="4" t="s">
        <v>166</v>
      </c>
      <c r="I433" s="6">
        <v>3</v>
      </c>
      <c r="J433" s="6">
        <v>1107</v>
      </c>
      <c r="K433" s="6">
        <v>683.16</v>
      </c>
      <c r="L433" s="6">
        <v>423.84</v>
      </c>
    </row>
    <row r="434" spans="1:12" x14ac:dyDescent="0.3">
      <c r="A434" s="4" t="s">
        <v>936</v>
      </c>
      <c r="B434" s="5">
        <v>45601</v>
      </c>
      <c r="C434" s="4" t="s">
        <v>848</v>
      </c>
      <c r="D434" s="4" t="s">
        <v>531</v>
      </c>
      <c r="E434" s="4" t="s">
        <v>22</v>
      </c>
      <c r="F434" s="4" t="s">
        <v>67</v>
      </c>
      <c r="G434" s="4" t="s">
        <v>40</v>
      </c>
      <c r="H434" s="4" t="s">
        <v>41</v>
      </c>
      <c r="I434" s="6">
        <v>8</v>
      </c>
      <c r="J434" s="6">
        <v>18912</v>
      </c>
      <c r="K434" s="6">
        <v>11639.63</v>
      </c>
      <c r="L434" s="6">
        <v>7272.37</v>
      </c>
    </row>
    <row r="435" spans="1:12" x14ac:dyDescent="0.3">
      <c r="A435" s="4" t="s">
        <v>937</v>
      </c>
      <c r="B435" s="5">
        <v>45915</v>
      </c>
      <c r="C435" s="4" t="s">
        <v>938</v>
      </c>
      <c r="D435" s="4" t="s">
        <v>577</v>
      </c>
      <c r="E435" s="4" t="s">
        <v>15</v>
      </c>
      <c r="F435" s="4" t="s">
        <v>16</v>
      </c>
      <c r="G435" s="4" t="s">
        <v>35</v>
      </c>
      <c r="H435" s="4" t="s">
        <v>45</v>
      </c>
      <c r="I435" s="6">
        <v>6</v>
      </c>
      <c r="J435" s="6">
        <v>29394</v>
      </c>
      <c r="K435" s="6">
        <v>21875.09</v>
      </c>
      <c r="L435" s="6">
        <v>7518.91</v>
      </c>
    </row>
    <row r="436" spans="1:12" x14ac:dyDescent="0.3">
      <c r="A436" s="4" t="s">
        <v>939</v>
      </c>
      <c r="B436" s="5">
        <v>45575</v>
      </c>
      <c r="C436" s="4" t="s">
        <v>940</v>
      </c>
      <c r="D436" s="4" t="s">
        <v>577</v>
      </c>
      <c r="E436" s="4" t="s">
        <v>15</v>
      </c>
      <c r="F436" s="4" t="s">
        <v>63</v>
      </c>
      <c r="G436" s="4" t="s">
        <v>24</v>
      </c>
      <c r="H436" s="4" t="s">
        <v>50</v>
      </c>
      <c r="I436" s="6">
        <v>6</v>
      </c>
      <c r="J436" s="6">
        <v>15384</v>
      </c>
      <c r="K436" s="6">
        <v>11417.67</v>
      </c>
      <c r="L436" s="6">
        <v>3966.33</v>
      </c>
    </row>
    <row r="437" spans="1:12" x14ac:dyDescent="0.3">
      <c r="A437" s="4" t="s">
        <v>941</v>
      </c>
      <c r="B437" s="5">
        <v>45906</v>
      </c>
      <c r="C437" s="4" t="s">
        <v>132</v>
      </c>
      <c r="D437" s="4" t="s">
        <v>942</v>
      </c>
      <c r="E437" s="4" t="s">
        <v>29</v>
      </c>
      <c r="F437" s="4" t="s">
        <v>102</v>
      </c>
      <c r="G437" s="4" t="s">
        <v>35</v>
      </c>
      <c r="H437" s="4" t="s">
        <v>45</v>
      </c>
      <c r="I437" s="6">
        <v>4</v>
      </c>
      <c r="J437" s="6">
        <v>3060</v>
      </c>
      <c r="K437" s="6">
        <v>2422.38</v>
      </c>
      <c r="L437" s="6">
        <v>637.62</v>
      </c>
    </row>
    <row r="438" spans="1:12" x14ac:dyDescent="0.3">
      <c r="A438" s="4" t="s">
        <v>943</v>
      </c>
      <c r="B438" s="5">
        <v>45720</v>
      </c>
      <c r="C438" s="4" t="s">
        <v>544</v>
      </c>
      <c r="D438" s="4" t="s">
        <v>944</v>
      </c>
      <c r="E438" s="4" t="s">
        <v>29</v>
      </c>
      <c r="F438" s="4" t="s">
        <v>30</v>
      </c>
      <c r="G438" s="4" t="s">
        <v>24</v>
      </c>
      <c r="H438" s="4" t="s">
        <v>25</v>
      </c>
      <c r="I438" s="6">
        <v>8</v>
      </c>
      <c r="J438" s="6">
        <v>21768</v>
      </c>
      <c r="K438" s="6">
        <v>13666.56</v>
      </c>
      <c r="L438" s="6">
        <v>8101.44</v>
      </c>
    </row>
    <row r="439" spans="1:12" x14ac:dyDescent="0.3">
      <c r="A439" s="4" t="s">
        <v>945</v>
      </c>
      <c r="B439" s="5">
        <v>46022</v>
      </c>
      <c r="C439" s="4" t="s">
        <v>168</v>
      </c>
      <c r="D439" s="4" t="s">
        <v>946</v>
      </c>
      <c r="E439" s="4" t="s">
        <v>15</v>
      </c>
      <c r="F439" s="4" t="s">
        <v>90</v>
      </c>
      <c r="G439" s="4" t="s">
        <v>17</v>
      </c>
      <c r="H439" s="4" t="s">
        <v>18</v>
      </c>
      <c r="I439" s="6">
        <v>10</v>
      </c>
      <c r="J439" s="6">
        <v>18550</v>
      </c>
      <c r="K439" s="6">
        <v>12112.22</v>
      </c>
      <c r="L439" s="6">
        <v>6437.78</v>
      </c>
    </row>
    <row r="440" spans="1:12" x14ac:dyDescent="0.3">
      <c r="A440" s="4" t="s">
        <v>947</v>
      </c>
      <c r="B440" s="5">
        <v>45965</v>
      </c>
      <c r="C440" s="4" t="s">
        <v>433</v>
      </c>
      <c r="D440" s="4" t="s">
        <v>436</v>
      </c>
      <c r="E440" s="4" t="s">
        <v>22</v>
      </c>
      <c r="F440" s="4" t="s">
        <v>79</v>
      </c>
      <c r="G440" s="4" t="s">
        <v>40</v>
      </c>
      <c r="H440" s="4" t="s">
        <v>41</v>
      </c>
      <c r="I440" s="6">
        <v>9</v>
      </c>
      <c r="J440" s="6">
        <v>24831</v>
      </c>
      <c r="K440" s="6">
        <v>19954.830000000002</v>
      </c>
      <c r="L440" s="6">
        <v>4876.17</v>
      </c>
    </row>
    <row r="441" spans="1:12" x14ac:dyDescent="0.3">
      <c r="A441" s="4" t="s">
        <v>948</v>
      </c>
      <c r="B441" s="5">
        <v>45864</v>
      </c>
      <c r="C441" s="4" t="s">
        <v>565</v>
      </c>
      <c r="D441" s="4" t="s">
        <v>829</v>
      </c>
      <c r="E441" s="4" t="s">
        <v>54</v>
      </c>
      <c r="F441" s="4" t="s">
        <v>142</v>
      </c>
      <c r="G441" s="4" t="s">
        <v>35</v>
      </c>
      <c r="H441" s="4" t="s">
        <v>80</v>
      </c>
      <c r="I441" s="6">
        <v>3</v>
      </c>
      <c r="J441" s="6">
        <v>7254</v>
      </c>
      <c r="K441" s="6">
        <v>5567.85</v>
      </c>
      <c r="L441" s="6">
        <v>1686.15</v>
      </c>
    </row>
    <row r="442" spans="1:12" x14ac:dyDescent="0.3">
      <c r="A442" s="4" t="s">
        <v>949</v>
      </c>
      <c r="B442" s="5">
        <v>45631</v>
      </c>
      <c r="C442" s="4" t="s">
        <v>547</v>
      </c>
      <c r="D442" s="4" t="s">
        <v>689</v>
      </c>
      <c r="E442" s="4" t="s">
        <v>15</v>
      </c>
      <c r="F442" s="4" t="s">
        <v>16</v>
      </c>
      <c r="G442" s="4" t="s">
        <v>40</v>
      </c>
      <c r="H442" s="4" t="s">
        <v>41</v>
      </c>
      <c r="I442" s="6">
        <v>4</v>
      </c>
      <c r="J442" s="6">
        <v>11260</v>
      </c>
      <c r="K442" s="6">
        <v>7613.36</v>
      </c>
      <c r="L442" s="6">
        <v>3646.64</v>
      </c>
    </row>
    <row r="443" spans="1:12" x14ac:dyDescent="0.3">
      <c r="A443" s="4" t="s">
        <v>950</v>
      </c>
      <c r="B443" s="5">
        <v>45889</v>
      </c>
      <c r="C443" s="4" t="s">
        <v>951</v>
      </c>
      <c r="D443" s="4" t="s">
        <v>105</v>
      </c>
      <c r="E443" s="4" t="s">
        <v>54</v>
      </c>
      <c r="F443" s="4" t="s">
        <v>55</v>
      </c>
      <c r="G443" s="4" t="s">
        <v>24</v>
      </c>
      <c r="H443" s="4" t="s">
        <v>50</v>
      </c>
      <c r="I443" s="6">
        <v>8</v>
      </c>
      <c r="J443" s="6">
        <v>5912</v>
      </c>
      <c r="K443" s="6">
        <v>4788.24</v>
      </c>
      <c r="L443" s="6">
        <v>1123.76</v>
      </c>
    </row>
    <row r="444" spans="1:12" x14ac:dyDescent="0.3">
      <c r="A444" s="4" t="s">
        <v>952</v>
      </c>
      <c r="B444" s="5">
        <v>45715</v>
      </c>
      <c r="C444" s="4" t="s">
        <v>771</v>
      </c>
      <c r="D444" s="4" t="s">
        <v>607</v>
      </c>
      <c r="E444" s="4" t="s">
        <v>22</v>
      </c>
      <c r="F444" s="4" t="s">
        <v>23</v>
      </c>
      <c r="G444" s="4" t="s">
        <v>35</v>
      </c>
      <c r="H444" s="4" t="s">
        <v>45</v>
      </c>
      <c r="I444" s="6">
        <v>2</v>
      </c>
      <c r="J444" s="6">
        <v>6852</v>
      </c>
      <c r="K444" s="6">
        <v>4857.74</v>
      </c>
      <c r="L444" s="6">
        <v>1994.26</v>
      </c>
    </row>
    <row r="445" spans="1:12" x14ac:dyDescent="0.3">
      <c r="A445" s="4" t="s">
        <v>953</v>
      </c>
      <c r="B445" s="5">
        <v>45760</v>
      </c>
      <c r="C445" s="4" t="s">
        <v>364</v>
      </c>
      <c r="D445" s="4" t="s">
        <v>711</v>
      </c>
      <c r="E445" s="4" t="s">
        <v>29</v>
      </c>
      <c r="F445" s="4" t="s">
        <v>102</v>
      </c>
      <c r="G445" s="4" t="s">
        <v>40</v>
      </c>
      <c r="H445" s="4" t="s">
        <v>41</v>
      </c>
      <c r="I445" s="6">
        <v>7</v>
      </c>
      <c r="J445" s="6">
        <v>34748</v>
      </c>
      <c r="K445" s="6">
        <v>28418.77</v>
      </c>
      <c r="L445" s="6">
        <v>6329.23</v>
      </c>
    </row>
    <row r="446" spans="1:12" x14ac:dyDescent="0.3">
      <c r="A446" s="4" t="s">
        <v>954</v>
      </c>
      <c r="B446" s="5">
        <v>45351</v>
      </c>
      <c r="C446" s="4" t="s">
        <v>955</v>
      </c>
      <c r="D446" s="4" t="s">
        <v>408</v>
      </c>
      <c r="E446" s="4" t="s">
        <v>29</v>
      </c>
      <c r="F446" s="4" t="s">
        <v>102</v>
      </c>
      <c r="G446" s="4" t="s">
        <v>35</v>
      </c>
      <c r="H446" s="4" t="s">
        <v>80</v>
      </c>
      <c r="I446" s="6">
        <v>6</v>
      </c>
      <c r="J446" s="6">
        <v>10488</v>
      </c>
      <c r="K446" s="6">
        <v>6754.53</v>
      </c>
      <c r="L446" s="6">
        <v>3733.47</v>
      </c>
    </row>
    <row r="447" spans="1:12" x14ac:dyDescent="0.3">
      <c r="A447" s="4" t="s">
        <v>956</v>
      </c>
      <c r="B447" s="5">
        <v>45382</v>
      </c>
      <c r="C447" s="4" t="s">
        <v>451</v>
      </c>
      <c r="D447" s="4" t="s">
        <v>252</v>
      </c>
      <c r="E447" s="4" t="s">
        <v>54</v>
      </c>
      <c r="F447" s="4" t="s">
        <v>142</v>
      </c>
      <c r="G447" s="4" t="s">
        <v>24</v>
      </c>
      <c r="H447" s="4" t="s">
        <v>166</v>
      </c>
      <c r="I447" s="6">
        <v>10</v>
      </c>
      <c r="J447" s="6">
        <v>15970</v>
      </c>
      <c r="K447" s="6">
        <v>11129.06</v>
      </c>
      <c r="L447" s="6">
        <v>4840.9399999999996</v>
      </c>
    </row>
    <row r="448" spans="1:12" x14ac:dyDescent="0.3">
      <c r="A448" s="4" t="s">
        <v>957</v>
      </c>
      <c r="B448" s="5">
        <v>45838</v>
      </c>
      <c r="C448" s="4" t="s">
        <v>503</v>
      </c>
      <c r="D448" s="4" t="s">
        <v>423</v>
      </c>
      <c r="E448" s="4" t="s">
        <v>22</v>
      </c>
      <c r="F448" s="4" t="s">
        <v>67</v>
      </c>
      <c r="G448" s="4" t="s">
        <v>35</v>
      </c>
      <c r="H448" s="4" t="s">
        <v>36</v>
      </c>
      <c r="I448" s="6">
        <v>8</v>
      </c>
      <c r="J448" s="6">
        <v>27520</v>
      </c>
      <c r="K448" s="6">
        <v>15174.55</v>
      </c>
      <c r="L448" s="6">
        <v>12345.45</v>
      </c>
    </row>
    <row r="449" spans="1:12" x14ac:dyDescent="0.3">
      <c r="A449" s="4" t="s">
        <v>958</v>
      </c>
      <c r="B449" s="5">
        <v>45933</v>
      </c>
      <c r="C449" s="4" t="s">
        <v>959</v>
      </c>
      <c r="D449" s="4" t="s">
        <v>621</v>
      </c>
      <c r="E449" s="4" t="s">
        <v>15</v>
      </c>
      <c r="F449" s="4" t="s">
        <v>63</v>
      </c>
      <c r="G449" s="4" t="s">
        <v>35</v>
      </c>
      <c r="H449" s="4" t="s">
        <v>45</v>
      </c>
      <c r="I449" s="6">
        <v>4</v>
      </c>
      <c r="J449" s="6">
        <v>1784</v>
      </c>
      <c r="K449" s="6">
        <v>1343.4</v>
      </c>
      <c r="L449" s="6">
        <v>440.6</v>
      </c>
    </row>
    <row r="450" spans="1:12" x14ac:dyDescent="0.3">
      <c r="A450" s="4" t="s">
        <v>960</v>
      </c>
      <c r="B450" s="5">
        <v>45605</v>
      </c>
      <c r="C450" s="4" t="s">
        <v>961</v>
      </c>
      <c r="D450" s="4" t="s">
        <v>862</v>
      </c>
      <c r="E450" s="4" t="s">
        <v>54</v>
      </c>
      <c r="F450" s="4" t="s">
        <v>55</v>
      </c>
      <c r="G450" s="4" t="s">
        <v>24</v>
      </c>
      <c r="H450" s="4" t="s">
        <v>166</v>
      </c>
      <c r="I450" s="6">
        <v>2</v>
      </c>
      <c r="J450" s="6">
        <v>6884</v>
      </c>
      <c r="K450" s="6">
        <v>4825.6899999999996</v>
      </c>
      <c r="L450" s="6">
        <v>2058.31</v>
      </c>
    </row>
    <row r="451" spans="1:12" x14ac:dyDescent="0.3">
      <c r="A451" s="4" t="s">
        <v>962</v>
      </c>
      <c r="B451" s="5">
        <v>45637</v>
      </c>
      <c r="C451" s="4" t="s">
        <v>176</v>
      </c>
      <c r="D451" s="4" t="s">
        <v>661</v>
      </c>
      <c r="E451" s="4" t="s">
        <v>15</v>
      </c>
      <c r="F451" s="4" t="s">
        <v>63</v>
      </c>
      <c r="G451" s="4" t="s">
        <v>40</v>
      </c>
      <c r="H451" s="4" t="s">
        <v>99</v>
      </c>
      <c r="I451" s="6">
        <v>8</v>
      </c>
      <c r="J451" s="6">
        <v>36496</v>
      </c>
      <c r="K451" s="6">
        <v>26602.33</v>
      </c>
      <c r="L451" s="6">
        <v>9893.67</v>
      </c>
    </row>
    <row r="452" spans="1:12" x14ac:dyDescent="0.3">
      <c r="A452" s="4" t="s">
        <v>963</v>
      </c>
      <c r="B452" s="5">
        <v>45705</v>
      </c>
      <c r="C452" s="4" t="s">
        <v>964</v>
      </c>
      <c r="D452" s="4" t="s">
        <v>909</v>
      </c>
      <c r="E452" s="4" t="s">
        <v>54</v>
      </c>
      <c r="F452" s="4" t="s">
        <v>55</v>
      </c>
      <c r="G452" s="4" t="s">
        <v>40</v>
      </c>
      <c r="H452" s="4" t="s">
        <v>41</v>
      </c>
      <c r="I452" s="6">
        <v>4</v>
      </c>
      <c r="J452" s="6">
        <v>6600</v>
      </c>
      <c r="K452" s="6">
        <v>5507.21</v>
      </c>
      <c r="L452" s="6">
        <v>1092.79</v>
      </c>
    </row>
    <row r="453" spans="1:12" x14ac:dyDescent="0.3">
      <c r="A453" s="4" t="s">
        <v>965</v>
      </c>
      <c r="B453" s="5">
        <v>45465</v>
      </c>
      <c r="C453" s="4" t="s">
        <v>966</v>
      </c>
      <c r="D453" s="4" t="s">
        <v>381</v>
      </c>
      <c r="E453" s="4" t="s">
        <v>29</v>
      </c>
      <c r="F453" s="4" t="s">
        <v>30</v>
      </c>
      <c r="G453" s="4" t="s">
        <v>24</v>
      </c>
      <c r="H453" s="4" t="s">
        <v>166</v>
      </c>
      <c r="I453" s="6">
        <v>4</v>
      </c>
      <c r="J453" s="6">
        <v>1916</v>
      </c>
      <c r="K453" s="6">
        <v>1392.76</v>
      </c>
      <c r="L453" s="6">
        <v>523.24</v>
      </c>
    </row>
    <row r="454" spans="1:12" x14ac:dyDescent="0.3">
      <c r="A454" s="4" t="s">
        <v>967</v>
      </c>
      <c r="B454" s="5">
        <v>45900</v>
      </c>
      <c r="C454" s="4" t="s">
        <v>668</v>
      </c>
      <c r="D454" s="4" t="s">
        <v>852</v>
      </c>
      <c r="E454" s="4" t="s">
        <v>15</v>
      </c>
      <c r="F454" s="4" t="s">
        <v>63</v>
      </c>
      <c r="G454" s="4" t="s">
        <v>17</v>
      </c>
      <c r="H454" s="4" t="s">
        <v>31</v>
      </c>
      <c r="I454" s="6">
        <v>5</v>
      </c>
      <c r="J454" s="6">
        <v>23400</v>
      </c>
      <c r="K454" s="6">
        <v>17244.41</v>
      </c>
      <c r="L454" s="6">
        <v>6155.59</v>
      </c>
    </row>
    <row r="455" spans="1:12" x14ac:dyDescent="0.3">
      <c r="A455" s="4" t="s">
        <v>968</v>
      </c>
      <c r="B455" s="5">
        <v>45418</v>
      </c>
      <c r="C455" s="4" t="s">
        <v>969</v>
      </c>
      <c r="D455" s="4" t="s">
        <v>701</v>
      </c>
      <c r="E455" s="4" t="s">
        <v>15</v>
      </c>
      <c r="F455" s="4" t="s">
        <v>16</v>
      </c>
      <c r="G455" s="4" t="s">
        <v>17</v>
      </c>
      <c r="H455" s="4" t="s">
        <v>18</v>
      </c>
      <c r="I455" s="6">
        <v>2</v>
      </c>
      <c r="J455" s="6">
        <v>7428</v>
      </c>
      <c r="K455" s="6">
        <v>5075.51</v>
      </c>
      <c r="L455" s="6">
        <v>2352.4899999999998</v>
      </c>
    </row>
    <row r="456" spans="1:12" x14ac:dyDescent="0.3">
      <c r="A456" s="4" t="s">
        <v>970</v>
      </c>
      <c r="B456" s="5">
        <v>45969</v>
      </c>
      <c r="C456" s="4" t="s">
        <v>346</v>
      </c>
      <c r="D456" s="4" t="s">
        <v>971</v>
      </c>
      <c r="E456" s="4" t="s">
        <v>22</v>
      </c>
      <c r="F456" s="4" t="s">
        <v>79</v>
      </c>
      <c r="G456" s="4" t="s">
        <v>24</v>
      </c>
      <c r="H456" s="4" t="s">
        <v>166</v>
      </c>
      <c r="I456" s="6">
        <v>4</v>
      </c>
      <c r="J456" s="6">
        <v>1504</v>
      </c>
      <c r="K456" s="6">
        <v>963.06</v>
      </c>
      <c r="L456" s="6">
        <v>540.94000000000005</v>
      </c>
    </row>
    <row r="457" spans="1:12" x14ac:dyDescent="0.3">
      <c r="A457" s="4" t="s">
        <v>972</v>
      </c>
      <c r="B457" s="5">
        <v>45399</v>
      </c>
      <c r="C457" s="4" t="s">
        <v>464</v>
      </c>
      <c r="D457" s="4" t="s">
        <v>973</v>
      </c>
      <c r="E457" s="4" t="s">
        <v>54</v>
      </c>
      <c r="F457" s="4" t="s">
        <v>71</v>
      </c>
      <c r="G457" s="4" t="s">
        <v>17</v>
      </c>
      <c r="H457" s="4" t="s">
        <v>72</v>
      </c>
      <c r="I457" s="6">
        <v>3</v>
      </c>
      <c r="J457" s="6">
        <v>11193</v>
      </c>
      <c r="K457" s="6">
        <v>8945.4</v>
      </c>
      <c r="L457" s="6">
        <v>2247.6</v>
      </c>
    </row>
    <row r="458" spans="1:12" x14ac:dyDescent="0.3">
      <c r="A458" s="4" t="s">
        <v>974</v>
      </c>
      <c r="B458" s="5">
        <v>45561</v>
      </c>
      <c r="C458" s="4" t="s">
        <v>826</v>
      </c>
      <c r="D458" s="4" t="s">
        <v>879</v>
      </c>
      <c r="E458" s="4" t="s">
        <v>54</v>
      </c>
      <c r="F458" s="4" t="s">
        <v>142</v>
      </c>
      <c r="G458" s="4" t="s">
        <v>24</v>
      </c>
      <c r="H458" s="4" t="s">
        <v>50</v>
      </c>
      <c r="I458" s="6">
        <v>8</v>
      </c>
      <c r="J458" s="6">
        <v>15416</v>
      </c>
      <c r="K458" s="6">
        <v>11295.31</v>
      </c>
      <c r="L458" s="6">
        <v>4120.6899999999996</v>
      </c>
    </row>
    <row r="459" spans="1:12" x14ac:dyDescent="0.3">
      <c r="A459" s="4" t="s">
        <v>975</v>
      </c>
      <c r="B459" s="5">
        <v>45800</v>
      </c>
      <c r="C459" s="4" t="s">
        <v>976</v>
      </c>
      <c r="D459" s="4" t="s">
        <v>977</v>
      </c>
      <c r="E459" s="4" t="s">
        <v>54</v>
      </c>
      <c r="F459" s="4" t="s">
        <v>71</v>
      </c>
      <c r="G459" s="4" t="s">
        <v>35</v>
      </c>
      <c r="H459" s="4" t="s">
        <v>36</v>
      </c>
      <c r="I459" s="6">
        <v>5</v>
      </c>
      <c r="J459" s="6">
        <v>8065</v>
      </c>
      <c r="K459" s="6">
        <v>4531.09</v>
      </c>
      <c r="L459" s="6">
        <v>3533.91</v>
      </c>
    </row>
    <row r="460" spans="1:12" x14ac:dyDescent="0.3">
      <c r="A460" s="4" t="s">
        <v>978</v>
      </c>
      <c r="B460" s="5">
        <v>45879</v>
      </c>
      <c r="C460" s="4" t="s">
        <v>843</v>
      </c>
      <c r="D460" s="4" t="s">
        <v>917</v>
      </c>
      <c r="E460" s="4" t="s">
        <v>54</v>
      </c>
      <c r="F460" s="4" t="s">
        <v>142</v>
      </c>
      <c r="G460" s="4" t="s">
        <v>24</v>
      </c>
      <c r="H460" s="4" t="s">
        <v>25</v>
      </c>
      <c r="I460" s="6">
        <v>1</v>
      </c>
      <c r="J460" s="6">
        <v>1029</v>
      </c>
      <c r="K460" s="6">
        <v>845.9</v>
      </c>
      <c r="L460" s="6">
        <v>183.1</v>
      </c>
    </row>
    <row r="461" spans="1:12" x14ac:dyDescent="0.3">
      <c r="A461" s="4" t="s">
        <v>979</v>
      </c>
      <c r="B461" s="5">
        <v>45759</v>
      </c>
      <c r="C461" s="4" t="s">
        <v>812</v>
      </c>
      <c r="D461" s="4" t="s">
        <v>385</v>
      </c>
      <c r="E461" s="4" t="s">
        <v>15</v>
      </c>
      <c r="F461" s="4" t="s">
        <v>90</v>
      </c>
      <c r="G461" s="4" t="s">
        <v>24</v>
      </c>
      <c r="H461" s="4" t="s">
        <v>50</v>
      </c>
      <c r="I461" s="6">
        <v>2</v>
      </c>
      <c r="J461" s="6">
        <v>4792</v>
      </c>
      <c r="K461" s="6">
        <v>3561.9</v>
      </c>
      <c r="L461" s="6">
        <v>1230.0999999999999</v>
      </c>
    </row>
    <row r="462" spans="1:12" x14ac:dyDescent="0.3">
      <c r="A462" s="4" t="s">
        <v>980</v>
      </c>
      <c r="B462" s="5">
        <v>45660</v>
      </c>
      <c r="C462" s="4" t="s">
        <v>981</v>
      </c>
      <c r="D462" s="4" t="s">
        <v>982</v>
      </c>
      <c r="E462" s="4" t="s">
        <v>22</v>
      </c>
      <c r="F462" s="4" t="s">
        <v>23</v>
      </c>
      <c r="G462" s="4" t="s">
        <v>24</v>
      </c>
      <c r="H462" s="4" t="s">
        <v>50</v>
      </c>
      <c r="I462" s="6">
        <v>3</v>
      </c>
      <c r="J462" s="6">
        <v>1869</v>
      </c>
      <c r="K462" s="6">
        <v>1505.81</v>
      </c>
      <c r="L462" s="6">
        <v>363.19</v>
      </c>
    </row>
    <row r="463" spans="1:12" x14ac:dyDescent="0.3">
      <c r="A463" s="4" t="s">
        <v>983</v>
      </c>
      <c r="B463" s="5">
        <v>45466</v>
      </c>
      <c r="C463" s="4" t="s">
        <v>984</v>
      </c>
      <c r="D463" s="4" t="s">
        <v>359</v>
      </c>
      <c r="E463" s="4" t="s">
        <v>15</v>
      </c>
      <c r="F463" s="4" t="s">
        <v>16</v>
      </c>
      <c r="G463" s="4" t="s">
        <v>24</v>
      </c>
      <c r="H463" s="4" t="s">
        <v>25</v>
      </c>
      <c r="I463" s="6">
        <v>1</v>
      </c>
      <c r="J463" s="6">
        <v>1433</v>
      </c>
      <c r="K463" s="6">
        <v>1073.33</v>
      </c>
      <c r="L463" s="6">
        <v>359.67</v>
      </c>
    </row>
    <row r="464" spans="1:12" x14ac:dyDescent="0.3">
      <c r="A464" s="4" t="s">
        <v>985</v>
      </c>
      <c r="B464" s="5">
        <v>45479</v>
      </c>
      <c r="C464" s="4" t="s">
        <v>77</v>
      </c>
      <c r="D464" s="4" t="s">
        <v>839</v>
      </c>
      <c r="E464" s="4" t="s">
        <v>22</v>
      </c>
      <c r="F464" s="4" t="s">
        <v>79</v>
      </c>
      <c r="G464" s="4" t="s">
        <v>40</v>
      </c>
      <c r="H464" s="4" t="s">
        <v>99</v>
      </c>
      <c r="I464" s="6">
        <v>2</v>
      </c>
      <c r="J464" s="6">
        <v>6704</v>
      </c>
      <c r="K464" s="6">
        <v>5326.26</v>
      </c>
      <c r="L464" s="6">
        <v>1377.74</v>
      </c>
    </row>
    <row r="465" spans="1:12" x14ac:dyDescent="0.3">
      <c r="A465" s="4" t="s">
        <v>986</v>
      </c>
      <c r="B465" s="5">
        <v>45956</v>
      </c>
      <c r="C465" s="4" t="s">
        <v>961</v>
      </c>
      <c r="D465" s="4" t="s">
        <v>987</v>
      </c>
      <c r="E465" s="4" t="s">
        <v>22</v>
      </c>
      <c r="F465" s="4" t="s">
        <v>67</v>
      </c>
      <c r="G465" s="4" t="s">
        <v>40</v>
      </c>
      <c r="H465" s="4" t="s">
        <v>99</v>
      </c>
      <c r="I465" s="6">
        <v>7</v>
      </c>
      <c r="J465" s="6">
        <v>29519</v>
      </c>
      <c r="K465" s="6">
        <v>23319.119999999999</v>
      </c>
      <c r="L465" s="6">
        <v>6199.88</v>
      </c>
    </row>
    <row r="466" spans="1:12" x14ac:dyDescent="0.3">
      <c r="A466" s="4" t="s">
        <v>988</v>
      </c>
      <c r="B466" s="5">
        <v>45896</v>
      </c>
      <c r="C466" s="4" t="s">
        <v>751</v>
      </c>
      <c r="D466" s="4" t="s">
        <v>989</v>
      </c>
      <c r="E466" s="4" t="s">
        <v>29</v>
      </c>
      <c r="F466" s="4" t="s">
        <v>30</v>
      </c>
      <c r="G466" s="4" t="s">
        <v>17</v>
      </c>
      <c r="H466" s="4" t="s">
        <v>18</v>
      </c>
      <c r="I466" s="6">
        <v>1</v>
      </c>
      <c r="J466" s="6">
        <v>1605</v>
      </c>
      <c r="K466" s="6">
        <v>932.69</v>
      </c>
      <c r="L466" s="6">
        <v>672.31</v>
      </c>
    </row>
    <row r="467" spans="1:12" x14ac:dyDescent="0.3">
      <c r="A467" s="4" t="s">
        <v>990</v>
      </c>
      <c r="B467" s="5">
        <v>45992</v>
      </c>
      <c r="C467" s="4" t="s">
        <v>451</v>
      </c>
      <c r="D467" s="4" t="s">
        <v>340</v>
      </c>
      <c r="E467" s="4" t="s">
        <v>22</v>
      </c>
      <c r="F467" s="4" t="s">
        <v>23</v>
      </c>
      <c r="G467" s="4" t="s">
        <v>17</v>
      </c>
      <c r="H467" s="4" t="s">
        <v>72</v>
      </c>
      <c r="I467" s="6">
        <v>7</v>
      </c>
      <c r="J467" s="6">
        <v>22659</v>
      </c>
      <c r="K467" s="6">
        <v>16618.28</v>
      </c>
      <c r="L467" s="6">
        <v>6040.72</v>
      </c>
    </row>
    <row r="468" spans="1:12" x14ac:dyDescent="0.3">
      <c r="A468" s="4" t="s">
        <v>991</v>
      </c>
      <c r="B468" s="5">
        <v>45962</v>
      </c>
      <c r="C468" s="4" t="s">
        <v>981</v>
      </c>
      <c r="D468" s="4" t="s">
        <v>249</v>
      </c>
      <c r="E468" s="4" t="s">
        <v>22</v>
      </c>
      <c r="F468" s="4" t="s">
        <v>23</v>
      </c>
      <c r="G468" s="4" t="s">
        <v>35</v>
      </c>
      <c r="H468" s="4" t="s">
        <v>36</v>
      </c>
      <c r="I468" s="6">
        <v>8</v>
      </c>
      <c r="J468" s="6">
        <v>5408</v>
      </c>
      <c r="K468" s="6">
        <v>3077.16</v>
      </c>
      <c r="L468" s="6">
        <v>2330.84</v>
      </c>
    </row>
    <row r="469" spans="1:12" x14ac:dyDescent="0.3">
      <c r="A469" s="4" t="s">
        <v>992</v>
      </c>
      <c r="B469" s="5">
        <v>45925</v>
      </c>
      <c r="C469" s="4" t="s">
        <v>993</v>
      </c>
      <c r="D469" s="4" t="s">
        <v>719</v>
      </c>
      <c r="E469" s="4" t="s">
        <v>29</v>
      </c>
      <c r="F469" s="4" t="s">
        <v>30</v>
      </c>
      <c r="G469" s="4" t="s">
        <v>40</v>
      </c>
      <c r="H469" s="4" t="s">
        <v>41</v>
      </c>
      <c r="I469" s="6">
        <v>9</v>
      </c>
      <c r="J469" s="6">
        <v>41265</v>
      </c>
      <c r="K469" s="6">
        <v>31215.84</v>
      </c>
      <c r="L469" s="6">
        <v>10049.16</v>
      </c>
    </row>
    <row r="470" spans="1:12" x14ac:dyDescent="0.3">
      <c r="A470" s="4" t="s">
        <v>994</v>
      </c>
      <c r="B470" s="5">
        <v>45863</v>
      </c>
      <c r="C470" s="4" t="s">
        <v>771</v>
      </c>
      <c r="D470" s="4" t="s">
        <v>746</v>
      </c>
      <c r="E470" s="4" t="s">
        <v>29</v>
      </c>
      <c r="F470" s="4" t="s">
        <v>49</v>
      </c>
      <c r="G470" s="4" t="s">
        <v>40</v>
      </c>
      <c r="H470" s="4" t="s">
        <v>41</v>
      </c>
      <c r="I470" s="6">
        <v>7</v>
      </c>
      <c r="J470" s="6">
        <v>10619</v>
      </c>
      <c r="K470" s="6">
        <v>8513.36</v>
      </c>
      <c r="L470" s="6">
        <v>2105.64</v>
      </c>
    </row>
    <row r="471" spans="1:12" x14ac:dyDescent="0.3">
      <c r="A471" s="4" t="s">
        <v>995</v>
      </c>
      <c r="B471" s="5">
        <v>45795</v>
      </c>
      <c r="C471" s="4" t="s">
        <v>624</v>
      </c>
      <c r="D471" s="4" t="s">
        <v>264</v>
      </c>
      <c r="E471" s="4" t="s">
        <v>29</v>
      </c>
      <c r="F471" s="4" t="s">
        <v>30</v>
      </c>
      <c r="G471" s="4" t="s">
        <v>35</v>
      </c>
      <c r="H471" s="4" t="s">
        <v>80</v>
      </c>
      <c r="I471" s="6">
        <v>8</v>
      </c>
      <c r="J471" s="6">
        <v>13232</v>
      </c>
      <c r="K471" s="6">
        <v>7574.79</v>
      </c>
      <c r="L471" s="6">
        <v>5657.21</v>
      </c>
    </row>
    <row r="472" spans="1:12" x14ac:dyDescent="0.3">
      <c r="A472" s="4" t="s">
        <v>996</v>
      </c>
      <c r="B472" s="5">
        <v>45679</v>
      </c>
      <c r="C472" s="4" t="s">
        <v>132</v>
      </c>
      <c r="D472" s="4" t="s">
        <v>508</v>
      </c>
      <c r="E472" s="4" t="s">
        <v>54</v>
      </c>
      <c r="F472" s="4" t="s">
        <v>55</v>
      </c>
      <c r="G472" s="4" t="s">
        <v>24</v>
      </c>
      <c r="H472" s="4" t="s">
        <v>25</v>
      </c>
      <c r="I472" s="6">
        <v>9</v>
      </c>
      <c r="J472" s="6">
        <v>19116</v>
      </c>
      <c r="K472" s="6">
        <v>13670.78</v>
      </c>
      <c r="L472" s="6">
        <v>5445.22</v>
      </c>
    </row>
    <row r="473" spans="1:12" x14ac:dyDescent="0.3">
      <c r="A473" s="4" t="s">
        <v>997</v>
      </c>
      <c r="B473" s="5">
        <v>45802</v>
      </c>
      <c r="C473" s="4" t="s">
        <v>209</v>
      </c>
      <c r="D473" s="4" t="s">
        <v>711</v>
      </c>
      <c r="E473" s="4" t="s">
        <v>15</v>
      </c>
      <c r="F473" s="4" t="s">
        <v>63</v>
      </c>
      <c r="G473" s="4" t="s">
        <v>35</v>
      </c>
      <c r="H473" s="4" t="s">
        <v>80</v>
      </c>
      <c r="I473" s="6">
        <v>10</v>
      </c>
      <c r="J473" s="6">
        <v>39700</v>
      </c>
      <c r="K473" s="6">
        <v>22883.32</v>
      </c>
      <c r="L473" s="6">
        <v>16816.68</v>
      </c>
    </row>
    <row r="474" spans="1:12" x14ac:dyDescent="0.3">
      <c r="A474" s="4" t="s">
        <v>998</v>
      </c>
      <c r="B474" s="5">
        <v>45328</v>
      </c>
      <c r="C474" s="4" t="s">
        <v>433</v>
      </c>
      <c r="D474" s="4" t="s">
        <v>869</v>
      </c>
      <c r="E474" s="4" t="s">
        <v>15</v>
      </c>
      <c r="F474" s="4" t="s">
        <v>63</v>
      </c>
      <c r="G474" s="4" t="s">
        <v>17</v>
      </c>
      <c r="H474" s="4" t="s">
        <v>18</v>
      </c>
      <c r="I474" s="6">
        <v>1</v>
      </c>
      <c r="J474" s="6">
        <v>1140</v>
      </c>
      <c r="K474" s="6">
        <v>764.98</v>
      </c>
      <c r="L474" s="6">
        <v>375.02</v>
      </c>
    </row>
    <row r="475" spans="1:12" x14ac:dyDescent="0.3">
      <c r="A475" s="4" t="s">
        <v>999</v>
      </c>
      <c r="B475" s="5">
        <v>45867</v>
      </c>
      <c r="C475" s="4" t="s">
        <v>783</v>
      </c>
      <c r="D475" s="4" t="s">
        <v>369</v>
      </c>
      <c r="E475" s="4" t="s">
        <v>15</v>
      </c>
      <c r="F475" s="4" t="s">
        <v>16</v>
      </c>
      <c r="G475" s="4" t="s">
        <v>17</v>
      </c>
      <c r="H475" s="4" t="s">
        <v>72</v>
      </c>
      <c r="I475" s="6">
        <v>10</v>
      </c>
      <c r="J475" s="6">
        <v>27950</v>
      </c>
      <c r="K475" s="6">
        <v>22836.080000000002</v>
      </c>
      <c r="L475" s="6">
        <v>5113.92</v>
      </c>
    </row>
    <row r="476" spans="1:12" x14ac:dyDescent="0.3">
      <c r="A476" s="4" t="s">
        <v>1000</v>
      </c>
      <c r="B476" s="5">
        <v>45926</v>
      </c>
      <c r="C476" s="4" t="s">
        <v>1001</v>
      </c>
      <c r="D476" s="4" t="s">
        <v>160</v>
      </c>
      <c r="E476" s="4" t="s">
        <v>54</v>
      </c>
      <c r="F476" s="4" t="s">
        <v>55</v>
      </c>
      <c r="G476" s="4" t="s">
        <v>24</v>
      </c>
      <c r="H476" s="4" t="s">
        <v>25</v>
      </c>
      <c r="I476" s="6">
        <v>4</v>
      </c>
      <c r="J476" s="6">
        <v>16088</v>
      </c>
      <c r="K476" s="6">
        <v>10450.629999999999</v>
      </c>
      <c r="L476" s="6">
        <v>5637.37</v>
      </c>
    </row>
    <row r="477" spans="1:12" x14ac:dyDescent="0.3">
      <c r="A477" s="4" t="s">
        <v>1002</v>
      </c>
      <c r="B477" s="5">
        <v>45940</v>
      </c>
      <c r="C477" s="4" t="s">
        <v>727</v>
      </c>
      <c r="D477" s="4" t="s">
        <v>414</v>
      </c>
      <c r="E477" s="4" t="s">
        <v>22</v>
      </c>
      <c r="F477" s="4" t="s">
        <v>23</v>
      </c>
      <c r="G477" s="4" t="s">
        <v>24</v>
      </c>
      <c r="H477" s="4" t="s">
        <v>50</v>
      </c>
      <c r="I477" s="6">
        <v>4</v>
      </c>
      <c r="J477" s="6">
        <v>1268</v>
      </c>
      <c r="K477" s="6">
        <v>827.25</v>
      </c>
      <c r="L477" s="6">
        <v>440.75</v>
      </c>
    </row>
    <row r="478" spans="1:12" x14ac:dyDescent="0.3">
      <c r="A478" s="4" t="s">
        <v>1003</v>
      </c>
      <c r="B478" s="5">
        <v>45711</v>
      </c>
      <c r="C478" s="4" t="s">
        <v>745</v>
      </c>
      <c r="D478" s="4" t="s">
        <v>180</v>
      </c>
      <c r="E478" s="4" t="s">
        <v>54</v>
      </c>
      <c r="F478" s="4" t="s">
        <v>71</v>
      </c>
      <c r="G478" s="4" t="s">
        <v>24</v>
      </c>
      <c r="H478" s="4" t="s">
        <v>50</v>
      </c>
      <c r="I478" s="6">
        <v>1</v>
      </c>
      <c r="J478" s="6">
        <v>1644</v>
      </c>
      <c r="K478" s="6">
        <v>1147.06</v>
      </c>
      <c r="L478" s="6">
        <v>496.94</v>
      </c>
    </row>
    <row r="479" spans="1:12" x14ac:dyDescent="0.3">
      <c r="A479" s="4" t="s">
        <v>1004</v>
      </c>
      <c r="B479" s="5">
        <v>45487</v>
      </c>
      <c r="C479" s="4" t="s">
        <v>535</v>
      </c>
      <c r="D479" s="4" t="s">
        <v>852</v>
      </c>
      <c r="E479" s="4" t="s">
        <v>29</v>
      </c>
      <c r="F479" s="4" t="s">
        <v>102</v>
      </c>
      <c r="G479" s="4" t="s">
        <v>24</v>
      </c>
      <c r="H479" s="4" t="s">
        <v>50</v>
      </c>
      <c r="I479" s="6">
        <v>7</v>
      </c>
      <c r="J479" s="6">
        <v>14462</v>
      </c>
      <c r="K479" s="6">
        <v>9937.0400000000009</v>
      </c>
      <c r="L479" s="6">
        <v>4524.96</v>
      </c>
    </row>
    <row r="480" spans="1:12" x14ac:dyDescent="0.3">
      <c r="A480" s="4" t="s">
        <v>1005</v>
      </c>
      <c r="B480" s="5">
        <v>45753</v>
      </c>
      <c r="C480" s="4" t="s">
        <v>516</v>
      </c>
      <c r="D480" s="4" t="s">
        <v>696</v>
      </c>
      <c r="E480" s="4" t="s">
        <v>22</v>
      </c>
      <c r="F480" s="4" t="s">
        <v>23</v>
      </c>
      <c r="G480" s="4" t="s">
        <v>17</v>
      </c>
      <c r="H480" s="4" t="s">
        <v>31</v>
      </c>
      <c r="I480" s="6">
        <v>10</v>
      </c>
      <c r="J480" s="6">
        <v>13090</v>
      </c>
      <c r="K480" s="6">
        <v>10231.709999999999</v>
      </c>
      <c r="L480" s="6">
        <v>2858.29</v>
      </c>
    </row>
    <row r="481" spans="1:12" x14ac:dyDescent="0.3">
      <c r="A481" s="4" t="s">
        <v>1006</v>
      </c>
      <c r="B481" s="5">
        <v>45735</v>
      </c>
      <c r="C481" s="4" t="s">
        <v>313</v>
      </c>
      <c r="D481" s="4" t="s">
        <v>340</v>
      </c>
      <c r="E481" s="4" t="s">
        <v>29</v>
      </c>
      <c r="F481" s="4" t="s">
        <v>49</v>
      </c>
      <c r="G481" s="4" t="s">
        <v>24</v>
      </c>
      <c r="H481" s="4" t="s">
        <v>25</v>
      </c>
      <c r="I481" s="6">
        <v>9</v>
      </c>
      <c r="J481" s="6">
        <v>6273</v>
      </c>
      <c r="K481" s="6">
        <v>4491.2700000000004</v>
      </c>
      <c r="L481" s="6">
        <v>1781.73</v>
      </c>
    </row>
    <row r="482" spans="1:12" x14ac:dyDescent="0.3">
      <c r="A482" s="4" t="s">
        <v>1007</v>
      </c>
      <c r="B482" s="5">
        <v>45965</v>
      </c>
      <c r="C482" s="4" t="s">
        <v>624</v>
      </c>
      <c r="D482" s="4" t="s">
        <v>696</v>
      </c>
      <c r="E482" s="4" t="s">
        <v>29</v>
      </c>
      <c r="F482" s="4" t="s">
        <v>30</v>
      </c>
      <c r="G482" s="4" t="s">
        <v>17</v>
      </c>
      <c r="H482" s="4" t="s">
        <v>72</v>
      </c>
      <c r="I482" s="6">
        <v>3</v>
      </c>
      <c r="J482" s="6">
        <v>4053</v>
      </c>
      <c r="K482" s="6">
        <v>2355.06</v>
      </c>
      <c r="L482" s="6">
        <v>1697.94</v>
      </c>
    </row>
    <row r="483" spans="1:12" x14ac:dyDescent="0.3">
      <c r="A483" s="4" t="s">
        <v>1008</v>
      </c>
      <c r="B483" s="5">
        <v>45643</v>
      </c>
      <c r="C483" s="4" t="s">
        <v>358</v>
      </c>
      <c r="D483" s="4" t="s">
        <v>408</v>
      </c>
      <c r="E483" s="4" t="s">
        <v>22</v>
      </c>
      <c r="F483" s="4" t="s">
        <v>67</v>
      </c>
      <c r="G483" s="4" t="s">
        <v>17</v>
      </c>
      <c r="H483" s="4" t="s">
        <v>72</v>
      </c>
      <c r="I483" s="6">
        <v>4</v>
      </c>
      <c r="J483" s="6">
        <v>10164</v>
      </c>
      <c r="K483" s="6">
        <v>6803.39</v>
      </c>
      <c r="L483" s="6">
        <v>3360.61</v>
      </c>
    </row>
    <row r="484" spans="1:12" x14ac:dyDescent="0.3">
      <c r="A484" s="4" t="s">
        <v>1009</v>
      </c>
      <c r="B484" s="5">
        <v>46010</v>
      </c>
      <c r="C484" s="4" t="s">
        <v>969</v>
      </c>
      <c r="D484" s="4" t="s">
        <v>127</v>
      </c>
      <c r="E484" s="4" t="s">
        <v>29</v>
      </c>
      <c r="F484" s="4" t="s">
        <v>102</v>
      </c>
      <c r="G484" s="4" t="s">
        <v>35</v>
      </c>
      <c r="H484" s="4" t="s">
        <v>36</v>
      </c>
      <c r="I484" s="6">
        <v>10</v>
      </c>
      <c r="J484" s="6">
        <v>44960</v>
      </c>
      <c r="K484" s="6">
        <v>28759.74</v>
      </c>
      <c r="L484" s="6">
        <v>16200.26</v>
      </c>
    </row>
    <row r="485" spans="1:12" x14ac:dyDescent="0.3">
      <c r="A485" s="4" t="s">
        <v>1010</v>
      </c>
      <c r="B485" s="5">
        <v>45980</v>
      </c>
      <c r="C485" s="4" t="s">
        <v>403</v>
      </c>
      <c r="D485" s="4" t="s">
        <v>1011</v>
      </c>
      <c r="E485" s="4" t="s">
        <v>29</v>
      </c>
      <c r="F485" s="4" t="s">
        <v>102</v>
      </c>
      <c r="G485" s="4" t="s">
        <v>40</v>
      </c>
      <c r="H485" s="4" t="s">
        <v>56</v>
      </c>
      <c r="I485" s="6">
        <v>10</v>
      </c>
      <c r="J485" s="6">
        <v>26800</v>
      </c>
      <c r="K485" s="6">
        <v>20260.349999999999</v>
      </c>
      <c r="L485" s="6">
        <v>6539.65</v>
      </c>
    </row>
    <row r="486" spans="1:12" x14ac:dyDescent="0.3">
      <c r="A486" s="4" t="s">
        <v>1012</v>
      </c>
      <c r="B486" s="5">
        <v>45876</v>
      </c>
      <c r="C486" s="4" t="s">
        <v>455</v>
      </c>
      <c r="D486" s="4" t="s">
        <v>946</v>
      </c>
      <c r="E486" s="4" t="s">
        <v>54</v>
      </c>
      <c r="F486" s="4" t="s">
        <v>71</v>
      </c>
      <c r="G486" s="4" t="s">
        <v>24</v>
      </c>
      <c r="H486" s="4" t="s">
        <v>50</v>
      </c>
      <c r="I486" s="6">
        <v>6</v>
      </c>
      <c r="J486" s="6">
        <v>29436</v>
      </c>
      <c r="K486" s="6">
        <v>20431.849999999999</v>
      </c>
      <c r="L486" s="6">
        <v>9004.15</v>
      </c>
    </row>
    <row r="487" spans="1:12" x14ac:dyDescent="0.3">
      <c r="A487" s="4" t="s">
        <v>1013</v>
      </c>
      <c r="B487" s="5">
        <v>45440</v>
      </c>
      <c r="C487" s="4" t="s">
        <v>771</v>
      </c>
      <c r="D487" s="4" t="s">
        <v>654</v>
      </c>
      <c r="E487" s="4" t="s">
        <v>54</v>
      </c>
      <c r="F487" s="4" t="s">
        <v>55</v>
      </c>
      <c r="G487" s="4" t="s">
        <v>24</v>
      </c>
      <c r="H487" s="4" t="s">
        <v>25</v>
      </c>
      <c r="I487" s="6">
        <v>9</v>
      </c>
      <c r="J487" s="6">
        <v>10548</v>
      </c>
      <c r="K487" s="6">
        <v>5881.37</v>
      </c>
      <c r="L487" s="6">
        <v>4666.63</v>
      </c>
    </row>
    <row r="488" spans="1:12" x14ac:dyDescent="0.3">
      <c r="A488" s="4" t="s">
        <v>1014</v>
      </c>
      <c r="B488" s="5">
        <v>45355</v>
      </c>
      <c r="C488" s="4" t="s">
        <v>812</v>
      </c>
      <c r="D488" s="4" t="s">
        <v>580</v>
      </c>
      <c r="E488" s="4" t="s">
        <v>29</v>
      </c>
      <c r="F488" s="4" t="s">
        <v>49</v>
      </c>
      <c r="G488" s="4" t="s">
        <v>24</v>
      </c>
      <c r="H488" s="4" t="s">
        <v>166</v>
      </c>
      <c r="I488" s="6">
        <v>5</v>
      </c>
      <c r="J488" s="6">
        <v>11760</v>
      </c>
      <c r="K488" s="6">
        <v>6984.6</v>
      </c>
      <c r="L488" s="6">
        <v>4775.3999999999996</v>
      </c>
    </row>
    <row r="489" spans="1:12" x14ac:dyDescent="0.3">
      <c r="A489" s="4" t="s">
        <v>1015</v>
      </c>
      <c r="B489" s="5">
        <v>45954</v>
      </c>
      <c r="C489" s="4" t="s">
        <v>65</v>
      </c>
      <c r="D489" s="4" t="s">
        <v>1016</v>
      </c>
      <c r="E489" s="4" t="s">
        <v>15</v>
      </c>
      <c r="F489" s="4" t="s">
        <v>63</v>
      </c>
      <c r="G489" s="4" t="s">
        <v>35</v>
      </c>
      <c r="H489" s="4" t="s">
        <v>80</v>
      </c>
      <c r="I489" s="6">
        <v>2</v>
      </c>
      <c r="J489" s="6">
        <v>9804</v>
      </c>
      <c r="K489" s="6">
        <v>7935.87</v>
      </c>
      <c r="L489" s="6">
        <v>1868.13</v>
      </c>
    </row>
    <row r="490" spans="1:12" x14ac:dyDescent="0.3">
      <c r="A490" s="4" t="s">
        <v>1017</v>
      </c>
      <c r="B490" s="5">
        <v>45688</v>
      </c>
      <c r="C490" s="4" t="s">
        <v>455</v>
      </c>
      <c r="D490" s="4" t="s">
        <v>127</v>
      </c>
      <c r="E490" s="4" t="s">
        <v>29</v>
      </c>
      <c r="F490" s="4" t="s">
        <v>30</v>
      </c>
      <c r="G490" s="4" t="s">
        <v>17</v>
      </c>
      <c r="H490" s="4" t="s">
        <v>18</v>
      </c>
      <c r="I490" s="6">
        <v>5</v>
      </c>
      <c r="J490" s="6">
        <v>3420</v>
      </c>
      <c r="K490" s="6">
        <v>2831.57</v>
      </c>
      <c r="L490" s="6">
        <v>588.42999999999995</v>
      </c>
    </row>
    <row r="491" spans="1:12" x14ac:dyDescent="0.3">
      <c r="A491" s="4" t="s">
        <v>1018</v>
      </c>
      <c r="B491" s="5">
        <v>45745</v>
      </c>
      <c r="C491" s="4" t="s">
        <v>802</v>
      </c>
      <c r="D491" s="4" t="s">
        <v>431</v>
      </c>
      <c r="E491" s="4" t="s">
        <v>15</v>
      </c>
      <c r="F491" s="4" t="s">
        <v>16</v>
      </c>
      <c r="G491" s="4" t="s">
        <v>17</v>
      </c>
      <c r="H491" s="4" t="s">
        <v>18</v>
      </c>
      <c r="I491" s="6">
        <v>5</v>
      </c>
      <c r="J491" s="6">
        <v>9815</v>
      </c>
      <c r="K491" s="6">
        <v>7225.49</v>
      </c>
      <c r="L491" s="6">
        <v>2589.5100000000002</v>
      </c>
    </row>
    <row r="492" spans="1:12" x14ac:dyDescent="0.3">
      <c r="A492" s="4" t="s">
        <v>1019</v>
      </c>
      <c r="B492" s="5">
        <v>45991</v>
      </c>
      <c r="C492" s="4" t="s">
        <v>295</v>
      </c>
      <c r="D492" s="4" t="s">
        <v>536</v>
      </c>
      <c r="E492" s="4" t="s">
        <v>29</v>
      </c>
      <c r="F492" s="4" t="s">
        <v>30</v>
      </c>
      <c r="G492" s="4" t="s">
        <v>40</v>
      </c>
      <c r="H492" s="4" t="s">
        <v>56</v>
      </c>
      <c r="I492" s="6">
        <v>5</v>
      </c>
      <c r="J492" s="6">
        <v>19880</v>
      </c>
      <c r="K492" s="6">
        <v>11992.17</v>
      </c>
      <c r="L492" s="6">
        <v>7887.83</v>
      </c>
    </row>
    <row r="493" spans="1:12" x14ac:dyDescent="0.3">
      <c r="A493" s="4" t="s">
        <v>1020</v>
      </c>
      <c r="B493" s="5">
        <v>45577</v>
      </c>
      <c r="C493" s="4" t="s">
        <v>123</v>
      </c>
      <c r="D493" s="4" t="s">
        <v>385</v>
      </c>
      <c r="E493" s="4" t="s">
        <v>29</v>
      </c>
      <c r="F493" s="4" t="s">
        <v>30</v>
      </c>
      <c r="G493" s="4" t="s">
        <v>35</v>
      </c>
      <c r="H493" s="4" t="s">
        <v>45</v>
      </c>
      <c r="I493" s="6">
        <v>2</v>
      </c>
      <c r="J493" s="6">
        <v>6780</v>
      </c>
      <c r="K493" s="6">
        <v>3811.65</v>
      </c>
      <c r="L493" s="6">
        <v>2968.35</v>
      </c>
    </row>
    <row r="494" spans="1:12" x14ac:dyDescent="0.3">
      <c r="A494" s="4" t="s">
        <v>1021</v>
      </c>
      <c r="B494" s="5">
        <v>46018</v>
      </c>
      <c r="C494" s="4" t="s">
        <v>349</v>
      </c>
      <c r="D494" s="4" t="s">
        <v>597</v>
      </c>
      <c r="E494" s="4" t="s">
        <v>29</v>
      </c>
      <c r="F494" s="4" t="s">
        <v>102</v>
      </c>
      <c r="G494" s="4" t="s">
        <v>17</v>
      </c>
      <c r="H494" s="4" t="s">
        <v>72</v>
      </c>
      <c r="I494" s="6">
        <v>5</v>
      </c>
      <c r="J494" s="6">
        <v>1730</v>
      </c>
      <c r="K494" s="6">
        <v>1123.06</v>
      </c>
      <c r="L494" s="6">
        <v>606.94000000000005</v>
      </c>
    </row>
    <row r="495" spans="1:12" x14ac:dyDescent="0.3">
      <c r="A495" s="4" t="s">
        <v>1022</v>
      </c>
      <c r="B495" s="5">
        <v>45878</v>
      </c>
      <c r="C495" s="4" t="s">
        <v>318</v>
      </c>
      <c r="D495" s="4" t="s">
        <v>359</v>
      </c>
      <c r="E495" s="4" t="s">
        <v>29</v>
      </c>
      <c r="F495" s="4" t="s">
        <v>49</v>
      </c>
      <c r="G495" s="4" t="s">
        <v>17</v>
      </c>
      <c r="H495" s="4" t="s">
        <v>72</v>
      </c>
      <c r="I495" s="6">
        <v>1</v>
      </c>
      <c r="J495" s="6">
        <v>2767</v>
      </c>
      <c r="K495" s="6">
        <v>1929.06</v>
      </c>
      <c r="L495" s="6">
        <v>837.94</v>
      </c>
    </row>
    <row r="496" spans="1:12" x14ac:dyDescent="0.3">
      <c r="A496" s="4" t="s">
        <v>1023</v>
      </c>
      <c r="B496" s="5">
        <v>45825</v>
      </c>
      <c r="C496" s="4" t="s">
        <v>1024</v>
      </c>
      <c r="D496" s="4" t="s">
        <v>696</v>
      </c>
      <c r="E496" s="4" t="s">
        <v>15</v>
      </c>
      <c r="F496" s="4" t="s">
        <v>90</v>
      </c>
      <c r="G496" s="4" t="s">
        <v>40</v>
      </c>
      <c r="H496" s="4" t="s">
        <v>41</v>
      </c>
      <c r="I496" s="6">
        <v>9</v>
      </c>
      <c r="J496" s="6">
        <v>18909</v>
      </c>
      <c r="K496" s="6">
        <v>15828.65</v>
      </c>
      <c r="L496" s="6">
        <v>3080.35</v>
      </c>
    </row>
    <row r="497" spans="1:12" x14ac:dyDescent="0.3">
      <c r="A497" s="4" t="s">
        <v>1025</v>
      </c>
      <c r="B497" s="5">
        <v>45518</v>
      </c>
      <c r="C497" s="4" t="s">
        <v>192</v>
      </c>
      <c r="D497" s="4" t="s">
        <v>1026</v>
      </c>
      <c r="E497" s="4" t="s">
        <v>29</v>
      </c>
      <c r="F497" s="4" t="s">
        <v>49</v>
      </c>
      <c r="G497" s="4" t="s">
        <v>35</v>
      </c>
      <c r="H497" s="4" t="s">
        <v>45</v>
      </c>
      <c r="I497" s="6">
        <v>9</v>
      </c>
      <c r="J497" s="6">
        <v>32436</v>
      </c>
      <c r="K497" s="6">
        <v>18734.5</v>
      </c>
      <c r="L497" s="6">
        <v>13701.5</v>
      </c>
    </row>
    <row r="498" spans="1:12" x14ac:dyDescent="0.3">
      <c r="A498" s="4" t="s">
        <v>1027</v>
      </c>
      <c r="B498" s="5">
        <v>45866</v>
      </c>
      <c r="C498" s="4" t="s">
        <v>841</v>
      </c>
      <c r="D498" s="4" t="s">
        <v>285</v>
      </c>
      <c r="E498" s="4" t="s">
        <v>54</v>
      </c>
      <c r="F498" s="4" t="s">
        <v>55</v>
      </c>
      <c r="G498" s="4" t="s">
        <v>40</v>
      </c>
      <c r="H498" s="4" t="s">
        <v>99</v>
      </c>
      <c r="I498" s="6">
        <v>4</v>
      </c>
      <c r="J498" s="6">
        <v>18580</v>
      </c>
      <c r="K498" s="6">
        <v>12865.85</v>
      </c>
      <c r="L498" s="6">
        <v>5714.15</v>
      </c>
    </row>
    <row r="499" spans="1:12" x14ac:dyDescent="0.3">
      <c r="A499" s="4" t="s">
        <v>1028</v>
      </c>
      <c r="B499" s="5">
        <v>45990</v>
      </c>
      <c r="C499" s="4" t="s">
        <v>624</v>
      </c>
      <c r="D499" s="4" t="s">
        <v>1029</v>
      </c>
      <c r="E499" s="4" t="s">
        <v>54</v>
      </c>
      <c r="F499" s="4" t="s">
        <v>55</v>
      </c>
      <c r="G499" s="4" t="s">
        <v>40</v>
      </c>
      <c r="H499" s="4" t="s">
        <v>56</v>
      </c>
      <c r="I499" s="6">
        <v>10</v>
      </c>
      <c r="J499" s="6">
        <v>22970</v>
      </c>
      <c r="K499" s="6">
        <v>19241.259999999998</v>
      </c>
      <c r="L499" s="6">
        <v>3728.74</v>
      </c>
    </row>
    <row r="500" spans="1:12" x14ac:dyDescent="0.3">
      <c r="A500" s="4" t="s">
        <v>1030</v>
      </c>
      <c r="B500" s="5">
        <v>45821</v>
      </c>
      <c r="C500" s="4" t="s">
        <v>85</v>
      </c>
      <c r="D500" s="4" t="s">
        <v>1031</v>
      </c>
      <c r="E500" s="4" t="s">
        <v>15</v>
      </c>
      <c r="F500" s="4" t="s">
        <v>63</v>
      </c>
      <c r="G500" s="4" t="s">
        <v>40</v>
      </c>
      <c r="H500" s="4" t="s">
        <v>99</v>
      </c>
      <c r="I500" s="6">
        <v>9</v>
      </c>
      <c r="J500" s="6">
        <v>23544</v>
      </c>
      <c r="K500" s="6">
        <v>13123.7</v>
      </c>
      <c r="L500" s="6">
        <v>10420.299999999999</v>
      </c>
    </row>
    <row r="501" spans="1:12" x14ac:dyDescent="0.3">
      <c r="A501" s="4" t="s">
        <v>1032</v>
      </c>
      <c r="B501" s="5">
        <v>45376</v>
      </c>
      <c r="C501" s="4" t="s">
        <v>1033</v>
      </c>
      <c r="D501" s="4" t="s">
        <v>743</v>
      </c>
      <c r="E501" s="4" t="s">
        <v>22</v>
      </c>
      <c r="F501" s="4" t="s">
        <v>67</v>
      </c>
      <c r="G501" s="4" t="s">
        <v>24</v>
      </c>
      <c r="H501" s="4" t="s">
        <v>25</v>
      </c>
      <c r="I501" s="6">
        <v>5</v>
      </c>
      <c r="J501" s="6">
        <v>9385</v>
      </c>
      <c r="K501" s="6">
        <v>6063.59</v>
      </c>
      <c r="L501" s="6">
        <v>3321.41</v>
      </c>
    </row>
    <row r="502" spans="1:12" x14ac:dyDescent="0.3">
      <c r="A502" s="4" t="s">
        <v>1034</v>
      </c>
      <c r="B502" s="5">
        <v>45726</v>
      </c>
      <c r="C502" s="4" t="s">
        <v>316</v>
      </c>
      <c r="D502" s="4" t="s">
        <v>754</v>
      </c>
      <c r="E502" s="4" t="s">
        <v>15</v>
      </c>
      <c r="F502" s="4" t="s">
        <v>90</v>
      </c>
      <c r="G502" s="4" t="s">
        <v>24</v>
      </c>
      <c r="H502" s="4" t="s">
        <v>50</v>
      </c>
      <c r="I502" s="6">
        <v>4</v>
      </c>
      <c r="J502" s="6">
        <v>8184</v>
      </c>
      <c r="K502" s="6">
        <v>6624.83</v>
      </c>
      <c r="L502" s="6">
        <v>1559.17</v>
      </c>
    </row>
    <row r="503" spans="1:12" x14ac:dyDescent="0.3">
      <c r="A503" s="4" t="s">
        <v>1035</v>
      </c>
      <c r="B503" s="5">
        <v>45631</v>
      </c>
      <c r="C503" s="4" t="s">
        <v>628</v>
      </c>
      <c r="D503" s="4" t="s">
        <v>14</v>
      </c>
      <c r="E503" s="4" t="s">
        <v>22</v>
      </c>
      <c r="F503" s="4" t="s">
        <v>79</v>
      </c>
      <c r="G503" s="4" t="s">
        <v>24</v>
      </c>
      <c r="H503" s="4" t="s">
        <v>50</v>
      </c>
      <c r="I503" s="6">
        <v>3</v>
      </c>
      <c r="J503" s="6">
        <v>1482</v>
      </c>
      <c r="K503" s="6">
        <v>1019.27</v>
      </c>
      <c r="L503" s="6">
        <v>462.73</v>
      </c>
    </row>
    <row r="504" spans="1:12" x14ac:dyDescent="0.3">
      <c r="A504" s="4" t="s">
        <v>1036</v>
      </c>
      <c r="B504" s="5">
        <v>45525</v>
      </c>
      <c r="C504" s="4" t="s">
        <v>260</v>
      </c>
      <c r="D504" s="4" t="s">
        <v>218</v>
      </c>
      <c r="E504" s="4" t="s">
        <v>15</v>
      </c>
      <c r="F504" s="4" t="s">
        <v>16</v>
      </c>
      <c r="G504" s="4" t="s">
        <v>24</v>
      </c>
      <c r="H504" s="4" t="s">
        <v>166</v>
      </c>
      <c r="I504" s="6">
        <v>5</v>
      </c>
      <c r="J504" s="6">
        <v>24355</v>
      </c>
      <c r="K504" s="6">
        <v>13909.94</v>
      </c>
      <c r="L504" s="6">
        <v>10445.06</v>
      </c>
    </row>
    <row r="505" spans="1:12" x14ac:dyDescent="0.3">
      <c r="A505" s="4" t="s">
        <v>1037</v>
      </c>
      <c r="B505" s="5">
        <v>45690</v>
      </c>
      <c r="C505" s="4" t="s">
        <v>550</v>
      </c>
      <c r="D505" s="4" t="s">
        <v>946</v>
      </c>
      <c r="E505" s="4" t="s">
        <v>22</v>
      </c>
      <c r="F505" s="4" t="s">
        <v>67</v>
      </c>
      <c r="G505" s="4" t="s">
        <v>17</v>
      </c>
      <c r="H505" s="4" t="s">
        <v>31</v>
      </c>
      <c r="I505" s="6">
        <v>7</v>
      </c>
      <c r="J505" s="6">
        <v>26929</v>
      </c>
      <c r="K505" s="6">
        <v>17367.080000000002</v>
      </c>
      <c r="L505" s="6">
        <v>9561.92</v>
      </c>
    </row>
    <row r="506" spans="1:12" x14ac:dyDescent="0.3">
      <c r="A506" s="4" t="s">
        <v>1038</v>
      </c>
      <c r="B506" s="5">
        <v>45891</v>
      </c>
      <c r="C506" s="4" t="s">
        <v>446</v>
      </c>
      <c r="D506" s="4" t="s">
        <v>681</v>
      </c>
      <c r="E506" s="4" t="s">
        <v>15</v>
      </c>
      <c r="F506" s="4" t="s">
        <v>90</v>
      </c>
      <c r="G506" s="4" t="s">
        <v>17</v>
      </c>
      <c r="H506" s="4" t="s">
        <v>18</v>
      </c>
      <c r="I506" s="6">
        <v>10</v>
      </c>
      <c r="J506" s="6">
        <v>8180</v>
      </c>
      <c r="K506" s="6">
        <v>6354.13</v>
      </c>
      <c r="L506" s="6">
        <v>1825.87</v>
      </c>
    </row>
    <row r="507" spans="1:12" x14ac:dyDescent="0.3">
      <c r="A507" s="4" t="s">
        <v>1039</v>
      </c>
      <c r="B507" s="5">
        <v>45580</v>
      </c>
      <c r="C507" s="4" t="s">
        <v>144</v>
      </c>
      <c r="D507" s="4" t="s">
        <v>1029</v>
      </c>
      <c r="E507" s="4" t="s">
        <v>54</v>
      </c>
      <c r="F507" s="4" t="s">
        <v>71</v>
      </c>
      <c r="G507" s="4" t="s">
        <v>24</v>
      </c>
      <c r="H507" s="4" t="s">
        <v>50</v>
      </c>
      <c r="I507" s="6">
        <v>5</v>
      </c>
      <c r="J507" s="6">
        <v>13840</v>
      </c>
      <c r="K507" s="6">
        <v>10130.459999999999</v>
      </c>
      <c r="L507" s="6">
        <v>3709.54</v>
      </c>
    </row>
    <row r="508" spans="1:12" x14ac:dyDescent="0.3">
      <c r="A508" s="4" t="s">
        <v>1040</v>
      </c>
      <c r="B508" s="5">
        <v>45431</v>
      </c>
      <c r="C508" s="4" t="s">
        <v>1041</v>
      </c>
      <c r="D508" s="4" t="s">
        <v>158</v>
      </c>
      <c r="E508" s="4" t="s">
        <v>22</v>
      </c>
      <c r="F508" s="4" t="s">
        <v>79</v>
      </c>
      <c r="G508" s="4" t="s">
        <v>24</v>
      </c>
      <c r="H508" s="4" t="s">
        <v>25</v>
      </c>
      <c r="I508" s="6">
        <v>8</v>
      </c>
      <c r="J508" s="6">
        <v>12640</v>
      </c>
      <c r="K508" s="6">
        <v>8974.91</v>
      </c>
      <c r="L508" s="6">
        <v>3665.09</v>
      </c>
    </row>
    <row r="509" spans="1:12" x14ac:dyDescent="0.3">
      <c r="A509" s="4" t="s">
        <v>1042</v>
      </c>
      <c r="B509" s="5">
        <v>45303</v>
      </c>
      <c r="C509" s="4" t="s">
        <v>474</v>
      </c>
      <c r="D509" s="4" t="s">
        <v>769</v>
      </c>
      <c r="E509" s="4" t="s">
        <v>54</v>
      </c>
      <c r="F509" s="4" t="s">
        <v>71</v>
      </c>
      <c r="G509" s="4" t="s">
        <v>24</v>
      </c>
      <c r="H509" s="4" t="s">
        <v>166</v>
      </c>
      <c r="I509" s="6">
        <v>5</v>
      </c>
      <c r="J509" s="6">
        <v>16780</v>
      </c>
      <c r="K509" s="6">
        <v>14048.51</v>
      </c>
      <c r="L509" s="6">
        <v>2731.49</v>
      </c>
    </row>
    <row r="510" spans="1:12" x14ac:dyDescent="0.3">
      <c r="A510" s="4" t="s">
        <v>1043</v>
      </c>
      <c r="B510" s="5">
        <v>45842</v>
      </c>
      <c r="C510" s="4" t="s">
        <v>969</v>
      </c>
      <c r="D510" s="4" t="s">
        <v>288</v>
      </c>
      <c r="E510" s="4" t="s">
        <v>29</v>
      </c>
      <c r="F510" s="4" t="s">
        <v>102</v>
      </c>
      <c r="G510" s="4" t="s">
        <v>24</v>
      </c>
      <c r="H510" s="4" t="s">
        <v>25</v>
      </c>
      <c r="I510" s="6">
        <v>1</v>
      </c>
      <c r="J510" s="6">
        <v>4991</v>
      </c>
      <c r="K510" s="6">
        <v>3638.42</v>
      </c>
      <c r="L510" s="6">
        <v>1352.58</v>
      </c>
    </row>
    <row r="511" spans="1:12" x14ac:dyDescent="0.3">
      <c r="A511" s="4" t="s">
        <v>1044</v>
      </c>
      <c r="B511" s="5">
        <v>45953</v>
      </c>
      <c r="C511" s="4" t="s">
        <v>933</v>
      </c>
      <c r="D511" s="4" t="s">
        <v>888</v>
      </c>
      <c r="E511" s="4" t="s">
        <v>54</v>
      </c>
      <c r="F511" s="4" t="s">
        <v>142</v>
      </c>
      <c r="G511" s="4" t="s">
        <v>17</v>
      </c>
      <c r="H511" s="4" t="s">
        <v>18</v>
      </c>
      <c r="I511" s="6">
        <v>6</v>
      </c>
      <c r="J511" s="6">
        <v>12204</v>
      </c>
      <c r="K511" s="6">
        <v>8223.01</v>
      </c>
      <c r="L511" s="6">
        <v>3980.99</v>
      </c>
    </row>
    <row r="512" spans="1:12" x14ac:dyDescent="0.3">
      <c r="A512" s="4" t="s">
        <v>1045</v>
      </c>
      <c r="B512" s="5">
        <v>45477</v>
      </c>
      <c r="C512" s="4" t="s">
        <v>634</v>
      </c>
      <c r="D512" s="4" t="s">
        <v>813</v>
      </c>
      <c r="E512" s="4" t="s">
        <v>29</v>
      </c>
      <c r="F512" s="4" t="s">
        <v>102</v>
      </c>
      <c r="G512" s="4" t="s">
        <v>40</v>
      </c>
      <c r="H512" s="4" t="s">
        <v>56</v>
      </c>
      <c r="I512" s="6">
        <v>10</v>
      </c>
      <c r="J512" s="6">
        <v>23700</v>
      </c>
      <c r="K512" s="6">
        <v>14416.66</v>
      </c>
      <c r="L512" s="6">
        <v>9283.34</v>
      </c>
    </row>
    <row r="513" spans="1:12" x14ac:dyDescent="0.3">
      <c r="A513" s="4" t="s">
        <v>1046</v>
      </c>
      <c r="B513" s="5">
        <v>45548</v>
      </c>
      <c r="C513" s="4" t="s">
        <v>292</v>
      </c>
      <c r="D513" s="4" t="s">
        <v>243</v>
      </c>
      <c r="E513" s="4" t="s">
        <v>22</v>
      </c>
      <c r="F513" s="4" t="s">
        <v>79</v>
      </c>
      <c r="G513" s="4" t="s">
        <v>35</v>
      </c>
      <c r="H513" s="4" t="s">
        <v>45</v>
      </c>
      <c r="I513" s="6">
        <v>2</v>
      </c>
      <c r="J513" s="6">
        <v>5362</v>
      </c>
      <c r="K513" s="6">
        <v>4029.57</v>
      </c>
      <c r="L513" s="6">
        <v>1332.43</v>
      </c>
    </row>
    <row r="514" spans="1:12" x14ac:dyDescent="0.3">
      <c r="A514" s="4" t="s">
        <v>1047</v>
      </c>
      <c r="B514" s="5">
        <v>45926</v>
      </c>
      <c r="C514" s="4" t="s">
        <v>43</v>
      </c>
      <c r="D514" s="4" t="s">
        <v>1048</v>
      </c>
      <c r="E514" s="4" t="s">
        <v>22</v>
      </c>
      <c r="F514" s="4" t="s">
        <v>67</v>
      </c>
      <c r="G514" s="4" t="s">
        <v>40</v>
      </c>
      <c r="H514" s="4" t="s">
        <v>41</v>
      </c>
      <c r="I514" s="6">
        <v>3</v>
      </c>
      <c r="J514" s="6">
        <v>6663</v>
      </c>
      <c r="K514" s="6">
        <v>3864.63</v>
      </c>
      <c r="L514" s="6">
        <v>2798.37</v>
      </c>
    </row>
    <row r="515" spans="1:12" x14ac:dyDescent="0.3">
      <c r="A515" s="4" t="s">
        <v>1049</v>
      </c>
      <c r="B515" s="5">
        <v>45448</v>
      </c>
      <c r="C515" s="4" t="s">
        <v>134</v>
      </c>
      <c r="D515" s="4" t="s">
        <v>442</v>
      </c>
      <c r="E515" s="4" t="s">
        <v>54</v>
      </c>
      <c r="F515" s="4" t="s">
        <v>55</v>
      </c>
      <c r="G515" s="4" t="s">
        <v>35</v>
      </c>
      <c r="H515" s="4" t="s">
        <v>80</v>
      </c>
      <c r="I515" s="6">
        <v>6</v>
      </c>
      <c r="J515" s="6">
        <v>16824</v>
      </c>
      <c r="K515" s="6">
        <v>12753.22</v>
      </c>
      <c r="L515" s="6">
        <v>4070.78</v>
      </c>
    </row>
    <row r="516" spans="1:12" x14ac:dyDescent="0.3">
      <c r="A516" s="4" t="s">
        <v>1050</v>
      </c>
      <c r="B516" s="5">
        <v>45518</v>
      </c>
      <c r="C516" s="4" t="s">
        <v>254</v>
      </c>
      <c r="D516" s="4" t="s">
        <v>401</v>
      </c>
      <c r="E516" s="4" t="s">
        <v>54</v>
      </c>
      <c r="F516" s="4" t="s">
        <v>55</v>
      </c>
      <c r="G516" s="4" t="s">
        <v>35</v>
      </c>
      <c r="H516" s="4" t="s">
        <v>36</v>
      </c>
      <c r="I516" s="6">
        <v>3</v>
      </c>
      <c r="J516" s="6">
        <v>1017</v>
      </c>
      <c r="K516" s="6">
        <v>654.91</v>
      </c>
      <c r="L516" s="6">
        <v>362.09</v>
      </c>
    </row>
    <row r="517" spans="1:12" x14ac:dyDescent="0.3">
      <c r="A517" s="4" t="s">
        <v>1051</v>
      </c>
      <c r="B517" s="5">
        <v>45659</v>
      </c>
      <c r="C517" s="4" t="s">
        <v>935</v>
      </c>
      <c r="D517" s="4" t="s">
        <v>124</v>
      </c>
      <c r="E517" s="4" t="s">
        <v>54</v>
      </c>
      <c r="F517" s="4" t="s">
        <v>142</v>
      </c>
      <c r="G517" s="4" t="s">
        <v>17</v>
      </c>
      <c r="H517" s="4" t="s">
        <v>31</v>
      </c>
      <c r="I517" s="6">
        <v>6</v>
      </c>
      <c r="J517" s="6">
        <v>25386</v>
      </c>
      <c r="K517" s="6">
        <v>17487.259999999998</v>
      </c>
      <c r="L517" s="6">
        <v>7898.74</v>
      </c>
    </row>
    <row r="518" spans="1:12" x14ac:dyDescent="0.3">
      <c r="A518" s="4" t="s">
        <v>1052</v>
      </c>
      <c r="B518" s="5">
        <v>45435</v>
      </c>
      <c r="C518" s="4" t="s">
        <v>140</v>
      </c>
      <c r="D518" s="4" t="s">
        <v>733</v>
      </c>
      <c r="E518" s="4" t="s">
        <v>15</v>
      </c>
      <c r="F518" s="4" t="s">
        <v>16</v>
      </c>
      <c r="G518" s="4" t="s">
        <v>17</v>
      </c>
      <c r="H518" s="4" t="s">
        <v>31</v>
      </c>
      <c r="I518" s="6">
        <v>10</v>
      </c>
      <c r="J518" s="6">
        <v>9710</v>
      </c>
      <c r="K518" s="6">
        <v>7792.64</v>
      </c>
      <c r="L518" s="6">
        <v>1917.36</v>
      </c>
    </row>
    <row r="519" spans="1:12" x14ac:dyDescent="0.3">
      <c r="A519" s="4" t="s">
        <v>1053</v>
      </c>
      <c r="B519" s="5">
        <v>45811</v>
      </c>
      <c r="C519" s="4" t="s">
        <v>438</v>
      </c>
      <c r="D519" s="4" t="s">
        <v>571</v>
      </c>
      <c r="E519" s="4" t="s">
        <v>54</v>
      </c>
      <c r="F519" s="4" t="s">
        <v>71</v>
      </c>
      <c r="G519" s="4" t="s">
        <v>17</v>
      </c>
      <c r="H519" s="4" t="s">
        <v>31</v>
      </c>
      <c r="I519" s="6">
        <v>2</v>
      </c>
      <c r="J519" s="6">
        <v>1834</v>
      </c>
      <c r="K519" s="6">
        <v>1499.54</v>
      </c>
      <c r="L519" s="6">
        <v>334.46</v>
      </c>
    </row>
    <row r="520" spans="1:12" x14ac:dyDescent="0.3">
      <c r="A520" s="4" t="s">
        <v>1054</v>
      </c>
      <c r="B520" s="5">
        <v>45844</v>
      </c>
      <c r="C520" s="4" t="s">
        <v>1055</v>
      </c>
      <c r="D520" s="4" t="s">
        <v>917</v>
      </c>
      <c r="E520" s="4" t="s">
        <v>22</v>
      </c>
      <c r="F520" s="4" t="s">
        <v>79</v>
      </c>
      <c r="G520" s="4" t="s">
        <v>40</v>
      </c>
      <c r="H520" s="4" t="s">
        <v>56</v>
      </c>
      <c r="I520" s="6">
        <v>1</v>
      </c>
      <c r="J520" s="6">
        <v>4818</v>
      </c>
      <c r="K520" s="6">
        <v>3026.59</v>
      </c>
      <c r="L520" s="6">
        <v>1791.41</v>
      </c>
    </row>
    <row r="521" spans="1:12" x14ac:dyDescent="0.3">
      <c r="A521" s="4" t="s">
        <v>1056</v>
      </c>
      <c r="B521" s="5">
        <v>45805</v>
      </c>
      <c r="C521" s="4" t="s">
        <v>464</v>
      </c>
      <c r="D521" s="4" t="s">
        <v>439</v>
      </c>
      <c r="E521" s="4" t="s">
        <v>54</v>
      </c>
      <c r="F521" s="4" t="s">
        <v>55</v>
      </c>
      <c r="G521" s="4" t="s">
        <v>40</v>
      </c>
      <c r="H521" s="4" t="s">
        <v>56</v>
      </c>
      <c r="I521" s="6">
        <v>10</v>
      </c>
      <c r="J521" s="6">
        <v>26830</v>
      </c>
      <c r="K521" s="6">
        <v>15834.11</v>
      </c>
      <c r="L521" s="6">
        <v>10995.89</v>
      </c>
    </row>
    <row r="522" spans="1:12" x14ac:dyDescent="0.3">
      <c r="A522" s="4" t="s">
        <v>1057</v>
      </c>
      <c r="B522" s="5">
        <v>45920</v>
      </c>
      <c r="C522" s="4" t="s">
        <v>652</v>
      </c>
      <c r="D522" s="4" t="s">
        <v>1031</v>
      </c>
      <c r="E522" s="4" t="s">
        <v>22</v>
      </c>
      <c r="F522" s="4" t="s">
        <v>67</v>
      </c>
      <c r="G522" s="4" t="s">
        <v>35</v>
      </c>
      <c r="H522" s="4" t="s">
        <v>45</v>
      </c>
      <c r="I522" s="6">
        <v>1</v>
      </c>
      <c r="J522" s="6">
        <v>2256</v>
      </c>
      <c r="K522" s="6">
        <v>1814.71</v>
      </c>
      <c r="L522" s="6">
        <v>441.29</v>
      </c>
    </row>
    <row r="523" spans="1:12" x14ac:dyDescent="0.3">
      <c r="A523" s="4" t="s">
        <v>1058</v>
      </c>
      <c r="B523" s="5">
        <v>45967</v>
      </c>
      <c r="C523" s="4" t="s">
        <v>1059</v>
      </c>
      <c r="D523" s="4" t="s">
        <v>340</v>
      </c>
      <c r="E523" s="4" t="s">
        <v>29</v>
      </c>
      <c r="F523" s="4" t="s">
        <v>49</v>
      </c>
      <c r="G523" s="4" t="s">
        <v>24</v>
      </c>
      <c r="H523" s="4" t="s">
        <v>166</v>
      </c>
      <c r="I523" s="6">
        <v>3</v>
      </c>
      <c r="J523" s="6">
        <v>14817</v>
      </c>
      <c r="K523" s="6">
        <v>12366.47</v>
      </c>
      <c r="L523" s="6">
        <v>2450.5300000000002</v>
      </c>
    </row>
    <row r="524" spans="1:12" x14ac:dyDescent="0.3">
      <c r="A524" s="4" t="s">
        <v>1060</v>
      </c>
      <c r="B524" s="5">
        <v>45670</v>
      </c>
      <c r="C524" s="4" t="s">
        <v>799</v>
      </c>
      <c r="D524" s="4" t="s">
        <v>475</v>
      </c>
      <c r="E524" s="4" t="s">
        <v>54</v>
      </c>
      <c r="F524" s="4" t="s">
        <v>142</v>
      </c>
      <c r="G524" s="4" t="s">
        <v>40</v>
      </c>
      <c r="H524" s="4" t="s">
        <v>56</v>
      </c>
      <c r="I524" s="6">
        <v>8</v>
      </c>
      <c r="J524" s="6">
        <v>17584</v>
      </c>
      <c r="K524" s="6">
        <v>10002.81</v>
      </c>
      <c r="L524" s="6">
        <v>7581.19</v>
      </c>
    </row>
    <row r="525" spans="1:12" x14ac:dyDescent="0.3">
      <c r="A525" s="4" t="s">
        <v>1061</v>
      </c>
      <c r="B525" s="5">
        <v>45339</v>
      </c>
      <c r="C525" s="4" t="s">
        <v>680</v>
      </c>
      <c r="D525" s="4" t="s">
        <v>308</v>
      </c>
      <c r="E525" s="4" t="s">
        <v>29</v>
      </c>
      <c r="F525" s="4" t="s">
        <v>30</v>
      </c>
      <c r="G525" s="4" t="s">
        <v>40</v>
      </c>
      <c r="H525" s="4" t="s">
        <v>41</v>
      </c>
      <c r="I525" s="6">
        <v>7</v>
      </c>
      <c r="J525" s="6">
        <v>29029</v>
      </c>
      <c r="K525" s="6">
        <v>23959.68</v>
      </c>
      <c r="L525" s="6">
        <v>5069.32</v>
      </c>
    </row>
    <row r="526" spans="1:12" x14ac:dyDescent="0.3">
      <c r="A526" s="4" t="s">
        <v>1062</v>
      </c>
      <c r="B526" s="5">
        <v>45875</v>
      </c>
      <c r="C526" s="4" t="s">
        <v>556</v>
      </c>
      <c r="D526" s="4" t="s">
        <v>1063</v>
      </c>
      <c r="E526" s="4" t="s">
        <v>15</v>
      </c>
      <c r="F526" s="4" t="s">
        <v>90</v>
      </c>
      <c r="G526" s="4" t="s">
        <v>35</v>
      </c>
      <c r="H526" s="4" t="s">
        <v>45</v>
      </c>
      <c r="I526" s="6">
        <v>5</v>
      </c>
      <c r="J526" s="6">
        <v>12285</v>
      </c>
      <c r="K526" s="6">
        <v>8889.2999999999993</v>
      </c>
      <c r="L526" s="6">
        <v>3395.7</v>
      </c>
    </row>
    <row r="527" spans="1:12" x14ac:dyDescent="0.3">
      <c r="A527" s="4" t="s">
        <v>1064</v>
      </c>
      <c r="B527" s="5">
        <v>45520</v>
      </c>
      <c r="C527" s="4" t="s">
        <v>505</v>
      </c>
      <c r="D527" s="4" t="s">
        <v>226</v>
      </c>
      <c r="E527" s="4" t="s">
        <v>22</v>
      </c>
      <c r="F527" s="4" t="s">
        <v>67</v>
      </c>
      <c r="G527" s="4" t="s">
        <v>17</v>
      </c>
      <c r="H527" s="4" t="s">
        <v>72</v>
      </c>
      <c r="I527" s="6">
        <v>2</v>
      </c>
      <c r="J527" s="6">
        <v>9064</v>
      </c>
      <c r="K527" s="6">
        <v>5669.31</v>
      </c>
      <c r="L527" s="6">
        <v>3394.69</v>
      </c>
    </row>
    <row r="528" spans="1:12" x14ac:dyDescent="0.3">
      <c r="A528" s="4" t="s">
        <v>1065</v>
      </c>
      <c r="B528" s="5">
        <v>45434</v>
      </c>
      <c r="C528" s="4" t="s">
        <v>795</v>
      </c>
      <c r="D528" s="4" t="s">
        <v>121</v>
      </c>
      <c r="E528" s="4" t="s">
        <v>54</v>
      </c>
      <c r="F528" s="4" t="s">
        <v>55</v>
      </c>
      <c r="G528" s="4" t="s">
        <v>35</v>
      </c>
      <c r="H528" s="4" t="s">
        <v>80</v>
      </c>
      <c r="I528" s="6">
        <v>8</v>
      </c>
      <c r="J528" s="6">
        <v>2832</v>
      </c>
      <c r="K528" s="6">
        <v>1983.96</v>
      </c>
      <c r="L528" s="6">
        <v>848.04</v>
      </c>
    </row>
    <row r="529" spans="1:12" x14ac:dyDescent="0.3">
      <c r="A529" s="4" t="s">
        <v>1066</v>
      </c>
      <c r="B529" s="5">
        <v>45453</v>
      </c>
      <c r="C529" s="4" t="s">
        <v>649</v>
      </c>
      <c r="D529" s="4" t="s">
        <v>973</v>
      </c>
      <c r="E529" s="4" t="s">
        <v>29</v>
      </c>
      <c r="F529" s="4" t="s">
        <v>102</v>
      </c>
      <c r="G529" s="4" t="s">
        <v>35</v>
      </c>
      <c r="H529" s="4" t="s">
        <v>45</v>
      </c>
      <c r="I529" s="6">
        <v>5</v>
      </c>
      <c r="J529" s="6">
        <v>10160</v>
      </c>
      <c r="K529" s="6">
        <v>6045.93</v>
      </c>
      <c r="L529" s="6">
        <v>4114.07</v>
      </c>
    </row>
    <row r="530" spans="1:12" x14ac:dyDescent="0.3">
      <c r="A530" s="4" t="s">
        <v>1067</v>
      </c>
      <c r="B530" s="5">
        <v>45782</v>
      </c>
      <c r="C530" s="4" t="s">
        <v>149</v>
      </c>
      <c r="D530" s="4" t="s">
        <v>86</v>
      </c>
      <c r="E530" s="4" t="s">
        <v>29</v>
      </c>
      <c r="F530" s="4" t="s">
        <v>49</v>
      </c>
      <c r="G530" s="4" t="s">
        <v>40</v>
      </c>
      <c r="H530" s="4" t="s">
        <v>41</v>
      </c>
      <c r="I530" s="6">
        <v>2</v>
      </c>
      <c r="J530" s="6">
        <v>8488</v>
      </c>
      <c r="K530" s="6">
        <v>6387.8</v>
      </c>
      <c r="L530" s="6">
        <v>2100.1999999999998</v>
      </c>
    </row>
    <row r="531" spans="1:12" x14ac:dyDescent="0.3">
      <c r="A531" s="4" t="s">
        <v>1068</v>
      </c>
      <c r="B531" s="5">
        <v>45456</v>
      </c>
      <c r="C531" s="4" t="s">
        <v>1069</v>
      </c>
      <c r="D531" s="4" t="s">
        <v>857</v>
      </c>
      <c r="E531" s="4" t="s">
        <v>22</v>
      </c>
      <c r="F531" s="4" t="s">
        <v>23</v>
      </c>
      <c r="G531" s="4" t="s">
        <v>40</v>
      </c>
      <c r="H531" s="4" t="s">
        <v>56</v>
      </c>
      <c r="I531" s="6">
        <v>1</v>
      </c>
      <c r="J531" s="6">
        <v>1347</v>
      </c>
      <c r="K531" s="6">
        <v>972.6</v>
      </c>
      <c r="L531" s="6">
        <v>374.4</v>
      </c>
    </row>
    <row r="532" spans="1:12" x14ac:dyDescent="0.3">
      <c r="A532" s="4" t="s">
        <v>1070</v>
      </c>
      <c r="B532" s="5">
        <v>45476</v>
      </c>
      <c r="C532" s="4" t="s">
        <v>505</v>
      </c>
      <c r="D532" s="4" t="s">
        <v>226</v>
      </c>
      <c r="E532" s="4" t="s">
        <v>15</v>
      </c>
      <c r="F532" s="4" t="s">
        <v>90</v>
      </c>
      <c r="G532" s="4" t="s">
        <v>24</v>
      </c>
      <c r="H532" s="4" t="s">
        <v>166</v>
      </c>
      <c r="I532" s="6">
        <v>1</v>
      </c>
      <c r="J532" s="6">
        <v>1662</v>
      </c>
      <c r="K532" s="6">
        <v>1042.8699999999999</v>
      </c>
      <c r="L532" s="6">
        <v>619.13</v>
      </c>
    </row>
    <row r="533" spans="1:12" x14ac:dyDescent="0.3">
      <c r="A533" s="4" t="s">
        <v>1071</v>
      </c>
      <c r="B533" s="5">
        <v>45913</v>
      </c>
      <c r="C533" s="4" t="s">
        <v>1055</v>
      </c>
      <c r="D533" s="4" t="s">
        <v>977</v>
      </c>
      <c r="E533" s="4" t="s">
        <v>15</v>
      </c>
      <c r="F533" s="4" t="s">
        <v>90</v>
      </c>
      <c r="G533" s="4" t="s">
        <v>17</v>
      </c>
      <c r="H533" s="4" t="s">
        <v>18</v>
      </c>
      <c r="I533" s="6">
        <v>5</v>
      </c>
      <c r="J533" s="6">
        <v>5010</v>
      </c>
      <c r="K533" s="6">
        <v>3081.04</v>
      </c>
      <c r="L533" s="6">
        <v>1928.96</v>
      </c>
    </row>
    <row r="534" spans="1:12" x14ac:dyDescent="0.3">
      <c r="A534" s="4" t="s">
        <v>1072</v>
      </c>
      <c r="B534" s="5">
        <v>45478</v>
      </c>
      <c r="C534" s="4" t="s">
        <v>464</v>
      </c>
      <c r="D534" s="4" t="s">
        <v>385</v>
      </c>
      <c r="E534" s="4" t="s">
        <v>29</v>
      </c>
      <c r="F534" s="4" t="s">
        <v>102</v>
      </c>
      <c r="G534" s="4" t="s">
        <v>35</v>
      </c>
      <c r="H534" s="4" t="s">
        <v>36</v>
      </c>
      <c r="I534" s="6">
        <v>10</v>
      </c>
      <c r="J534" s="6">
        <v>14690</v>
      </c>
      <c r="K534" s="6">
        <v>11581.37</v>
      </c>
      <c r="L534" s="6">
        <v>3108.63</v>
      </c>
    </row>
    <row r="535" spans="1:12" x14ac:dyDescent="0.3">
      <c r="A535" s="4" t="s">
        <v>1073</v>
      </c>
      <c r="B535" s="5">
        <v>45362</v>
      </c>
      <c r="C535" s="4" t="s">
        <v>1074</v>
      </c>
      <c r="D535" s="4" t="s">
        <v>894</v>
      </c>
      <c r="E535" s="4" t="s">
        <v>29</v>
      </c>
      <c r="F535" s="4" t="s">
        <v>30</v>
      </c>
      <c r="G535" s="4" t="s">
        <v>17</v>
      </c>
      <c r="H535" s="4" t="s">
        <v>31</v>
      </c>
      <c r="I535" s="6">
        <v>6</v>
      </c>
      <c r="J535" s="6">
        <v>24084</v>
      </c>
      <c r="K535" s="6">
        <v>17556.27</v>
      </c>
      <c r="L535" s="6">
        <v>6527.73</v>
      </c>
    </row>
    <row r="536" spans="1:12" x14ac:dyDescent="0.3">
      <c r="A536" s="4" t="s">
        <v>1075</v>
      </c>
      <c r="B536" s="5">
        <v>45808</v>
      </c>
      <c r="C536" s="4" t="s">
        <v>584</v>
      </c>
      <c r="D536" s="4" t="s">
        <v>917</v>
      </c>
      <c r="E536" s="4" t="s">
        <v>22</v>
      </c>
      <c r="F536" s="4" t="s">
        <v>23</v>
      </c>
      <c r="G536" s="4" t="s">
        <v>24</v>
      </c>
      <c r="H536" s="4" t="s">
        <v>50</v>
      </c>
      <c r="I536" s="6">
        <v>1</v>
      </c>
      <c r="J536" s="6">
        <v>1957</v>
      </c>
      <c r="K536" s="6">
        <v>1383.23</v>
      </c>
      <c r="L536" s="6">
        <v>573.77</v>
      </c>
    </row>
    <row r="537" spans="1:12" x14ac:dyDescent="0.3">
      <c r="A537" s="4" t="s">
        <v>1076</v>
      </c>
      <c r="B537" s="5">
        <v>45836</v>
      </c>
      <c r="C537" s="4" t="s">
        <v>642</v>
      </c>
      <c r="D537" s="4" t="s">
        <v>973</v>
      </c>
      <c r="E537" s="4" t="s">
        <v>15</v>
      </c>
      <c r="F537" s="4" t="s">
        <v>16</v>
      </c>
      <c r="G537" s="4" t="s">
        <v>35</v>
      </c>
      <c r="H537" s="4" t="s">
        <v>80</v>
      </c>
      <c r="I537" s="6">
        <v>10</v>
      </c>
      <c r="J537" s="6">
        <v>6190</v>
      </c>
      <c r="K537" s="6">
        <v>5034.49</v>
      </c>
      <c r="L537" s="6">
        <v>1155.51</v>
      </c>
    </row>
    <row r="538" spans="1:12" x14ac:dyDescent="0.3">
      <c r="A538" s="4" t="s">
        <v>1077</v>
      </c>
      <c r="B538" s="5">
        <v>45986</v>
      </c>
      <c r="C538" s="4" t="s">
        <v>416</v>
      </c>
      <c r="D538" s="4" t="s">
        <v>135</v>
      </c>
      <c r="E538" s="4" t="s">
        <v>15</v>
      </c>
      <c r="F538" s="4" t="s">
        <v>63</v>
      </c>
      <c r="G538" s="4" t="s">
        <v>17</v>
      </c>
      <c r="H538" s="4" t="s">
        <v>31</v>
      </c>
      <c r="I538" s="6">
        <v>3</v>
      </c>
      <c r="J538" s="6">
        <v>14151</v>
      </c>
      <c r="K538" s="6">
        <v>11296.13</v>
      </c>
      <c r="L538" s="6">
        <v>2854.87</v>
      </c>
    </row>
    <row r="539" spans="1:12" x14ac:dyDescent="0.3">
      <c r="A539" s="4" t="s">
        <v>1078</v>
      </c>
      <c r="B539" s="5">
        <v>45785</v>
      </c>
      <c r="C539" s="4" t="s">
        <v>344</v>
      </c>
      <c r="D539" s="4" t="s">
        <v>488</v>
      </c>
      <c r="E539" s="4" t="s">
        <v>22</v>
      </c>
      <c r="F539" s="4" t="s">
        <v>67</v>
      </c>
      <c r="G539" s="4" t="s">
        <v>24</v>
      </c>
      <c r="H539" s="4" t="s">
        <v>25</v>
      </c>
      <c r="I539" s="6">
        <v>9</v>
      </c>
      <c r="J539" s="6">
        <v>34326</v>
      </c>
      <c r="K539" s="6">
        <v>21242.5</v>
      </c>
      <c r="L539" s="6">
        <v>13083.5</v>
      </c>
    </row>
    <row r="540" spans="1:12" x14ac:dyDescent="0.3">
      <c r="A540" s="4" t="s">
        <v>1079</v>
      </c>
      <c r="B540" s="5">
        <v>45377</v>
      </c>
      <c r="C540" s="4" t="s">
        <v>810</v>
      </c>
      <c r="D540" s="4" t="s">
        <v>145</v>
      </c>
      <c r="E540" s="4" t="s">
        <v>15</v>
      </c>
      <c r="F540" s="4" t="s">
        <v>63</v>
      </c>
      <c r="G540" s="4" t="s">
        <v>24</v>
      </c>
      <c r="H540" s="4" t="s">
        <v>166</v>
      </c>
      <c r="I540" s="6">
        <v>5</v>
      </c>
      <c r="J540" s="6">
        <v>21040</v>
      </c>
      <c r="K540" s="6">
        <v>16406.099999999999</v>
      </c>
      <c r="L540" s="6">
        <v>4633.8999999999996</v>
      </c>
    </row>
    <row r="541" spans="1:12" x14ac:dyDescent="0.3">
      <c r="A541" s="4" t="s">
        <v>1080</v>
      </c>
      <c r="B541" s="5">
        <v>45412</v>
      </c>
      <c r="C541" s="4" t="s">
        <v>848</v>
      </c>
      <c r="D541" s="4" t="s">
        <v>28</v>
      </c>
      <c r="E541" s="4" t="s">
        <v>22</v>
      </c>
      <c r="F541" s="4" t="s">
        <v>67</v>
      </c>
      <c r="G541" s="4" t="s">
        <v>40</v>
      </c>
      <c r="H541" s="4" t="s">
        <v>56</v>
      </c>
      <c r="I541" s="6">
        <v>1</v>
      </c>
      <c r="J541" s="6">
        <v>358</v>
      </c>
      <c r="K541" s="6">
        <v>258.98</v>
      </c>
      <c r="L541" s="6">
        <v>99.02</v>
      </c>
    </row>
    <row r="542" spans="1:12" x14ac:dyDescent="0.3">
      <c r="A542" s="4" t="s">
        <v>1081</v>
      </c>
      <c r="B542" s="5">
        <v>45450</v>
      </c>
      <c r="C542" s="4" t="s">
        <v>1082</v>
      </c>
      <c r="D542" s="4" t="s">
        <v>221</v>
      </c>
      <c r="E542" s="4" t="s">
        <v>22</v>
      </c>
      <c r="F542" s="4" t="s">
        <v>79</v>
      </c>
      <c r="G542" s="4" t="s">
        <v>40</v>
      </c>
      <c r="H542" s="4" t="s">
        <v>56</v>
      </c>
      <c r="I542" s="6">
        <v>6</v>
      </c>
      <c r="J542" s="6">
        <v>21894</v>
      </c>
      <c r="K542" s="6">
        <v>14421.16</v>
      </c>
      <c r="L542" s="6">
        <v>7472.84</v>
      </c>
    </row>
    <row r="543" spans="1:12" x14ac:dyDescent="0.3">
      <c r="A543" s="4" t="s">
        <v>1083</v>
      </c>
      <c r="B543" s="5">
        <v>45574</v>
      </c>
      <c r="C543" s="4" t="s">
        <v>242</v>
      </c>
      <c r="D543" s="4" t="s">
        <v>580</v>
      </c>
      <c r="E543" s="4" t="s">
        <v>54</v>
      </c>
      <c r="F543" s="4" t="s">
        <v>55</v>
      </c>
      <c r="G543" s="4" t="s">
        <v>35</v>
      </c>
      <c r="H543" s="4" t="s">
        <v>45</v>
      </c>
      <c r="I543" s="6">
        <v>7</v>
      </c>
      <c r="J543" s="6">
        <v>34475</v>
      </c>
      <c r="K543" s="6">
        <v>22742.92</v>
      </c>
      <c r="L543" s="6">
        <v>11732.08</v>
      </c>
    </row>
    <row r="544" spans="1:12" x14ac:dyDescent="0.3">
      <c r="A544" s="4" t="s">
        <v>1084</v>
      </c>
      <c r="B544" s="5">
        <v>45860</v>
      </c>
      <c r="C544" s="4" t="s">
        <v>751</v>
      </c>
      <c r="D544" s="4" t="s">
        <v>701</v>
      </c>
      <c r="E544" s="4" t="s">
        <v>22</v>
      </c>
      <c r="F544" s="4" t="s">
        <v>79</v>
      </c>
      <c r="G544" s="4" t="s">
        <v>35</v>
      </c>
      <c r="H544" s="4" t="s">
        <v>45</v>
      </c>
      <c r="I544" s="6">
        <v>8</v>
      </c>
      <c r="J544" s="6">
        <v>14112</v>
      </c>
      <c r="K544" s="6">
        <v>9328.93</v>
      </c>
      <c r="L544" s="6">
        <v>4783.07</v>
      </c>
    </row>
    <row r="545" spans="1:12" x14ac:dyDescent="0.3">
      <c r="A545" s="4" t="s">
        <v>1085</v>
      </c>
      <c r="B545" s="5">
        <v>45967</v>
      </c>
      <c r="C545" s="4" t="s">
        <v>550</v>
      </c>
      <c r="D545" s="4" t="s">
        <v>59</v>
      </c>
      <c r="E545" s="4" t="s">
        <v>54</v>
      </c>
      <c r="F545" s="4" t="s">
        <v>71</v>
      </c>
      <c r="G545" s="4" t="s">
        <v>40</v>
      </c>
      <c r="H545" s="4" t="s">
        <v>41</v>
      </c>
      <c r="I545" s="6">
        <v>7</v>
      </c>
      <c r="J545" s="6">
        <v>10017</v>
      </c>
      <c r="K545" s="6">
        <v>8078.71</v>
      </c>
      <c r="L545" s="6">
        <v>1938.29</v>
      </c>
    </row>
    <row r="546" spans="1:12" x14ac:dyDescent="0.3">
      <c r="A546" s="4" t="s">
        <v>1086</v>
      </c>
      <c r="B546" s="5">
        <v>45638</v>
      </c>
      <c r="C546" s="4" t="s">
        <v>318</v>
      </c>
      <c r="D546" s="4" t="s">
        <v>325</v>
      </c>
      <c r="E546" s="4" t="s">
        <v>22</v>
      </c>
      <c r="F546" s="4" t="s">
        <v>79</v>
      </c>
      <c r="G546" s="4" t="s">
        <v>24</v>
      </c>
      <c r="H546" s="4" t="s">
        <v>166</v>
      </c>
      <c r="I546" s="6">
        <v>2</v>
      </c>
      <c r="J546" s="6">
        <v>4112</v>
      </c>
      <c r="K546" s="6">
        <v>2888.69</v>
      </c>
      <c r="L546" s="6">
        <v>1223.31</v>
      </c>
    </row>
    <row r="547" spans="1:12" x14ac:dyDescent="0.3">
      <c r="A547" s="4" t="s">
        <v>1087</v>
      </c>
      <c r="B547" s="5">
        <v>45774</v>
      </c>
      <c r="C547" s="4" t="s">
        <v>176</v>
      </c>
      <c r="D547" s="4" t="s">
        <v>725</v>
      </c>
      <c r="E547" s="4" t="s">
        <v>29</v>
      </c>
      <c r="F547" s="4" t="s">
        <v>49</v>
      </c>
      <c r="G547" s="4" t="s">
        <v>17</v>
      </c>
      <c r="H547" s="4" t="s">
        <v>31</v>
      </c>
      <c r="I547" s="6">
        <v>1</v>
      </c>
      <c r="J547" s="6">
        <v>1046</v>
      </c>
      <c r="K547" s="6">
        <v>833.64</v>
      </c>
      <c r="L547" s="6">
        <v>212.36</v>
      </c>
    </row>
    <row r="548" spans="1:12" x14ac:dyDescent="0.3">
      <c r="A548" s="4" t="s">
        <v>1088</v>
      </c>
      <c r="B548" s="5">
        <v>45685</v>
      </c>
      <c r="C548" s="4" t="s">
        <v>636</v>
      </c>
      <c r="D548" s="4" t="s">
        <v>971</v>
      </c>
      <c r="E548" s="4" t="s">
        <v>15</v>
      </c>
      <c r="F548" s="4" t="s">
        <v>63</v>
      </c>
      <c r="G548" s="4" t="s">
        <v>40</v>
      </c>
      <c r="H548" s="4" t="s">
        <v>56</v>
      </c>
      <c r="I548" s="6">
        <v>6</v>
      </c>
      <c r="J548" s="6">
        <v>5730</v>
      </c>
      <c r="K548" s="6">
        <v>4198.42</v>
      </c>
      <c r="L548" s="6">
        <v>1531.58</v>
      </c>
    </row>
    <row r="549" spans="1:12" x14ac:dyDescent="0.3">
      <c r="A549" s="4" t="s">
        <v>1089</v>
      </c>
      <c r="B549" s="5">
        <v>45741</v>
      </c>
      <c r="C549" s="4" t="s">
        <v>1090</v>
      </c>
      <c r="D549" s="4" t="s">
        <v>879</v>
      </c>
      <c r="E549" s="4" t="s">
        <v>54</v>
      </c>
      <c r="F549" s="4" t="s">
        <v>71</v>
      </c>
      <c r="G549" s="4" t="s">
        <v>17</v>
      </c>
      <c r="H549" s="4" t="s">
        <v>72</v>
      </c>
      <c r="I549" s="6">
        <v>1</v>
      </c>
      <c r="J549" s="6">
        <v>1735</v>
      </c>
      <c r="K549" s="6">
        <v>1287.52</v>
      </c>
      <c r="L549" s="6">
        <v>447.48</v>
      </c>
    </row>
    <row r="550" spans="1:12" x14ac:dyDescent="0.3">
      <c r="A550" s="4" t="s">
        <v>1091</v>
      </c>
      <c r="B550" s="5">
        <v>45529</v>
      </c>
      <c r="C550" s="4" t="s">
        <v>570</v>
      </c>
      <c r="D550" s="4" t="s">
        <v>319</v>
      </c>
      <c r="E550" s="4" t="s">
        <v>54</v>
      </c>
      <c r="F550" s="4" t="s">
        <v>142</v>
      </c>
      <c r="G550" s="4" t="s">
        <v>24</v>
      </c>
      <c r="H550" s="4" t="s">
        <v>25</v>
      </c>
      <c r="I550" s="6">
        <v>10</v>
      </c>
      <c r="J550" s="6">
        <v>44820</v>
      </c>
      <c r="K550" s="6">
        <v>31586.63</v>
      </c>
      <c r="L550" s="6">
        <v>13233.37</v>
      </c>
    </row>
    <row r="551" spans="1:12" x14ac:dyDescent="0.3">
      <c r="A551" s="4" t="s">
        <v>1092</v>
      </c>
      <c r="B551" s="5">
        <v>45574</v>
      </c>
      <c r="C551" s="4" t="s">
        <v>171</v>
      </c>
      <c r="D551" s="4" t="s">
        <v>1093</v>
      </c>
      <c r="E551" s="4" t="s">
        <v>54</v>
      </c>
      <c r="F551" s="4" t="s">
        <v>142</v>
      </c>
      <c r="G551" s="4" t="s">
        <v>17</v>
      </c>
      <c r="H551" s="4" t="s">
        <v>31</v>
      </c>
      <c r="I551" s="6">
        <v>1</v>
      </c>
      <c r="J551" s="6">
        <v>1589</v>
      </c>
      <c r="K551" s="6">
        <v>915.35</v>
      </c>
      <c r="L551" s="6">
        <v>673.65</v>
      </c>
    </row>
    <row r="552" spans="1:12" x14ac:dyDescent="0.3">
      <c r="A552" s="4" t="s">
        <v>1094</v>
      </c>
      <c r="B552" s="5">
        <v>46012</v>
      </c>
      <c r="C552" s="4" t="s">
        <v>43</v>
      </c>
      <c r="D552" s="4" t="s">
        <v>439</v>
      </c>
      <c r="E552" s="4" t="s">
        <v>22</v>
      </c>
      <c r="F552" s="4" t="s">
        <v>67</v>
      </c>
      <c r="G552" s="4" t="s">
        <v>17</v>
      </c>
      <c r="H552" s="4" t="s">
        <v>72</v>
      </c>
      <c r="I552" s="6">
        <v>4</v>
      </c>
      <c r="J552" s="6">
        <v>18164</v>
      </c>
      <c r="K552" s="6">
        <v>10073.94</v>
      </c>
      <c r="L552" s="6">
        <v>8090.06</v>
      </c>
    </row>
    <row r="553" spans="1:12" x14ac:dyDescent="0.3">
      <c r="A553" s="4" t="s">
        <v>1095</v>
      </c>
      <c r="B553" s="5">
        <v>45575</v>
      </c>
      <c r="C553" s="4" t="s">
        <v>802</v>
      </c>
      <c r="D553" s="4" t="s">
        <v>1048</v>
      </c>
      <c r="E553" s="4" t="s">
        <v>54</v>
      </c>
      <c r="F553" s="4" t="s">
        <v>71</v>
      </c>
      <c r="G553" s="4" t="s">
        <v>35</v>
      </c>
      <c r="H553" s="4" t="s">
        <v>45</v>
      </c>
      <c r="I553" s="6">
        <v>10</v>
      </c>
      <c r="J553" s="6">
        <v>31510</v>
      </c>
      <c r="K553" s="6">
        <v>20615.18</v>
      </c>
      <c r="L553" s="6">
        <v>10894.82</v>
      </c>
    </row>
    <row r="554" spans="1:12" x14ac:dyDescent="0.3">
      <c r="A554" s="4" t="s">
        <v>1096</v>
      </c>
      <c r="B554" s="5">
        <v>45810</v>
      </c>
      <c r="C554" s="4" t="s">
        <v>745</v>
      </c>
      <c r="D554" s="4" t="s">
        <v>207</v>
      </c>
      <c r="E554" s="4" t="s">
        <v>22</v>
      </c>
      <c r="F554" s="4" t="s">
        <v>67</v>
      </c>
      <c r="G554" s="4" t="s">
        <v>17</v>
      </c>
      <c r="H554" s="4" t="s">
        <v>72</v>
      </c>
      <c r="I554" s="6">
        <v>1</v>
      </c>
      <c r="J554" s="6">
        <v>2438</v>
      </c>
      <c r="K554" s="6">
        <v>1468.92</v>
      </c>
      <c r="L554" s="6">
        <v>969.08</v>
      </c>
    </row>
    <row r="555" spans="1:12" x14ac:dyDescent="0.3">
      <c r="A555" s="4" t="s">
        <v>1097</v>
      </c>
      <c r="B555" s="5">
        <v>45555</v>
      </c>
      <c r="C555" s="4" t="s">
        <v>140</v>
      </c>
      <c r="D555" s="4" t="s">
        <v>372</v>
      </c>
      <c r="E555" s="4" t="s">
        <v>15</v>
      </c>
      <c r="F555" s="4" t="s">
        <v>90</v>
      </c>
      <c r="G555" s="4" t="s">
        <v>40</v>
      </c>
      <c r="H555" s="4" t="s">
        <v>99</v>
      </c>
      <c r="I555" s="6">
        <v>6</v>
      </c>
      <c r="J555" s="6">
        <v>7548</v>
      </c>
      <c r="K555" s="6">
        <v>5969.58</v>
      </c>
      <c r="L555" s="6">
        <v>1578.42</v>
      </c>
    </row>
    <row r="556" spans="1:12" x14ac:dyDescent="0.3">
      <c r="A556" s="4" t="s">
        <v>1098</v>
      </c>
      <c r="B556" s="5">
        <v>45541</v>
      </c>
      <c r="C556" s="4" t="s">
        <v>535</v>
      </c>
      <c r="D556" s="4" t="s">
        <v>138</v>
      </c>
      <c r="E556" s="4" t="s">
        <v>54</v>
      </c>
      <c r="F556" s="4" t="s">
        <v>71</v>
      </c>
      <c r="G556" s="4" t="s">
        <v>35</v>
      </c>
      <c r="H556" s="4" t="s">
        <v>80</v>
      </c>
      <c r="I556" s="6">
        <v>7</v>
      </c>
      <c r="J556" s="6">
        <v>34391</v>
      </c>
      <c r="K556" s="6">
        <v>23904.799999999999</v>
      </c>
      <c r="L556" s="6">
        <v>10486.2</v>
      </c>
    </row>
    <row r="557" spans="1:12" x14ac:dyDescent="0.3">
      <c r="A557" s="4" t="s">
        <v>1099</v>
      </c>
      <c r="B557" s="5">
        <v>45683</v>
      </c>
      <c r="C557" s="4" t="s">
        <v>101</v>
      </c>
      <c r="D557" s="4" t="s">
        <v>59</v>
      </c>
      <c r="E557" s="4" t="s">
        <v>22</v>
      </c>
      <c r="F557" s="4" t="s">
        <v>79</v>
      </c>
      <c r="G557" s="4" t="s">
        <v>24</v>
      </c>
      <c r="H557" s="4" t="s">
        <v>25</v>
      </c>
      <c r="I557" s="6">
        <v>8</v>
      </c>
      <c r="J557" s="6">
        <v>10016</v>
      </c>
      <c r="K557" s="6">
        <v>6283.5</v>
      </c>
      <c r="L557" s="6">
        <v>3732.5</v>
      </c>
    </row>
    <row r="558" spans="1:12" x14ac:dyDescent="0.3">
      <c r="A558" s="4" t="s">
        <v>1100</v>
      </c>
      <c r="B558" s="5">
        <v>45561</v>
      </c>
      <c r="C558" s="4" t="s">
        <v>959</v>
      </c>
      <c r="D558" s="4" t="s">
        <v>354</v>
      </c>
      <c r="E558" s="4" t="s">
        <v>54</v>
      </c>
      <c r="F558" s="4" t="s">
        <v>55</v>
      </c>
      <c r="G558" s="4" t="s">
        <v>40</v>
      </c>
      <c r="H558" s="4" t="s">
        <v>41</v>
      </c>
      <c r="I558" s="6">
        <v>9</v>
      </c>
      <c r="J558" s="6">
        <v>42192</v>
      </c>
      <c r="K558" s="6">
        <v>23328.67</v>
      </c>
      <c r="L558" s="6">
        <v>18863.330000000002</v>
      </c>
    </row>
    <row r="559" spans="1:12" x14ac:dyDescent="0.3">
      <c r="A559" s="4" t="s">
        <v>1101</v>
      </c>
      <c r="B559" s="5">
        <v>45474</v>
      </c>
      <c r="C559" s="4" t="s">
        <v>1102</v>
      </c>
      <c r="D559" s="4" t="s">
        <v>127</v>
      </c>
      <c r="E559" s="4" t="s">
        <v>15</v>
      </c>
      <c r="F559" s="4" t="s">
        <v>63</v>
      </c>
      <c r="G559" s="4" t="s">
        <v>17</v>
      </c>
      <c r="H559" s="4" t="s">
        <v>31</v>
      </c>
      <c r="I559" s="6">
        <v>6</v>
      </c>
      <c r="J559" s="6">
        <v>5532</v>
      </c>
      <c r="K559" s="6">
        <v>3962.93</v>
      </c>
      <c r="L559" s="6">
        <v>1569.07</v>
      </c>
    </row>
    <row r="560" spans="1:12" x14ac:dyDescent="0.3">
      <c r="A560" s="4" t="s">
        <v>1103</v>
      </c>
      <c r="B560" s="5">
        <v>45991</v>
      </c>
      <c r="C560" s="4" t="s">
        <v>179</v>
      </c>
      <c r="D560" s="4" t="s">
        <v>691</v>
      </c>
      <c r="E560" s="4" t="s">
        <v>54</v>
      </c>
      <c r="F560" s="4" t="s">
        <v>142</v>
      </c>
      <c r="G560" s="4" t="s">
        <v>17</v>
      </c>
      <c r="H560" s="4" t="s">
        <v>72</v>
      </c>
      <c r="I560" s="6">
        <v>5</v>
      </c>
      <c r="J560" s="6">
        <v>8985</v>
      </c>
      <c r="K560" s="6">
        <v>7494.71</v>
      </c>
      <c r="L560" s="6">
        <v>1490.29</v>
      </c>
    </row>
    <row r="561" spans="1:12" x14ac:dyDescent="0.3">
      <c r="A561" s="4" t="s">
        <v>1104</v>
      </c>
      <c r="B561" s="5">
        <v>45499</v>
      </c>
      <c r="C561" s="4" t="s">
        <v>959</v>
      </c>
      <c r="D561" s="4" t="s">
        <v>1105</v>
      </c>
      <c r="E561" s="4" t="s">
        <v>29</v>
      </c>
      <c r="F561" s="4" t="s">
        <v>102</v>
      </c>
      <c r="G561" s="4" t="s">
        <v>17</v>
      </c>
      <c r="H561" s="4" t="s">
        <v>18</v>
      </c>
      <c r="I561" s="6">
        <v>4</v>
      </c>
      <c r="J561" s="6">
        <v>9896</v>
      </c>
      <c r="K561" s="6">
        <v>6056.68</v>
      </c>
      <c r="L561" s="6">
        <v>3839.32</v>
      </c>
    </row>
    <row r="562" spans="1:12" x14ac:dyDescent="0.3">
      <c r="A562" s="4" t="s">
        <v>1106</v>
      </c>
      <c r="B562" s="5">
        <v>45846</v>
      </c>
      <c r="C562" s="4" t="s">
        <v>573</v>
      </c>
      <c r="D562" s="4" t="s">
        <v>977</v>
      </c>
      <c r="E562" s="4" t="s">
        <v>29</v>
      </c>
      <c r="F562" s="4" t="s">
        <v>102</v>
      </c>
      <c r="G562" s="4" t="s">
        <v>24</v>
      </c>
      <c r="H562" s="4" t="s">
        <v>50</v>
      </c>
      <c r="I562" s="6">
        <v>2</v>
      </c>
      <c r="J562" s="6">
        <v>8670</v>
      </c>
      <c r="K562" s="6">
        <v>6365.06</v>
      </c>
      <c r="L562" s="6">
        <v>2304.94</v>
      </c>
    </row>
    <row r="563" spans="1:12" x14ac:dyDescent="0.3">
      <c r="A563" s="4" t="s">
        <v>1107</v>
      </c>
      <c r="B563" s="5">
        <v>45815</v>
      </c>
      <c r="C563" s="4" t="s">
        <v>1108</v>
      </c>
      <c r="D563" s="4" t="s">
        <v>531</v>
      </c>
      <c r="E563" s="4" t="s">
        <v>54</v>
      </c>
      <c r="F563" s="4" t="s">
        <v>71</v>
      </c>
      <c r="G563" s="4" t="s">
        <v>40</v>
      </c>
      <c r="H563" s="4" t="s">
        <v>41</v>
      </c>
      <c r="I563" s="6">
        <v>8</v>
      </c>
      <c r="J563" s="6">
        <v>20400</v>
      </c>
      <c r="K563" s="6">
        <v>14223.73</v>
      </c>
      <c r="L563" s="6">
        <v>6176.27</v>
      </c>
    </row>
    <row r="564" spans="1:12" x14ac:dyDescent="0.3">
      <c r="A564" s="4" t="s">
        <v>1109</v>
      </c>
      <c r="B564" s="5">
        <v>45781</v>
      </c>
      <c r="C564" s="4" t="s">
        <v>214</v>
      </c>
      <c r="D564" s="4" t="s">
        <v>1110</v>
      </c>
      <c r="E564" s="4" t="s">
        <v>29</v>
      </c>
      <c r="F564" s="4" t="s">
        <v>30</v>
      </c>
      <c r="G564" s="4" t="s">
        <v>24</v>
      </c>
      <c r="H564" s="4" t="s">
        <v>166</v>
      </c>
      <c r="I564" s="6">
        <v>1</v>
      </c>
      <c r="J564" s="6">
        <v>4606</v>
      </c>
      <c r="K564" s="6">
        <v>3637.73</v>
      </c>
      <c r="L564" s="6">
        <v>968.27</v>
      </c>
    </row>
    <row r="565" spans="1:12" x14ac:dyDescent="0.3">
      <c r="A565" s="4" t="s">
        <v>1111</v>
      </c>
      <c r="B565" s="5">
        <v>46007</v>
      </c>
      <c r="C565" s="4" t="s">
        <v>1112</v>
      </c>
      <c r="D565" s="4" t="s">
        <v>665</v>
      </c>
      <c r="E565" s="4" t="s">
        <v>54</v>
      </c>
      <c r="F565" s="4" t="s">
        <v>55</v>
      </c>
      <c r="G565" s="4" t="s">
        <v>17</v>
      </c>
      <c r="H565" s="4" t="s">
        <v>31</v>
      </c>
      <c r="I565" s="6">
        <v>3</v>
      </c>
      <c r="J565" s="6">
        <v>12135</v>
      </c>
      <c r="K565" s="6">
        <v>10229.219999999999</v>
      </c>
      <c r="L565" s="6">
        <v>1905.78</v>
      </c>
    </row>
    <row r="566" spans="1:12" x14ac:dyDescent="0.3">
      <c r="A566" s="4" t="s">
        <v>1113</v>
      </c>
      <c r="B566" s="5">
        <v>45395</v>
      </c>
      <c r="C566" s="4" t="s">
        <v>441</v>
      </c>
      <c r="D566" s="4" t="s">
        <v>459</v>
      </c>
      <c r="E566" s="4" t="s">
        <v>54</v>
      </c>
      <c r="F566" s="4" t="s">
        <v>71</v>
      </c>
      <c r="G566" s="4" t="s">
        <v>24</v>
      </c>
      <c r="H566" s="4" t="s">
        <v>25</v>
      </c>
      <c r="I566" s="6">
        <v>1</v>
      </c>
      <c r="J566" s="6">
        <v>2026</v>
      </c>
      <c r="K566" s="6">
        <v>1344.92</v>
      </c>
      <c r="L566" s="6">
        <v>681.08</v>
      </c>
    </row>
    <row r="567" spans="1:12" x14ac:dyDescent="0.3">
      <c r="A567" s="4" t="s">
        <v>1114</v>
      </c>
      <c r="B567" s="5">
        <v>45919</v>
      </c>
      <c r="C567" s="4" t="s">
        <v>792</v>
      </c>
      <c r="D567" s="4" t="s">
        <v>381</v>
      </c>
      <c r="E567" s="4" t="s">
        <v>54</v>
      </c>
      <c r="F567" s="4" t="s">
        <v>142</v>
      </c>
      <c r="G567" s="4" t="s">
        <v>35</v>
      </c>
      <c r="H567" s="4" t="s">
        <v>45</v>
      </c>
      <c r="I567" s="6">
        <v>5</v>
      </c>
      <c r="J567" s="6">
        <v>11210</v>
      </c>
      <c r="K567" s="6">
        <v>7071.52</v>
      </c>
      <c r="L567" s="6">
        <v>4138.4799999999996</v>
      </c>
    </row>
    <row r="568" spans="1:12" x14ac:dyDescent="0.3">
      <c r="A568" s="4" t="s">
        <v>1115</v>
      </c>
      <c r="B568" s="5">
        <v>45673</v>
      </c>
      <c r="C568" s="4" t="s">
        <v>47</v>
      </c>
      <c r="D568" s="4" t="s">
        <v>839</v>
      </c>
      <c r="E568" s="4" t="s">
        <v>29</v>
      </c>
      <c r="F568" s="4" t="s">
        <v>49</v>
      </c>
      <c r="G568" s="4" t="s">
        <v>35</v>
      </c>
      <c r="H568" s="4" t="s">
        <v>36</v>
      </c>
      <c r="I568" s="6">
        <v>4</v>
      </c>
      <c r="J568" s="6">
        <v>14932</v>
      </c>
      <c r="K568" s="6">
        <v>11351.51</v>
      </c>
      <c r="L568" s="6">
        <v>3580.49</v>
      </c>
    </row>
    <row r="569" spans="1:12" x14ac:dyDescent="0.3">
      <c r="A569" s="4" t="s">
        <v>1116</v>
      </c>
      <c r="B569" s="5">
        <v>45994</v>
      </c>
      <c r="C569" s="4" t="s">
        <v>1074</v>
      </c>
      <c r="D569" s="4" t="s">
        <v>1117</v>
      </c>
      <c r="E569" s="4" t="s">
        <v>54</v>
      </c>
      <c r="F569" s="4" t="s">
        <v>55</v>
      </c>
      <c r="G569" s="4" t="s">
        <v>24</v>
      </c>
      <c r="H569" s="4" t="s">
        <v>166</v>
      </c>
      <c r="I569" s="6">
        <v>10</v>
      </c>
      <c r="J569" s="6">
        <v>13740</v>
      </c>
      <c r="K569" s="6">
        <v>11593.56</v>
      </c>
      <c r="L569" s="6">
        <v>2146.44</v>
      </c>
    </row>
    <row r="570" spans="1:12" x14ac:dyDescent="0.3">
      <c r="A570" s="4" t="s">
        <v>1118</v>
      </c>
      <c r="B570" s="5">
        <v>45445</v>
      </c>
      <c r="C570" s="4" t="s">
        <v>1001</v>
      </c>
      <c r="D570" s="4" t="s">
        <v>629</v>
      </c>
      <c r="E570" s="4" t="s">
        <v>54</v>
      </c>
      <c r="F570" s="4" t="s">
        <v>142</v>
      </c>
      <c r="G570" s="4" t="s">
        <v>35</v>
      </c>
      <c r="H570" s="4" t="s">
        <v>45</v>
      </c>
      <c r="I570" s="6">
        <v>7</v>
      </c>
      <c r="J570" s="6">
        <v>23940</v>
      </c>
      <c r="K570" s="6">
        <v>14575.13</v>
      </c>
      <c r="L570" s="6">
        <v>9364.8700000000008</v>
      </c>
    </row>
    <row r="571" spans="1:12" x14ac:dyDescent="0.3">
      <c r="A571" s="4" t="s">
        <v>1119</v>
      </c>
      <c r="B571" s="5">
        <v>45615</v>
      </c>
      <c r="C571" s="4" t="s">
        <v>1120</v>
      </c>
      <c r="D571" s="4" t="s">
        <v>1121</v>
      </c>
      <c r="E571" s="4" t="s">
        <v>29</v>
      </c>
      <c r="F571" s="4" t="s">
        <v>49</v>
      </c>
      <c r="G571" s="4" t="s">
        <v>35</v>
      </c>
      <c r="H571" s="4" t="s">
        <v>80</v>
      </c>
      <c r="I571" s="6">
        <v>3</v>
      </c>
      <c r="J571" s="6">
        <v>13605</v>
      </c>
      <c r="K571" s="6">
        <v>9662.2000000000007</v>
      </c>
      <c r="L571" s="6">
        <v>3942.8</v>
      </c>
    </row>
    <row r="572" spans="1:12" x14ac:dyDescent="0.3">
      <c r="A572" s="4" t="s">
        <v>1122</v>
      </c>
      <c r="B572" s="5">
        <v>45459</v>
      </c>
      <c r="C572" s="4" t="s">
        <v>120</v>
      </c>
      <c r="D572" s="4" t="s">
        <v>1123</v>
      </c>
      <c r="E572" s="4" t="s">
        <v>54</v>
      </c>
      <c r="F572" s="4" t="s">
        <v>71</v>
      </c>
      <c r="G572" s="4" t="s">
        <v>17</v>
      </c>
      <c r="H572" s="4" t="s">
        <v>72</v>
      </c>
      <c r="I572" s="6">
        <v>1</v>
      </c>
      <c r="J572" s="6">
        <v>3563</v>
      </c>
      <c r="K572" s="6">
        <v>2065.44</v>
      </c>
      <c r="L572" s="6">
        <v>1497.56</v>
      </c>
    </row>
    <row r="573" spans="1:12" x14ac:dyDescent="0.3">
      <c r="A573" s="4" t="s">
        <v>1124</v>
      </c>
      <c r="B573" s="5">
        <v>45558</v>
      </c>
      <c r="C573" s="4" t="s">
        <v>558</v>
      </c>
      <c r="D573" s="4" t="s">
        <v>797</v>
      </c>
      <c r="E573" s="4" t="s">
        <v>54</v>
      </c>
      <c r="F573" s="4" t="s">
        <v>55</v>
      </c>
      <c r="G573" s="4" t="s">
        <v>17</v>
      </c>
      <c r="H573" s="4" t="s">
        <v>31</v>
      </c>
      <c r="I573" s="6">
        <v>2</v>
      </c>
      <c r="J573" s="6">
        <v>7970</v>
      </c>
      <c r="K573" s="6">
        <v>6163.82</v>
      </c>
      <c r="L573" s="6">
        <v>1806.18</v>
      </c>
    </row>
    <row r="574" spans="1:12" x14ac:dyDescent="0.3">
      <c r="A574" s="4" t="s">
        <v>1125</v>
      </c>
      <c r="B574" s="5">
        <v>45987</v>
      </c>
      <c r="C574" s="4" t="s">
        <v>301</v>
      </c>
      <c r="D574" s="4" t="s">
        <v>311</v>
      </c>
      <c r="E574" s="4" t="s">
        <v>54</v>
      </c>
      <c r="F574" s="4" t="s">
        <v>55</v>
      </c>
      <c r="G574" s="4" t="s">
        <v>24</v>
      </c>
      <c r="H574" s="4" t="s">
        <v>25</v>
      </c>
      <c r="I574" s="6">
        <v>7</v>
      </c>
      <c r="J574" s="6">
        <v>9051</v>
      </c>
      <c r="K574" s="6">
        <v>5931.37</v>
      </c>
      <c r="L574" s="6">
        <v>3119.63</v>
      </c>
    </row>
    <row r="575" spans="1:12" x14ac:dyDescent="0.3">
      <c r="A575" s="4" t="s">
        <v>1126</v>
      </c>
      <c r="B575" s="5">
        <v>45749</v>
      </c>
      <c r="C575" s="4" t="s">
        <v>461</v>
      </c>
      <c r="D575" s="4" t="s">
        <v>1029</v>
      </c>
      <c r="E575" s="4" t="s">
        <v>29</v>
      </c>
      <c r="F575" s="4" t="s">
        <v>49</v>
      </c>
      <c r="G575" s="4" t="s">
        <v>40</v>
      </c>
      <c r="H575" s="4" t="s">
        <v>41</v>
      </c>
      <c r="I575" s="6">
        <v>6</v>
      </c>
      <c r="J575" s="6">
        <v>26886</v>
      </c>
      <c r="K575" s="6">
        <v>18719.330000000002</v>
      </c>
      <c r="L575" s="6">
        <v>8166.67</v>
      </c>
    </row>
    <row r="576" spans="1:12" x14ac:dyDescent="0.3">
      <c r="A576" s="4" t="s">
        <v>1127</v>
      </c>
      <c r="B576" s="5">
        <v>45637</v>
      </c>
      <c r="C576" s="4" t="s">
        <v>818</v>
      </c>
      <c r="D576" s="4" t="s">
        <v>931</v>
      </c>
      <c r="E576" s="4" t="s">
        <v>54</v>
      </c>
      <c r="F576" s="4" t="s">
        <v>55</v>
      </c>
      <c r="G576" s="4" t="s">
        <v>17</v>
      </c>
      <c r="H576" s="4" t="s">
        <v>31</v>
      </c>
      <c r="I576" s="6">
        <v>3</v>
      </c>
      <c r="J576" s="6">
        <v>5016</v>
      </c>
      <c r="K576" s="6">
        <v>3722.75</v>
      </c>
      <c r="L576" s="6">
        <v>1293.25</v>
      </c>
    </row>
    <row r="577" spans="1:12" x14ac:dyDescent="0.3">
      <c r="A577" s="4" t="s">
        <v>1128</v>
      </c>
      <c r="B577" s="5">
        <v>45616</v>
      </c>
      <c r="C577" s="4" t="s">
        <v>727</v>
      </c>
      <c r="D577" s="4" t="s">
        <v>1129</v>
      </c>
      <c r="E577" s="4" t="s">
        <v>22</v>
      </c>
      <c r="F577" s="4" t="s">
        <v>23</v>
      </c>
      <c r="G577" s="4" t="s">
        <v>24</v>
      </c>
      <c r="H577" s="4" t="s">
        <v>50</v>
      </c>
      <c r="I577" s="6">
        <v>3</v>
      </c>
      <c r="J577" s="6">
        <v>9342</v>
      </c>
      <c r="K577" s="6">
        <v>5777.7</v>
      </c>
      <c r="L577" s="6">
        <v>3564.3</v>
      </c>
    </row>
    <row r="578" spans="1:12" x14ac:dyDescent="0.3">
      <c r="A578" s="4" t="s">
        <v>1130</v>
      </c>
      <c r="B578" s="5">
        <v>45715</v>
      </c>
      <c r="C578" s="4" t="s">
        <v>961</v>
      </c>
      <c r="D578" s="4" t="s">
        <v>1131</v>
      </c>
      <c r="E578" s="4" t="s">
        <v>22</v>
      </c>
      <c r="F578" s="4" t="s">
        <v>67</v>
      </c>
      <c r="G578" s="4" t="s">
        <v>35</v>
      </c>
      <c r="H578" s="4" t="s">
        <v>80</v>
      </c>
      <c r="I578" s="6">
        <v>6</v>
      </c>
      <c r="J578" s="6">
        <v>27402</v>
      </c>
      <c r="K578" s="6">
        <v>23008.3</v>
      </c>
      <c r="L578" s="6">
        <v>4393.7</v>
      </c>
    </row>
    <row r="579" spans="1:12" x14ac:dyDescent="0.3">
      <c r="A579" s="4" t="s">
        <v>1132</v>
      </c>
      <c r="B579" s="5">
        <v>46009</v>
      </c>
      <c r="C579" s="4" t="s">
        <v>461</v>
      </c>
      <c r="D579" s="4" t="s">
        <v>781</v>
      </c>
      <c r="E579" s="4" t="s">
        <v>15</v>
      </c>
      <c r="F579" s="4" t="s">
        <v>16</v>
      </c>
      <c r="G579" s="4" t="s">
        <v>17</v>
      </c>
      <c r="H579" s="4" t="s">
        <v>18</v>
      </c>
      <c r="I579" s="6">
        <v>4</v>
      </c>
      <c r="J579" s="6">
        <v>9444</v>
      </c>
      <c r="K579" s="6">
        <v>7858.65</v>
      </c>
      <c r="L579" s="6">
        <v>1585.35</v>
      </c>
    </row>
    <row r="580" spans="1:12" x14ac:dyDescent="0.3">
      <c r="A580" s="4" t="s">
        <v>1133</v>
      </c>
      <c r="B580" s="5">
        <v>45776</v>
      </c>
      <c r="C580" s="4" t="s">
        <v>969</v>
      </c>
      <c r="D580" s="4" t="s">
        <v>813</v>
      </c>
      <c r="E580" s="4" t="s">
        <v>29</v>
      </c>
      <c r="F580" s="4" t="s">
        <v>49</v>
      </c>
      <c r="G580" s="4" t="s">
        <v>24</v>
      </c>
      <c r="H580" s="4" t="s">
        <v>50</v>
      </c>
      <c r="I580" s="6">
        <v>2</v>
      </c>
      <c r="J580" s="6">
        <v>1644</v>
      </c>
      <c r="K580" s="6">
        <v>1366.23</v>
      </c>
      <c r="L580" s="6">
        <v>277.77</v>
      </c>
    </row>
    <row r="581" spans="1:12" x14ac:dyDescent="0.3">
      <c r="A581" s="4" t="s">
        <v>1134</v>
      </c>
      <c r="B581" s="5">
        <v>45451</v>
      </c>
      <c r="C581" s="4" t="s">
        <v>263</v>
      </c>
      <c r="D581" s="4" t="s">
        <v>1016</v>
      </c>
      <c r="E581" s="4" t="s">
        <v>15</v>
      </c>
      <c r="F581" s="4" t="s">
        <v>63</v>
      </c>
      <c r="G581" s="4" t="s">
        <v>35</v>
      </c>
      <c r="H581" s="4" t="s">
        <v>45</v>
      </c>
      <c r="I581" s="6">
        <v>2</v>
      </c>
      <c r="J581" s="6">
        <v>2302</v>
      </c>
      <c r="K581" s="6">
        <v>1447.35</v>
      </c>
      <c r="L581" s="6">
        <v>854.65</v>
      </c>
    </row>
    <row r="582" spans="1:12" x14ac:dyDescent="0.3">
      <c r="A582" s="4" t="s">
        <v>1135</v>
      </c>
      <c r="B582" s="5">
        <v>45426</v>
      </c>
      <c r="C582" s="4" t="s">
        <v>700</v>
      </c>
      <c r="D582" s="4" t="s">
        <v>362</v>
      </c>
      <c r="E582" s="4" t="s">
        <v>54</v>
      </c>
      <c r="F582" s="4" t="s">
        <v>142</v>
      </c>
      <c r="G582" s="4" t="s">
        <v>40</v>
      </c>
      <c r="H582" s="4" t="s">
        <v>56</v>
      </c>
      <c r="I582" s="6">
        <v>5</v>
      </c>
      <c r="J582" s="6">
        <v>19650</v>
      </c>
      <c r="K582" s="6">
        <v>14500.6</v>
      </c>
      <c r="L582" s="6">
        <v>5149.3999999999996</v>
      </c>
    </row>
    <row r="583" spans="1:12" x14ac:dyDescent="0.3">
      <c r="A583" s="4" t="s">
        <v>1136</v>
      </c>
      <c r="B583" s="5">
        <v>45770</v>
      </c>
      <c r="C583" s="4" t="s">
        <v>214</v>
      </c>
      <c r="D583" s="4" t="s">
        <v>533</v>
      </c>
      <c r="E583" s="4" t="s">
        <v>15</v>
      </c>
      <c r="F583" s="4" t="s">
        <v>16</v>
      </c>
      <c r="G583" s="4" t="s">
        <v>17</v>
      </c>
      <c r="H583" s="4" t="s">
        <v>31</v>
      </c>
      <c r="I583" s="6">
        <v>6</v>
      </c>
      <c r="J583" s="6">
        <v>17784</v>
      </c>
      <c r="K583" s="6">
        <v>14392.1</v>
      </c>
      <c r="L583" s="6">
        <v>3391.9</v>
      </c>
    </row>
    <row r="584" spans="1:12" x14ac:dyDescent="0.3">
      <c r="A584" s="4" t="s">
        <v>1137</v>
      </c>
      <c r="B584" s="5">
        <v>45759</v>
      </c>
      <c r="C584" s="4" t="s">
        <v>228</v>
      </c>
      <c r="D584" s="4" t="s">
        <v>252</v>
      </c>
      <c r="E584" s="4" t="s">
        <v>22</v>
      </c>
      <c r="F584" s="4" t="s">
        <v>23</v>
      </c>
      <c r="G584" s="4" t="s">
        <v>17</v>
      </c>
      <c r="H584" s="4" t="s">
        <v>18</v>
      </c>
      <c r="I584" s="6">
        <v>9</v>
      </c>
      <c r="J584" s="6">
        <v>15750</v>
      </c>
      <c r="K584" s="6">
        <v>11454.18</v>
      </c>
      <c r="L584" s="6">
        <v>4295.82</v>
      </c>
    </row>
    <row r="585" spans="1:12" x14ac:dyDescent="0.3">
      <c r="A585" s="4" t="s">
        <v>1138</v>
      </c>
      <c r="B585" s="5">
        <v>45744</v>
      </c>
      <c r="C585" s="4" t="s">
        <v>88</v>
      </c>
      <c r="D585" s="4" t="s">
        <v>381</v>
      </c>
      <c r="E585" s="4" t="s">
        <v>54</v>
      </c>
      <c r="F585" s="4" t="s">
        <v>55</v>
      </c>
      <c r="G585" s="4" t="s">
        <v>35</v>
      </c>
      <c r="H585" s="4" t="s">
        <v>80</v>
      </c>
      <c r="I585" s="6">
        <v>9</v>
      </c>
      <c r="J585" s="6">
        <v>19440</v>
      </c>
      <c r="K585" s="6">
        <v>15385.06</v>
      </c>
      <c r="L585" s="6">
        <v>4054.94</v>
      </c>
    </row>
    <row r="586" spans="1:12" x14ac:dyDescent="0.3">
      <c r="A586" s="4" t="s">
        <v>1139</v>
      </c>
      <c r="B586" s="5">
        <v>45431</v>
      </c>
      <c r="C586" s="4" t="s">
        <v>872</v>
      </c>
      <c r="D586" s="4" t="s">
        <v>589</v>
      </c>
      <c r="E586" s="4" t="s">
        <v>22</v>
      </c>
      <c r="F586" s="4" t="s">
        <v>67</v>
      </c>
      <c r="G586" s="4" t="s">
        <v>24</v>
      </c>
      <c r="H586" s="4" t="s">
        <v>166</v>
      </c>
      <c r="I586" s="6">
        <v>5</v>
      </c>
      <c r="J586" s="6">
        <v>1930</v>
      </c>
      <c r="K586" s="6">
        <v>1061.55</v>
      </c>
      <c r="L586" s="6">
        <v>868.45</v>
      </c>
    </row>
    <row r="587" spans="1:12" x14ac:dyDescent="0.3">
      <c r="A587" s="4" t="s">
        <v>1140</v>
      </c>
      <c r="B587" s="5">
        <v>45732</v>
      </c>
      <c r="C587" s="4" t="s">
        <v>727</v>
      </c>
      <c r="D587" s="4" t="s">
        <v>365</v>
      </c>
      <c r="E587" s="4" t="s">
        <v>22</v>
      </c>
      <c r="F587" s="4" t="s">
        <v>79</v>
      </c>
      <c r="G587" s="4" t="s">
        <v>24</v>
      </c>
      <c r="H587" s="4" t="s">
        <v>25</v>
      </c>
      <c r="I587" s="6">
        <v>8</v>
      </c>
      <c r="J587" s="6">
        <v>33664</v>
      </c>
      <c r="K587" s="6">
        <v>21541.03</v>
      </c>
      <c r="L587" s="6">
        <v>12122.97</v>
      </c>
    </row>
    <row r="588" spans="1:12" x14ac:dyDescent="0.3">
      <c r="A588" s="4" t="s">
        <v>1141</v>
      </c>
      <c r="B588" s="5">
        <v>45739</v>
      </c>
      <c r="C588" s="4" t="s">
        <v>856</v>
      </c>
      <c r="D588" s="4" t="s">
        <v>114</v>
      </c>
      <c r="E588" s="4" t="s">
        <v>15</v>
      </c>
      <c r="F588" s="4" t="s">
        <v>90</v>
      </c>
      <c r="G588" s="4" t="s">
        <v>40</v>
      </c>
      <c r="H588" s="4" t="s">
        <v>41</v>
      </c>
      <c r="I588" s="6">
        <v>4</v>
      </c>
      <c r="J588" s="6">
        <v>14688</v>
      </c>
      <c r="K588" s="6">
        <v>11965.56</v>
      </c>
      <c r="L588" s="6">
        <v>2722.44</v>
      </c>
    </row>
    <row r="589" spans="1:12" x14ac:dyDescent="0.3">
      <c r="A589" s="4" t="s">
        <v>1142</v>
      </c>
      <c r="B589" s="5">
        <v>45373</v>
      </c>
      <c r="C589" s="4" t="s">
        <v>95</v>
      </c>
      <c r="D589" s="4" t="s">
        <v>89</v>
      </c>
      <c r="E589" s="4" t="s">
        <v>29</v>
      </c>
      <c r="F589" s="4" t="s">
        <v>30</v>
      </c>
      <c r="G589" s="4" t="s">
        <v>17</v>
      </c>
      <c r="H589" s="4" t="s">
        <v>18</v>
      </c>
      <c r="I589" s="6">
        <v>7</v>
      </c>
      <c r="J589" s="6">
        <v>23793</v>
      </c>
      <c r="K589" s="6">
        <v>14660.72</v>
      </c>
      <c r="L589" s="6">
        <v>9132.2800000000007</v>
      </c>
    </row>
    <row r="590" spans="1:12" x14ac:dyDescent="0.3">
      <c r="A590" s="4" t="s">
        <v>1143</v>
      </c>
      <c r="B590" s="5">
        <v>45362</v>
      </c>
      <c r="C590" s="4" t="s">
        <v>565</v>
      </c>
      <c r="D590" s="4" t="s">
        <v>659</v>
      </c>
      <c r="E590" s="4" t="s">
        <v>54</v>
      </c>
      <c r="F590" s="4" t="s">
        <v>55</v>
      </c>
      <c r="G590" s="4" t="s">
        <v>17</v>
      </c>
      <c r="H590" s="4" t="s">
        <v>31</v>
      </c>
      <c r="I590" s="6">
        <v>9</v>
      </c>
      <c r="J590" s="6">
        <v>22518</v>
      </c>
      <c r="K590" s="6">
        <v>15174.23</v>
      </c>
      <c r="L590" s="6">
        <v>7343.77</v>
      </c>
    </row>
    <row r="591" spans="1:12" x14ac:dyDescent="0.3">
      <c r="A591" s="4" t="s">
        <v>1144</v>
      </c>
      <c r="B591" s="5">
        <v>45929</v>
      </c>
      <c r="C591" s="4" t="s">
        <v>737</v>
      </c>
      <c r="D591" s="4" t="s">
        <v>1145</v>
      </c>
      <c r="E591" s="4" t="s">
        <v>54</v>
      </c>
      <c r="F591" s="4" t="s">
        <v>142</v>
      </c>
      <c r="G591" s="4" t="s">
        <v>17</v>
      </c>
      <c r="H591" s="4" t="s">
        <v>31</v>
      </c>
      <c r="I591" s="6">
        <v>8</v>
      </c>
      <c r="J591" s="6">
        <v>32072</v>
      </c>
      <c r="K591" s="6">
        <v>20257.97</v>
      </c>
      <c r="L591" s="6">
        <v>11814.03</v>
      </c>
    </row>
    <row r="592" spans="1:12" x14ac:dyDescent="0.3">
      <c r="A592" s="4" t="s">
        <v>1146</v>
      </c>
      <c r="B592" s="5">
        <v>45396</v>
      </c>
      <c r="C592" s="4" t="s">
        <v>938</v>
      </c>
      <c r="D592" s="4" t="s">
        <v>255</v>
      </c>
      <c r="E592" s="4" t="s">
        <v>54</v>
      </c>
      <c r="F592" s="4" t="s">
        <v>142</v>
      </c>
      <c r="G592" s="4" t="s">
        <v>24</v>
      </c>
      <c r="H592" s="4" t="s">
        <v>166</v>
      </c>
      <c r="I592" s="6">
        <v>1</v>
      </c>
      <c r="J592" s="6">
        <v>4682</v>
      </c>
      <c r="K592" s="6">
        <v>2606.19</v>
      </c>
      <c r="L592" s="6">
        <v>2075.81</v>
      </c>
    </row>
    <row r="593" spans="1:12" x14ac:dyDescent="0.3">
      <c r="A593" s="4" t="s">
        <v>1147</v>
      </c>
      <c r="B593" s="5">
        <v>45307</v>
      </c>
      <c r="C593" s="4" t="s">
        <v>843</v>
      </c>
      <c r="D593" s="4" t="s">
        <v>647</v>
      </c>
      <c r="E593" s="4" t="s">
        <v>29</v>
      </c>
      <c r="F593" s="4" t="s">
        <v>30</v>
      </c>
      <c r="G593" s="4" t="s">
        <v>35</v>
      </c>
      <c r="H593" s="4" t="s">
        <v>80</v>
      </c>
      <c r="I593" s="6">
        <v>1</v>
      </c>
      <c r="J593" s="6">
        <v>2207</v>
      </c>
      <c r="K593" s="6">
        <v>1273.57</v>
      </c>
      <c r="L593" s="6">
        <v>933.43</v>
      </c>
    </row>
    <row r="594" spans="1:12" x14ac:dyDescent="0.3">
      <c r="A594" s="4" t="s">
        <v>1148</v>
      </c>
      <c r="B594" s="5">
        <v>45324</v>
      </c>
      <c r="C594" s="4" t="s">
        <v>104</v>
      </c>
      <c r="D594" s="4" t="s">
        <v>215</v>
      </c>
      <c r="E594" s="4" t="s">
        <v>54</v>
      </c>
      <c r="F594" s="4" t="s">
        <v>55</v>
      </c>
      <c r="G594" s="4" t="s">
        <v>40</v>
      </c>
      <c r="H594" s="4" t="s">
        <v>99</v>
      </c>
      <c r="I594" s="6">
        <v>8</v>
      </c>
      <c r="J594" s="6">
        <v>26736</v>
      </c>
      <c r="K594" s="6">
        <v>18423.919999999998</v>
      </c>
      <c r="L594" s="6">
        <v>8312.08</v>
      </c>
    </row>
    <row r="595" spans="1:12" x14ac:dyDescent="0.3">
      <c r="A595" s="4" t="s">
        <v>1149</v>
      </c>
      <c r="B595" s="5">
        <v>45477</v>
      </c>
      <c r="C595" s="4" t="s">
        <v>1150</v>
      </c>
      <c r="D595" s="4" t="s">
        <v>1151</v>
      </c>
      <c r="E595" s="4" t="s">
        <v>29</v>
      </c>
      <c r="F595" s="4" t="s">
        <v>102</v>
      </c>
      <c r="G595" s="4" t="s">
        <v>40</v>
      </c>
      <c r="H595" s="4" t="s">
        <v>99</v>
      </c>
      <c r="I595" s="6">
        <v>7</v>
      </c>
      <c r="J595" s="6">
        <v>6188</v>
      </c>
      <c r="K595" s="6">
        <v>4411.78</v>
      </c>
      <c r="L595" s="6">
        <v>1776.22</v>
      </c>
    </row>
    <row r="596" spans="1:12" x14ac:dyDescent="0.3">
      <c r="A596" s="4" t="s">
        <v>1152</v>
      </c>
      <c r="B596" s="5">
        <v>45745</v>
      </c>
      <c r="C596" s="4" t="s">
        <v>480</v>
      </c>
      <c r="D596" s="4" t="s">
        <v>1153</v>
      </c>
      <c r="E596" s="4" t="s">
        <v>22</v>
      </c>
      <c r="F596" s="4" t="s">
        <v>23</v>
      </c>
      <c r="G596" s="4" t="s">
        <v>24</v>
      </c>
      <c r="H596" s="4" t="s">
        <v>50</v>
      </c>
      <c r="I596" s="6">
        <v>4</v>
      </c>
      <c r="J596" s="6">
        <v>13808</v>
      </c>
      <c r="K596" s="6">
        <v>10789.12</v>
      </c>
      <c r="L596" s="6">
        <v>3018.88</v>
      </c>
    </row>
    <row r="597" spans="1:12" x14ac:dyDescent="0.3">
      <c r="A597" s="4" t="s">
        <v>1154</v>
      </c>
      <c r="B597" s="5">
        <v>45505</v>
      </c>
      <c r="C597" s="4" t="s">
        <v>1001</v>
      </c>
      <c r="D597" s="4" t="s">
        <v>1016</v>
      </c>
      <c r="E597" s="4" t="s">
        <v>29</v>
      </c>
      <c r="F597" s="4" t="s">
        <v>49</v>
      </c>
      <c r="G597" s="4" t="s">
        <v>17</v>
      </c>
      <c r="H597" s="4" t="s">
        <v>18</v>
      </c>
      <c r="I597" s="6">
        <v>2</v>
      </c>
      <c r="J597" s="6">
        <v>9138</v>
      </c>
      <c r="K597" s="6">
        <v>6851.69</v>
      </c>
      <c r="L597" s="6">
        <v>2286.31</v>
      </c>
    </row>
    <row r="598" spans="1:12" x14ac:dyDescent="0.3">
      <c r="A598" s="4" t="s">
        <v>1155</v>
      </c>
      <c r="B598" s="5">
        <v>45551</v>
      </c>
      <c r="C598" s="4" t="s">
        <v>1156</v>
      </c>
      <c r="D598" s="4" t="s">
        <v>577</v>
      </c>
      <c r="E598" s="4" t="s">
        <v>54</v>
      </c>
      <c r="F598" s="4" t="s">
        <v>55</v>
      </c>
      <c r="G598" s="4" t="s">
        <v>24</v>
      </c>
      <c r="H598" s="4" t="s">
        <v>166</v>
      </c>
      <c r="I598" s="6">
        <v>1</v>
      </c>
      <c r="J598" s="6">
        <v>4802</v>
      </c>
      <c r="K598" s="6">
        <v>3391.55</v>
      </c>
      <c r="L598" s="6">
        <v>1410.45</v>
      </c>
    </row>
    <row r="599" spans="1:12" x14ac:dyDescent="0.3">
      <c r="A599" s="4" t="s">
        <v>1157</v>
      </c>
      <c r="B599" s="5">
        <v>45736</v>
      </c>
      <c r="C599" s="4" t="s">
        <v>441</v>
      </c>
      <c r="D599" s="4" t="s">
        <v>404</v>
      </c>
      <c r="E599" s="4" t="s">
        <v>29</v>
      </c>
      <c r="F599" s="4" t="s">
        <v>49</v>
      </c>
      <c r="G599" s="4" t="s">
        <v>24</v>
      </c>
      <c r="H599" s="4" t="s">
        <v>25</v>
      </c>
      <c r="I599" s="6">
        <v>4</v>
      </c>
      <c r="J599" s="6">
        <v>4900</v>
      </c>
      <c r="K599" s="6">
        <v>3041.87</v>
      </c>
      <c r="L599" s="6">
        <v>1858.13</v>
      </c>
    </row>
    <row r="600" spans="1:12" x14ac:dyDescent="0.3">
      <c r="A600" s="4" t="s">
        <v>1158</v>
      </c>
      <c r="B600" s="5">
        <v>45301</v>
      </c>
      <c r="C600" s="4" t="s">
        <v>573</v>
      </c>
      <c r="D600" s="4" t="s">
        <v>571</v>
      </c>
      <c r="E600" s="4" t="s">
        <v>29</v>
      </c>
      <c r="F600" s="4" t="s">
        <v>49</v>
      </c>
      <c r="G600" s="4" t="s">
        <v>17</v>
      </c>
      <c r="H600" s="4" t="s">
        <v>72</v>
      </c>
      <c r="I600" s="6">
        <v>2</v>
      </c>
      <c r="J600" s="6">
        <v>7084</v>
      </c>
      <c r="K600" s="6">
        <v>5573.29</v>
      </c>
      <c r="L600" s="6">
        <v>1510.71</v>
      </c>
    </row>
    <row r="601" spans="1:12" x14ac:dyDescent="0.3">
      <c r="A601" s="4" t="s">
        <v>1159</v>
      </c>
      <c r="B601" s="5">
        <v>45546</v>
      </c>
      <c r="C601" s="4" t="s">
        <v>129</v>
      </c>
      <c r="D601" s="4" t="s">
        <v>691</v>
      </c>
      <c r="E601" s="4" t="s">
        <v>22</v>
      </c>
      <c r="F601" s="4" t="s">
        <v>79</v>
      </c>
      <c r="G601" s="4" t="s">
        <v>17</v>
      </c>
      <c r="H601" s="4" t="s">
        <v>72</v>
      </c>
      <c r="I601" s="6">
        <v>3</v>
      </c>
      <c r="J601" s="6">
        <v>10026</v>
      </c>
      <c r="K601" s="6">
        <v>7832.7</v>
      </c>
      <c r="L601" s="6">
        <v>2193.3000000000002</v>
      </c>
    </row>
    <row r="602" spans="1:12" x14ac:dyDescent="0.3">
      <c r="A602" s="4" t="s">
        <v>1160</v>
      </c>
      <c r="B602" s="5">
        <v>45952</v>
      </c>
      <c r="C602" s="4" t="s">
        <v>251</v>
      </c>
      <c r="D602" s="4" t="s">
        <v>78</v>
      </c>
      <c r="E602" s="4" t="s">
        <v>15</v>
      </c>
      <c r="F602" s="4" t="s">
        <v>90</v>
      </c>
      <c r="G602" s="4" t="s">
        <v>17</v>
      </c>
      <c r="H602" s="4" t="s">
        <v>72</v>
      </c>
      <c r="I602" s="6">
        <v>6</v>
      </c>
      <c r="J602" s="6">
        <v>4746</v>
      </c>
      <c r="K602" s="6">
        <v>2695.41</v>
      </c>
      <c r="L602" s="6">
        <v>2050.59</v>
      </c>
    </row>
    <row r="603" spans="1:12" x14ac:dyDescent="0.3">
      <c r="A603" s="4" t="s">
        <v>1161</v>
      </c>
      <c r="B603" s="5">
        <v>45952</v>
      </c>
      <c r="C603" s="4" t="s">
        <v>618</v>
      </c>
      <c r="D603" s="4" t="s">
        <v>481</v>
      </c>
      <c r="E603" s="4" t="s">
        <v>15</v>
      </c>
      <c r="F603" s="4" t="s">
        <v>16</v>
      </c>
      <c r="G603" s="4" t="s">
        <v>35</v>
      </c>
      <c r="H603" s="4" t="s">
        <v>80</v>
      </c>
      <c r="I603" s="6">
        <v>4</v>
      </c>
      <c r="J603" s="6">
        <v>11576</v>
      </c>
      <c r="K603" s="6">
        <v>9775.9599999999991</v>
      </c>
      <c r="L603" s="6">
        <v>1800.04</v>
      </c>
    </row>
    <row r="604" spans="1:12" x14ac:dyDescent="0.3">
      <c r="A604" s="4" t="s">
        <v>1162</v>
      </c>
      <c r="B604" s="5">
        <v>45548</v>
      </c>
      <c r="C604" s="4" t="s">
        <v>680</v>
      </c>
      <c r="D604" s="4" t="s">
        <v>1163</v>
      </c>
      <c r="E604" s="4" t="s">
        <v>29</v>
      </c>
      <c r="F604" s="4" t="s">
        <v>102</v>
      </c>
      <c r="G604" s="4" t="s">
        <v>17</v>
      </c>
      <c r="H604" s="4" t="s">
        <v>18</v>
      </c>
      <c r="I604" s="6">
        <v>7</v>
      </c>
      <c r="J604" s="6">
        <v>22638</v>
      </c>
      <c r="K604" s="6">
        <v>17370.580000000002</v>
      </c>
      <c r="L604" s="6">
        <v>5267.42</v>
      </c>
    </row>
    <row r="605" spans="1:12" x14ac:dyDescent="0.3">
      <c r="A605" s="4" t="s">
        <v>1164</v>
      </c>
      <c r="B605" s="5">
        <v>45483</v>
      </c>
      <c r="C605" s="4" t="s">
        <v>616</v>
      </c>
      <c r="D605" s="4" t="s">
        <v>1165</v>
      </c>
      <c r="E605" s="4" t="s">
        <v>22</v>
      </c>
      <c r="F605" s="4" t="s">
        <v>79</v>
      </c>
      <c r="G605" s="4" t="s">
        <v>40</v>
      </c>
      <c r="H605" s="4" t="s">
        <v>99</v>
      </c>
      <c r="I605" s="6">
        <v>9</v>
      </c>
      <c r="J605" s="6">
        <v>38826</v>
      </c>
      <c r="K605" s="6">
        <v>23564.77</v>
      </c>
      <c r="L605" s="6">
        <v>15261.23</v>
      </c>
    </row>
    <row r="606" spans="1:12" x14ac:dyDescent="0.3">
      <c r="A606" s="4" t="s">
        <v>1166</v>
      </c>
      <c r="B606" s="5">
        <v>45835</v>
      </c>
      <c r="C606" s="4" t="s">
        <v>349</v>
      </c>
      <c r="D606" s="4" t="s">
        <v>563</v>
      </c>
      <c r="E606" s="4" t="s">
        <v>54</v>
      </c>
      <c r="F606" s="4" t="s">
        <v>71</v>
      </c>
      <c r="G606" s="4" t="s">
        <v>35</v>
      </c>
      <c r="H606" s="4" t="s">
        <v>80</v>
      </c>
      <c r="I606" s="6">
        <v>5</v>
      </c>
      <c r="J606" s="6">
        <v>24210</v>
      </c>
      <c r="K606" s="6">
        <v>14480.07</v>
      </c>
      <c r="L606" s="6">
        <v>9729.93</v>
      </c>
    </row>
    <row r="607" spans="1:12" x14ac:dyDescent="0.3">
      <c r="A607" s="4" t="s">
        <v>1167</v>
      </c>
      <c r="B607" s="5">
        <v>45945</v>
      </c>
      <c r="C607" s="4" t="s">
        <v>495</v>
      </c>
      <c r="D607" s="4" t="s">
        <v>258</v>
      </c>
      <c r="E607" s="4" t="s">
        <v>54</v>
      </c>
      <c r="F607" s="4" t="s">
        <v>55</v>
      </c>
      <c r="G607" s="4" t="s">
        <v>35</v>
      </c>
      <c r="H607" s="4" t="s">
        <v>45</v>
      </c>
      <c r="I607" s="6">
        <v>6</v>
      </c>
      <c r="J607" s="6">
        <v>24114</v>
      </c>
      <c r="K607" s="6">
        <v>13267.91</v>
      </c>
      <c r="L607" s="6">
        <v>10846.09</v>
      </c>
    </row>
    <row r="608" spans="1:12" x14ac:dyDescent="0.3">
      <c r="A608" s="4" t="s">
        <v>1168</v>
      </c>
      <c r="B608" s="5">
        <v>45356</v>
      </c>
      <c r="C608" s="4" t="s">
        <v>140</v>
      </c>
      <c r="D608" s="4" t="s">
        <v>944</v>
      </c>
      <c r="E608" s="4" t="s">
        <v>29</v>
      </c>
      <c r="F608" s="4" t="s">
        <v>102</v>
      </c>
      <c r="G608" s="4" t="s">
        <v>17</v>
      </c>
      <c r="H608" s="4" t="s">
        <v>72</v>
      </c>
      <c r="I608" s="6">
        <v>6</v>
      </c>
      <c r="J608" s="6">
        <v>13536</v>
      </c>
      <c r="K608" s="6">
        <v>8747.07</v>
      </c>
      <c r="L608" s="6">
        <v>4788.93</v>
      </c>
    </row>
    <row r="609" spans="1:12" x14ac:dyDescent="0.3">
      <c r="A609" s="4" t="s">
        <v>1169</v>
      </c>
      <c r="B609" s="5">
        <v>45581</v>
      </c>
      <c r="C609" s="4" t="s">
        <v>1170</v>
      </c>
      <c r="D609" s="4" t="s">
        <v>484</v>
      </c>
      <c r="E609" s="4" t="s">
        <v>29</v>
      </c>
      <c r="F609" s="4" t="s">
        <v>30</v>
      </c>
      <c r="G609" s="4" t="s">
        <v>17</v>
      </c>
      <c r="H609" s="4" t="s">
        <v>31</v>
      </c>
      <c r="I609" s="6">
        <v>8</v>
      </c>
      <c r="J609" s="6">
        <v>38536</v>
      </c>
      <c r="K609" s="6">
        <v>22976.68</v>
      </c>
      <c r="L609" s="6">
        <v>15559.32</v>
      </c>
    </row>
    <row r="610" spans="1:12" x14ac:dyDescent="0.3">
      <c r="A610" s="4" t="s">
        <v>1171</v>
      </c>
      <c r="B610" s="5">
        <v>45424</v>
      </c>
      <c r="C610" s="4" t="s">
        <v>710</v>
      </c>
      <c r="D610" s="4" t="s">
        <v>1110</v>
      </c>
      <c r="E610" s="4" t="s">
        <v>54</v>
      </c>
      <c r="F610" s="4" t="s">
        <v>142</v>
      </c>
      <c r="G610" s="4" t="s">
        <v>24</v>
      </c>
      <c r="H610" s="4" t="s">
        <v>50</v>
      </c>
      <c r="I610" s="6">
        <v>9</v>
      </c>
      <c r="J610" s="6">
        <v>7614</v>
      </c>
      <c r="K610" s="6">
        <v>4287.7</v>
      </c>
      <c r="L610" s="6">
        <v>3326.3</v>
      </c>
    </row>
    <row r="611" spans="1:12" x14ac:dyDescent="0.3">
      <c r="A611" s="4" t="s">
        <v>1172</v>
      </c>
      <c r="B611" s="5">
        <v>45949</v>
      </c>
      <c r="C611" s="4" t="s">
        <v>483</v>
      </c>
      <c r="D611" s="4" t="s">
        <v>762</v>
      </c>
      <c r="E611" s="4" t="s">
        <v>29</v>
      </c>
      <c r="F611" s="4" t="s">
        <v>102</v>
      </c>
      <c r="G611" s="4" t="s">
        <v>35</v>
      </c>
      <c r="H611" s="4" t="s">
        <v>80</v>
      </c>
      <c r="I611" s="6">
        <v>4</v>
      </c>
      <c r="J611" s="6">
        <v>4432</v>
      </c>
      <c r="K611" s="6">
        <v>2479.9</v>
      </c>
      <c r="L611" s="6">
        <v>1952.1</v>
      </c>
    </row>
    <row r="612" spans="1:12" x14ac:dyDescent="0.3">
      <c r="A612" s="4" t="s">
        <v>1173</v>
      </c>
      <c r="B612" s="5">
        <v>45505</v>
      </c>
      <c r="C612" s="4" t="s">
        <v>737</v>
      </c>
      <c r="D612" s="4" t="s">
        <v>539</v>
      </c>
      <c r="E612" s="4" t="s">
        <v>54</v>
      </c>
      <c r="F612" s="4" t="s">
        <v>142</v>
      </c>
      <c r="G612" s="4" t="s">
        <v>40</v>
      </c>
      <c r="H612" s="4" t="s">
        <v>41</v>
      </c>
      <c r="I612" s="6">
        <v>4</v>
      </c>
      <c r="J612" s="6">
        <v>3520</v>
      </c>
      <c r="K612" s="6">
        <v>1949.82</v>
      </c>
      <c r="L612" s="6">
        <v>1570.18</v>
      </c>
    </row>
    <row r="613" spans="1:12" x14ac:dyDescent="0.3">
      <c r="A613" s="4" t="s">
        <v>1174</v>
      </c>
      <c r="B613" s="5">
        <v>45717</v>
      </c>
      <c r="C613" s="4" t="s">
        <v>269</v>
      </c>
      <c r="D613" s="4" t="s">
        <v>130</v>
      </c>
      <c r="E613" s="4" t="s">
        <v>22</v>
      </c>
      <c r="F613" s="4" t="s">
        <v>79</v>
      </c>
      <c r="G613" s="4" t="s">
        <v>24</v>
      </c>
      <c r="H613" s="4" t="s">
        <v>25</v>
      </c>
      <c r="I613" s="6">
        <v>6</v>
      </c>
      <c r="J613" s="6">
        <v>29226</v>
      </c>
      <c r="K613" s="6">
        <v>22592.959999999999</v>
      </c>
      <c r="L613" s="6">
        <v>6633.04</v>
      </c>
    </row>
    <row r="614" spans="1:12" x14ac:dyDescent="0.3">
      <c r="A614" s="4" t="s">
        <v>1175</v>
      </c>
      <c r="B614" s="5">
        <v>45513</v>
      </c>
      <c r="C614" s="4" t="s">
        <v>1112</v>
      </c>
      <c r="D614" s="4" t="s">
        <v>425</v>
      </c>
      <c r="E614" s="4" t="s">
        <v>54</v>
      </c>
      <c r="F614" s="4" t="s">
        <v>71</v>
      </c>
      <c r="G614" s="4" t="s">
        <v>24</v>
      </c>
      <c r="H614" s="4" t="s">
        <v>25</v>
      </c>
      <c r="I614" s="6">
        <v>2</v>
      </c>
      <c r="J614" s="6">
        <v>5578</v>
      </c>
      <c r="K614" s="6">
        <v>3198.32</v>
      </c>
      <c r="L614" s="6">
        <v>2379.6799999999998</v>
      </c>
    </row>
    <row r="615" spans="1:12" x14ac:dyDescent="0.3">
      <c r="A615" s="4" t="s">
        <v>1176</v>
      </c>
      <c r="B615" s="5">
        <v>45830</v>
      </c>
      <c r="C615" s="4" t="s">
        <v>959</v>
      </c>
      <c r="D615" s="4" t="s">
        <v>989</v>
      </c>
      <c r="E615" s="4" t="s">
        <v>15</v>
      </c>
      <c r="F615" s="4" t="s">
        <v>90</v>
      </c>
      <c r="G615" s="4" t="s">
        <v>40</v>
      </c>
      <c r="H615" s="4" t="s">
        <v>56</v>
      </c>
      <c r="I615" s="6">
        <v>9</v>
      </c>
      <c r="J615" s="6">
        <v>31104</v>
      </c>
      <c r="K615" s="6">
        <v>18875.09</v>
      </c>
      <c r="L615" s="6">
        <v>12228.91</v>
      </c>
    </row>
    <row r="616" spans="1:12" x14ac:dyDescent="0.3">
      <c r="A616" s="4" t="s">
        <v>1177</v>
      </c>
      <c r="B616" s="5">
        <v>45945</v>
      </c>
      <c r="C616" s="4" t="s">
        <v>107</v>
      </c>
      <c r="D616" s="4" t="s">
        <v>359</v>
      </c>
      <c r="E616" s="4" t="s">
        <v>29</v>
      </c>
      <c r="F616" s="4" t="s">
        <v>30</v>
      </c>
      <c r="G616" s="4" t="s">
        <v>17</v>
      </c>
      <c r="H616" s="4" t="s">
        <v>18</v>
      </c>
      <c r="I616" s="6">
        <v>9</v>
      </c>
      <c r="J616" s="6">
        <v>33309</v>
      </c>
      <c r="K616" s="6">
        <v>25775.59</v>
      </c>
      <c r="L616" s="6">
        <v>7533.41</v>
      </c>
    </row>
    <row r="617" spans="1:12" x14ac:dyDescent="0.3">
      <c r="A617" s="4" t="s">
        <v>1178</v>
      </c>
      <c r="B617" s="5">
        <v>45476</v>
      </c>
      <c r="C617" s="4" t="s">
        <v>318</v>
      </c>
      <c r="D617" s="4" t="s">
        <v>839</v>
      </c>
      <c r="E617" s="4" t="s">
        <v>22</v>
      </c>
      <c r="F617" s="4" t="s">
        <v>79</v>
      </c>
      <c r="G617" s="4" t="s">
        <v>17</v>
      </c>
      <c r="H617" s="4" t="s">
        <v>31</v>
      </c>
      <c r="I617" s="6">
        <v>7</v>
      </c>
      <c r="J617" s="6">
        <v>8064</v>
      </c>
      <c r="K617" s="6">
        <v>4838.75</v>
      </c>
      <c r="L617" s="6">
        <v>3225.25</v>
      </c>
    </row>
    <row r="618" spans="1:12" x14ac:dyDescent="0.3">
      <c r="A618" s="4" t="s">
        <v>1179</v>
      </c>
      <c r="B618" s="5">
        <v>45614</v>
      </c>
      <c r="C618" s="4" t="s">
        <v>318</v>
      </c>
      <c r="D618" s="4" t="s">
        <v>1180</v>
      </c>
      <c r="E618" s="4" t="s">
        <v>54</v>
      </c>
      <c r="F618" s="4" t="s">
        <v>71</v>
      </c>
      <c r="G618" s="4" t="s">
        <v>24</v>
      </c>
      <c r="H618" s="4" t="s">
        <v>166</v>
      </c>
      <c r="I618" s="6">
        <v>9</v>
      </c>
      <c r="J618" s="6">
        <v>35361</v>
      </c>
      <c r="K618" s="6">
        <v>29351.61</v>
      </c>
      <c r="L618" s="6">
        <v>6009.39</v>
      </c>
    </row>
    <row r="619" spans="1:12" x14ac:dyDescent="0.3">
      <c r="A619" s="4" t="s">
        <v>1181</v>
      </c>
      <c r="B619" s="5">
        <v>45868</v>
      </c>
      <c r="C619" s="4" t="s">
        <v>13</v>
      </c>
      <c r="D619" s="4" t="s">
        <v>141</v>
      </c>
      <c r="E619" s="4" t="s">
        <v>54</v>
      </c>
      <c r="F619" s="4" t="s">
        <v>55</v>
      </c>
      <c r="G619" s="4" t="s">
        <v>17</v>
      </c>
      <c r="H619" s="4" t="s">
        <v>31</v>
      </c>
      <c r="I619" s="6">
        <v>7</v>
      </c>
      <c r="J619" s="6">
        <v>20643</v>
      </c>
      <c r="K619" s="6">
        <v>15121.49</v>
      </c>
      <c r="L619" s="6">
        <v>5521.51</v>
      </c>
    </row>
    <row r="620" spans="1:12" x14ac:dyDescent="0.3">
      <c r="A620" s="4" t="s">
        <v>1182</v>
      </c>
      <c r="B620" s="5">
        <v>45750</v>
      </c>
      <c r="C620" s="4" t="s">
        <v>242</v>
      </c>
      <c r="D620" s="4" t="s">
        <v>322</v>
      </c>
      <c r="E620" s="4" t="s">
        <v>22</v>
      </c>
      <c r="F620" s="4" t="s">
        <v>79</v>
      </c>
      <c r="G620" s="4" t="s">
        <v>17</v>
      </c>
      <c r="H620" s="4" t="s">
        <v>18</v>
      </c>
      <c r="I620" s="6">
        <v>5</v>
      </c>
      <c r="J620" s="6">
        <v>16245</v>
      </c>
      <c r="K620" s="6">
        <v>13621.36</v>
      </c>
      <c r="L620" s="6">
        <v>2623.64</v>
      </c>
    </row>
    <row r="621" spans="1:12" x14ac:dyDescent="0.3">
      <c r="A621" s="4" t="s">
        <v>1183</v>
      </c>
      <c r="B621" s="5">
        <v>45601</v>
      </c>
      <c r="C621" s="4" t="s">
        <v>435</v>
      </c>
      <c r="D621" s="4" t="s">
        <v>1121</v>
      </c>
      <c r="E621" s="4" t="s">
        <v>15</v>
      </c>
      <c r="F621" s="4" t="s">
        <v>63</v>
      </c>
      <c r="G621" s="4" t="s">
        <v>17</v>
      </c>
      <c r="H621" s="4" t="s">
        <v>72</v>
      </c>
      <c r="I621" s="6">
        <v>1</v>
      </c>
      <c r="J621" s="6">
        <v>4540</v>
      </c>
      <c r="K621" s="6">
        <v>2680.99</v>
      </c>
      <c r="L621" s="6">
        <v>1859.01</v>
      </c>
    </row>
    <row r="622" spans="1:12" x14ac:dyDescent="0.3">
      <c r="A622" s="4" t="s">
        <v>1184</v>
      </c>
      <c r="B622" s="5">
        <v>45815</v>
      </c>
      <c r="C622" s="4" t="s">
        <v>123</v>
      </c>
      <c r="D622" s="4" t="s">
        <v>931</v>
      </c>
      <c r="E622" s="4" t="s">
        <v>29</v>
      </c>
      <c r="F622" s="4" t="s">
        <v>102</v>
      </c>
      <c r="G622" s="4" t="s">
        <v>40</v>
      </c>
      <c r="H622" s="4" t="s">
        <v>41</v>
      </c>
      <c r="I622" s="6">
        <v>1</v>
      </c>
      <c r="J622" s="6">
        <v>2560</v>
      </c>
      <c r="K622" s="6">
        <v>2113.88</v>
      </c>
      <c r="L622" s="6">
        <v>446.12</v>
      </c>
    </row>
    <row r="623" spans="1:12" x14ac:dyDescent="0.3">
      <c r="A623" s="4" t="s">
        <v>1185</v>
      </c>
      <c r="B623" s="5">
        <v>45563</v>
      </c>
      <c r="C623" s="4" t="s">
        <v>591</v>
      </c>
      <c r="D623" s="4" t="s">
        <v>1186</v>
      </c>
      <c r="E623" s="4" t="s">
        <v>29</v>
      </c>
      <c r="F623" s="4" t="s">
        <v>102</v>
      </c>
      <c r="G623" s="4" t="s">
        <v>24</v>
      </c>
      <c r="H623" s="4" t="s">
        <v>25</v>
      </c>
      <c r="I623" s="6">
        <v>8</v>
      </c>
      <c r="J623" s="6">
        <v>25704</v>
      </c>
      <c r="K623" s="6">
        <v>15340.97</v>
      </c>
      <c r="L623" s="6">
        <v>10363.030000000001</v>
      </c>
    </row>
    <row r="624" spans="1:12" x14ac:dyDescent="0.3">
      <c r="A624" s="4" t="s">
        <v>1187</v>
      </c>
      <c r="B624" s="5">
        <v>45874</v>
      </c>
      <c r="C624" s="4" t="s">
        <v>695</v>
      </c>
      <c r="D624" s="4" t="s">
        <v>650</v>
      </c>
      <c r="E624" s="4" t="s">
        <v>29</v>
      </c>
      <c r="F624" s="4" t="s">
        <v>102</v>
      </c>
      <c r="G624" s="4" t="s">
        <v>40</v>
      </c>
      <c r="H624" s="4" t="s">
        <v>99</v>
      </c>
      <c r="I624" s="6">
        <v>5</v>
      </c>
      <c r="J624" s="6">
        <v>5260</v>
      </c>
      <c r="K624" s="6">
        <v>3793.23</v>
      </c>
      <c r="L624" s="6">
        <v>1466.77</v>
      </c>
    </row>
    <row r="625" spans="1:12" x14ac:dyDescent="0.3">
      <c r="A625" s="4" t="s">
        <v>1188</v>
      </c>
      <c r="B625" s="5">
        <v>45599</v>
      </c>
      <c r="C625" s="4" t="s">
        <v>628</v>
      </c>
      <c r="D625" s="4" t="s">
        <v>311</v>
      </c>
      <c r="E625" s="4" t="s">
        <v>54</v>
      </c>
      <c r="F625" s="4" t="s">
        <v>55</v>
      </c>
      <c r="G625" s="4" t="s">
        <v>24</v>
      </c>
      <c r="H625" s="4" t="s">
        <v>166</v>
      </c>
      <c r="I625" s="6">
        <v>8</v>
      </c>
      <c r="J625" s="6">
        <v>8648</v>
      </c>
      <c r="K625" s="6">
        <v>6300.67</v>
      </c>
      <c r="L625" s="6">
        <v>2347.33</v>
      </c>
    </row>
    <row r="626" spans="1:12" x14ac:dyDescent="0.3">
      <c r="A626" s="4" t="s">
        <v>1189</v>
      </c>
      <c r="B626" s="5">
        <v>45736</v>
      </c>
      <c r="C626" s="4" t="s">
        <v>455</v>
      </c>
      <c r="D626" s="4" t="s">
        <v>98</v>
      </c>
      <c r="E626" s="4" t="s">
        <v>22</v>
      </c>
      <c r="F626" s="4" t="s">
        <v>23</v>
      </c>
      <c r="G626" s="4" t="s">
        <v>24</v>
      </c>
      <c r="H626" s="4" t="s">
        <v>25</v>
      </c>
      <c r="I626" s="6">
        <v>6</v>
      </c>
      <c r="J626" s="6">
        <v>18900</v>
      </c>
      <c r="K626" s="6">
        <v>15383.42</v>
      </c>
      <c r="L626" s="6">
        <v>3516.58</v>
      </c>
    </row>
    <row r="627" spans="1:12" x14ac:dyDescent="0.3">
      <c r="A627" s="4" t="s">
        <v>1190</v>
      </c>
      <c r="B627" s="5">
        <v>45939</v>
      </c>
      <c r="C627" s="4" t="s">
        <v>344</v>
      </c>
      <c r="D627" s="4" t="s">
        <v>813</v>
      </c>
      <c r="E627" s="4" t="s">
        <v>29</v>
      </c>
      <c r="F627" s="4" t="s">
        <v>30</v>
      </c>
      <c r="G627" s="4" t="s">
        <v>17</v>
      </c>
      <c r="H627" s="4" t="s">
        <v>31</v>
      </c>
      <c r="I627" s="6">
        <v>10</v>
      </c>
      <c r="J627" s="6">
        <v>3930</v>
      </c>
      <c r="K627" s="6">
        <v>2908.85</v>
      </c>
      <c r="L627" s="6">
        <v>1021.15</v>
      </c>
    </row>
    <row r="628" spans="1:12" x14ac:dyDescent="0.3">
      <c r="A628" s="4" t="s">
        <v>1191</v>
      </c>
      <c r="B628" s="5">
        <v>45626</v>
      </c>
      <c r="C628" s="4" t="s">
        <v>642</v>
      </c>
      <c r="D628" s="4" t="s">
        <v>749</v>
      </c>
      <c r="E628" s="4" t="s">
        <v>54</v>
      </c>
      <c r="F628" s="4" t="s">
        <v>71</v>
      </c>
      <c r="G628" s="4" t="s">
        <v>24</v>
      </c>
      <c r="H628" s="4" t="s">
        <v>25</v>
      </c>
      <c r="I628" s="6">
        <v>6</v>
      </c>
      <c r="J628" s="6">
        <v>28338</v>
      </c>
      <c r="K628" s="6">
        <v>20388.45</v>
      </c>
      <c r="L628" s="6">
        <v>7949.55</v>
      </c>
    </row>
    <row r="629" spans="1:12" x14ac:dyDescent="0.3">
      <c r="A629" s="4" t="s">
        <v>1192</v>
      </c>
      <c r="B629" s="5">
        <v>45881</v>
      </c>
      <c r="C629" s="4" t="s">
        <v>1193</v>
      </c>
      <c r="D629" s="4" t="s">
        <v>439</v>
      </c>
      <c r="E629" s="4" t="s">
        <v>29</v>
      </c>
      <c r="F629" s="4" t="s">
        <v>102</v>
      </c>
      <c r="G629" s="4" t="s">
        <v>17</v>
      </c>
      <c r="H629" s="4" t="s">
        <v>31</v>
      </c>
      <c r="I629" s="6">
        <v>7</v>
      </c>
      <c r="J629" s="6">
        <v>27650</v>
      </c>
      <c r="K629" s="6">
        <v>21452.31</v>
      </c>
      <c r="L629" s="6">
        <v>6197.69</v>
      </c>
    </row>
    <row r="630" spans="1:12" x14ac:dyDescent="0.3">
      <c r="A630" s="4" t="s">
        <v>1194</v>
      </c>
      <c r="B630" s="5">
        <v>45376</v>
      </c>
      <c r="C630" s="4" t="s">
        <v>1102</v>
      </c>
      <c r="D630" s="4" t="s">
        <v>931</v>
      </c>
      <c r="E630" s="4" t="s">
        <v>29</v>
      </c>
      <c r="F630" s="4" t="s">
        <v>49</v>
      </c>
      <c r="G630" s="4" t="s">
        <v>40</v>
      </c>
      <c r="H630" s="4" t="s">
        <v>99</v>
      </c>
      <c r="I630" s="6">
        <v>7</v>
      </c>
      <c r="J630" s="6">
        <v>10584</v>
      </c>
      <c r="K630" s="6">
        <v>6240.93</v>
      </c>
      <c r="L630" s="6">
        <v>4343.07</v>
      </c>
    </row>
    <row r="631" spans="1:12" x14ac:dyDescent="0.3">
      <c r="A631" s="4" t="s">
        <v>1195</v>
      </c>
      <c r="B631" s="5">
        <v>45736</v>
      </c>
      <c r="C631" s="4" t="s">
        <v>451</v>
      </c>
      <c r="D631" s="4" t="s">
        <v>659</v>
      </c>
      <c r="E631" s="4" t="s">
        <v>15</v>
      </c>
      <c r="F631" s="4" t="s">
        <v>90</v>
      </c>
      <c r="G631" s="4" t="s">
        <v>35</v>
      </c>
      <c r="H631" s="4" t="s">
        <v>36</v>
      </c>
      <c r="I631" s="6">
        <v>5</v>
      </c>
      <c r="J631" s="6">
        <v>4980</v>
      </c>
      <c r="K631" s="6">
        <v>3334.4</v>
      </c>
      <c r="L631" s="6">
        <v>1645.6</v>
      </c>
    </row>
    <row r="632" spans="1:12" x14ac:dyDescent="0.3">
      <c r="A632" s="4" t="s">
        <v>1196</v>
      </c>
      <c r="B632" s="5">
        <v>45492</v>
      </c>
      <c r="C632" s="4" t="s">
        <v>65</v>
      </c>
      <c r="D632" s="4" t="s">
        <v>631</v>
      </c>
      <c r="E632" s="4" t="s">
        <v>22</v>
      </c>
      <c r="F632" s="4" t="s">
        <v>79</v>
      </c>
      <c r="G632" s="4" t="s">
        <v>40</v>
      </c>
      <c r="H632" s="4" t="s">
        <v>56</v>
      </c>
      <c r="I632" s="6">
        <v>8</v>
      </c>
      <c r="J632" s="6">
        <v>28304</v>
      </c>
      <c r="K632" s="6">
        <v>21105.57</v>
      </c>
      <c r="L632" s="6">
        <v>7198.43</v>
      </c>
    </row>
    <row r="633" spans="1:12" x14ac:dyDescent="0.3">
      <c r="A633" s="4" t="s">
        <v>1197</v>
      </c>
      <c r="B633" s="5">
        <v>45881</v>
      </c>
      <c r="C633" s="4" t="s">
        <v>890</v>
      </c>
      <c r="D633" s="4" t="s">
        <v>987</v>
      </c>
      <c r="E633" s="4" t="s">
        <v>29</v>
      </c>
      <c r="F633" s="4" t="s">
        <v>102</v>
      </c>
      <c r="G633" s="4" t="s">
        <v>24</v>
      </c>
      <c r="H633" s="4" t="s">
        <v>50</v>
      </c>
      <c r="I633" s="6">
        <v>5</v>
      </c>
      <c r="J633" s="6">
        <v>19115</v>
      </c>
      <c r="K633" s="6">
        <v>12367.85</v>
      </c>
      <c r="L633" s="6">
        <v>6747.15</v>
      </c>
    </row>
    <row r="634" spans="1:12" x14ac:dyDescent="0.3">
      <c r="A634" s="4" t="s">
        <v>1198</v>
      </c>
      <c r="B634" s="5">
        <v>45900</v>
      </c>
      <c r="C634" s="4" t="s">
        <v>1199</v>
      </c>
      <c r="D634" s="4" t="s">
        <v>272</v>
      </c>
      <c r="E634" s="4" t="s">
        <v>22</v>
      </c>
      <c r="F634" s="4" t="s">
        <v>67</v>
      </c>
      <c r="G634" s="4" t="s">
        <v>40</v>
      </c>
      <c r="H634" s="4" t="s">
        <v>41</v>
      </c>
      <c r="I634" s="6">
        <v>6</v>
      </c>
      <c r="J634" s="6">
        <v>11160</v>
      </c>
      <c r="K634" s="6">
        <v>7211.83</v>
      </c>
      <c r="L634" s="6">
        <v>3948.17</v>
      </c>
    </row>
    <row r="635" spans="1:12" x14ac:dyDescent="0.3">
      <c r="A635" s="4" t="s">
        <v>1200</v>
      </c>
      <c r="B635" s="5">
        <v>45531</v>
      </c>
      <c r="C635" s="4" t="s">
        <v>503</v>
      </c>
      <c r="D635" s="4" t="s">
        <v>423</v>
      </c>
      <c r="E635" s="4" t="s">
        <v>29</v>
      </c>
      <c r="F635" s="4" t="s">
        <v>49</v>
      </c>
      <c r="G635" s="4" t="s">
        <v>17</v>
      </c>
      <c r="H635" s="4" t="s">
        <v>72</v>
      </c>
      <c r="I635" s="6">
        <v>8</v>
      </c>
      <c r="J635" s="6">
        <v>11952</v>
      </c>
      <c r="K635" s="6">
        <v>8152.93</v>
      </c>
      <c r="L635" s="6">
        <v>3799.07</v>
      </c>
    </row>
    <row r="636" spans="1:12" x14ac:dyDescent="0.3">
      <c r="A636" s="4" t="s">
        <v>1201</v>
      </c>
      <c r="B636" s="5">
        <v>45927</v>
      </c>
      <c r="C636" s="4" t="s">
        <v>1202</v>
      </c>
      <c r="D636" s="4" t="s">
        <v>354</v>
      </c>
      <c r="E636" s="4" t="s">
        <v>29</v>
      </c>
      <c r="F636" s="4" t="s">
        <v>30</v>
      </c>
      <c r="G636" s="4" t="s">
        <v>24</v>
      </c>
      <c r="H636" s="4" t="s">
        <v>50</v>
      </c>
      <c r="I636" s="6">
        <v>2</v>
      </c>
      <c r="J636" s="6">
        <v>1492</v>
      </c>
      <c r="K636" s="6">
        <v>929.39</v>
      </c>
      <c r="L636" s="6">
        <v>562.61</v>
      </c>
    </row>
    <row r="637" spans="1:12" x14ac:dyDescent="0.3">
      <c r="A637" s="4" t="s">
        <v>1203</v>
      </c>
      <c r="B637" s="5">
        <v>45315</v>
      </c>
      <c r="C637" s="4" t="s">
        <v>104</v>
      </c>
      <c r="D637" s="4" t="s">
        <v>781</v>
      </c>
      <c r="E637" s="4" t="s">
        <v>15</v>
      </c>
      <c r="F637" s="4" t="s">
        <v>63</v>
      </c>
      <c r="G637" s="4" t="s">
        <v>17</v>
      </c>
      <c r="H637" s="4" t="s">
        <v>18</v>
      </c>
      <c r="I637" s="6">
        <v>2</v>
      </c>
      <c r="J637" s="6">
        <v>5598</v>
      </c>
      <c r="K637" s="6">
        <v>3834.73</v>
      </c>
      <c r="L637" s="6">
        <v>1763.27</v>
      </c>
    </row>
    <row r="638" spans="1:12" x14ac:dyDescent="0.3">
      <c r="A638" s="4" t="s">
        <v>1204</v>
      </c>
      <c r="B638" s="5">
        <v>45929</v>
      </c>
      <c r="C638" s="4" t="s">
        <v>487</v>
      </c>
      <c r="D638" s="4" t="s">
        <v>453</v>
      </c>
      <c r="E638" s="4" t="s">
        <v>29</v>
      </c>
      <c r="F638" s="4" t="s">
        <v>102</v>
      </c>
      <c r="G638" s="4" t="s">
        <v>35</v>
      </c>
      <c r="H638" s="4" t="s">
        <v>45</v>
      </c>
      <c r="I638" s="6">
        <v>9</v>
      </c>
      <c r="J638" s="6">
        <v>21762</v>
      </c>
      <c r="K638" s="6">
        <v>15552</v>
      </c>
      <c r="L638" s="6">
        <v>6210</v>
      </c>
    </row>
    <row r="639" spans="1:12" x14ac:dyDescent="0.3">
      <c r="A639" s="4" t="s">
        <v>1205</v>
      </c>
      <c r="B639" s="5">
        <v>45353</v>
      </c>
      <c r="C639" s="4" t="s">
        <v>810</v>
      </c>
      <c r="D639" s="4" t="s">
        <v>169</v>
      </c>
      <c r="E639" s="4" t="s">
        <v>22</v>
      </c>
      <c r="F639" s="4" t="s">
        <v>79</v>
      </c>
      <c r="G639" s="4" t="s">
        <v>17</v>
      </c>
      <c r="H639" s="4" t="s">
        <v>31</v>
      </c>
      <c r="I639" s="6">
        <v>9</v>
      </c>
      <c r="J639" s="6">
        <v>5904</v>
      </c>
      <c r="K639" s="6">
        <v>3699.66</v>
      </c>
      <c r="L639" s="6">
        <v>2204.34</v>
      </c>
    </row>
    <row r="640" spans="1:12" x14ac:dyDescent="0.3">
      <c r="A640" s="4" t="s">
        <v>1206</v>
      </c>
      <c r="B640" s="5">
        <v>45569</v>
      </c>
      <c r="C640" s="4" t="s">
        <v>558</v>
      </c>
      <c r="D640" s="4" t="s">
        <v>852</v>
      </c>
      <c r="E640" s="4" t="s">
        <v>54</v>
      </c>
      <c r="F640" s="4" t="s">
        <v>142</v>
      </c>
      <c r="G640" s="4" t="s">
        <v>35</v>
      </c>
      <c r="H640" s="4" t="s">
        <v>80</v>
      </c>
      <c r="I640" s="6">
        <v>1</v>
      </c>
      <c r="J640" s="6">
        <v>845</v>
      </c>
      <c r="K640" s="6">
        <v>563.27</v>
      </c>
      <c r="L640" s="6">
        <v>281.73</v>
      </c>
    </row>
    <row r="641" spans="1:12" x14ac:dyDescent="0.3">
      <c r="A641" s="4" t="s">
        <v>1207</v>
      </c>
      <c r="B641" s="5">
        <v>45812</v>
      </c>
      <c r="C641" s="4" t="s">
        <v>292</v>
      </c>
      <c r="D641" s="4" t="s">
        <v>711</v>
      </c>
      <c r="E641" s="4" t="s">
        <v>15</v>
      </c>
      <c r="F641" s="4" t="s">
        <v>63</v>
      </c>
      <c r="G641" s="4" t="s">
        <v>17</v>
      </c>
      <c r="H641" s="4" t="s">
        <v>31</v>
      </c>
      <c r="I641" s="6">
        <v>7</v>
      </c>
      <c r="J641" s="6">
        <v>15351</v>
      </c>
      <c r="K641" s="6">
        <v>12955.29</v>
      </c>
      <c r="L641" s="6">
        <v>2395.71</v>
      </c>
    </row>
    <row r="642" spans="1:12" x14ac:dyDescent="0.3">
      <c r="A642" s="4" t="s">
        <v>1208</v>
      </c>
      <c r="B642" s="5">
        <v>45760</v>
      </c>
      <c r="C642" s="4" t="s">
        <v>65</v>
      </c>
      <c r="D642" s="4" t="s">
        <v>663</v>
      </c>
      <c r="E642" s="4" t="s">
        <v>22</v>
      </c>
      <c r="F642" s="4" t="s">
        <v>79</v>
      </c>
      <c r="G642" s="4" t="s">
        <v>35</v>
      </c>
      <c r="H642" s="4" t="s">
        <v>45</v>
      </c>
      <c r="I642" s="6">
        <v>2</v>
      </c>
      <c r="J642" s="6">
        <v>3654</v>
      </c>
      <c r="K642" s="6">
        <v>2227.71</v>
      </c>
      <c r="L642" s="6">
        <v>1426.29</v>
      </c>
    </row>
    <row r="643" spans="1:12" x14ac:dyDescent="0.3">
      <c r="A643" s="4" t="s">
        <v>1209</v>
      </c>
      <c r="B643" s="5">
        <v>45452</v>
      </c>
      <c r="C643" s="4" t="s">
        <v>964</v>
      </c>
      <c r="D643" s="4" t="s">
        <v>554</v>
      </c>
      <c r="E643" s="4" t="s">
        <v>15</v>
      </c>
      <c r="F643" s="4" t="s">
        <v>16</v>
      </c>
      <c r="G643" s="4" t="s">
        <v>35</v>
      </c>
      <c r="H643" s="4" t="s">
        <v>45</v>
      </c>
      <c r="I643" s="6">
        <v>5</v>
      </c>
      <c r="J643" s="6">
        <v>15160</v>
      </c>
      <c r="K643" s="6">
        <v>10566.21</v>
      </c>
      <c r="L643" s="6">
        <v>4593.79</v>
      </c>
    </row>
    <row r="644" spans="1:12" x14ac:dyDescent="0.3">
      <c r="A644" s="4" t="s">
        <v>1210</v>
      </c>
      <c r="B644" s="5">
        <v>45805</v>
      </c>
      <c r="C644" s="4" t="s">
        <v>1211</v>
      </c>
      <c r="D644" s="4" t="s">
        <v>478</v>
      </c>
      <c r="E644" s="4" t="s">
        <v>54</v>
      </c>
      <c r="F644" s="4" t="s">
        <v>55</v>
      </c>
      <c r="G644" s="4" t="s">
        <v>17</v>
      </c>
      <c r="H644" s="4" t="s">
        <v>31</v>
      </c>
      <c r="I644" s="6">
        <v>5</v>
      </c>
      <c r="J644" s="6">
        <v>11170</v>
      </c>
      <c r="K644" s="6">
        <v>9481.08</v>
      </c>
      <c r="L644" s="6">
        <v>1688.92</v>
      </c>
    </row>
    <row r="645" spans="1:12" x14ac:dyDescent="0.3">
      <c r="A645" s="4" t="s">
        <v>1212</v>
      </c>
      <c r="B645" s="5">
        <v>45641</v>
      </c>
      <c r="C645" s="4" t="s">
        <v>594</v>
      </c>
      <c r="D645" s="4" t="s">
        <v>377</v>
      </c>
      <c r="E645" s="4" t="s">
        <v>54</v>
      </c>
      <c r="F645" s="4" t="s">
        <v>55</v>
      </c>
      <c r="G645" s="4" t="s">
        <v>24</v>
      </c>
      <c r="H645" s="4" t="s">
        <v>25</v>
      </c>
      <c r="I645" s="6">
        <v>9</v>
      </c>
      <c r="J645" s="6">
        <v>23355</v>
      </c>
      <c r="K645" s="6">
        <v>14425.8</v>
      </c>
      <c r="L645" s="6">
        <v>8929.2000000000007</v>
      </c>
    </row>
    <row r="646" spans="1:12" x14ac:dyDescent="0.3">
      <c r="A646" s="4" t="s">
        <v>1213</v>
      </c>
      <c r="B646" s="5">
        <v>45878</v>
      </c>
      <c r="C646" s="4" t="s">
        <v>251</v>
      </c>
      <c r="D646" s="4" t="s">
        <v>982</v>
      </c>
      <c r="E646" s="4" t="s">
        <v>15</v>
      </c>
      <c r="F646" s="4" t="s">
        <v>90</v>
      </c>
      <c r="G646" s="4" t="s">
        <v>35</v>
      </c>
      <c r="H646" s="4" t="s">
        <v>36</v>
      </c>
      <c r="I646" s="6">
        <v>9</v>
      </c>
      <c r="J646" s="6">
        <v>19467</v>
      </c>
      <c r="K646" s="6">
        <v>13144.12</v>
      </c>
      <c r="L646" s="6">
        <v>6322.88</v>
      </c>
    </row>
    <row r="647" spans="1:12" x14ac:dyDescent="0.3">
      <c r="A647" s="4" t="s">
        <v>1214</v>
      </c>
      <c r="B647" s="5">
        <v>45960</v>
      </c>
      <c r="C647" s="4" t="s">
        <v>449</v>
      </c>
      <c r="D647" s="4" t="s">
        <v>571</v>
      </c>
      <c r="E647" s="4" t="s">
        <v>54</v>
      </c>
      <c r="F647" s="4" t="s">
        <v>71</v>
      </c>
      <c r="G647" s="4" t="s">
        <v>40</v>
      </c>
      <c r="H647" s="4" t="s">
        <v>41</v>
      </c>
      <c r="I647" s="6">
        <v>8</v>
      </c>
      <c r="J647" s="6">
        <v>37928</v>
      </c>
      <c r="K647" s="6">
        <v>22359.759999999998</v>
      </c>
      <c r="L647" s="6">
        <v>15568.24</v>
      </c>
    </row>
    <row r="648" spans="1:12" x14ac:dyDescent="0.3">
      <c r="A648" s="4" t="s">
        <v>1215</v>
      </c>
      <c r="B648" s="5">
        <v>45440</v>
      </c>
      <c r="C648" s="4" t="s">
        <v>134</v>
      </c>
      <c r="D648" s="4" t="s">
        <v>296</v>
      </c>
      <c r="E648" s="4" t="s">
        <v>29</v>
      </c>
      <c r="F648" s="4" t="s">
        <v>102</v>
      </c>
      <c r="G648" s="4" t="s">
        <v>40</v>
      </c>
      <c r="H648" s="4" t="s">
        <v>99</v>
      </c>
      <c r="I648" s="6">
        <v>9</v>
      </c>
      <c r="J648" s="6">
        <v>12663</v>
      </c>
      <c r="K648" s="6">
        <v>8598.42</v>
      </c>
      <c r="L648" s="6">
        <v>4064.58</v>
      </c>
    </row>
    <row r="649" spans="1:12" x14ac:dyDescent="0.3">
      <c r="A649" s="4" t="s">
        <v>1216</v>
      </c>
      <c r="B649" s="5">
        <v>45441</v>
      </c>
      <c r="C649" s="4" t="s">
        <v>438</v>
      </c>
      <c r="D649" s="4" t="s">
        <v>942</v>
      </c>
      <c r="E649" s="4" t="s">
        <v>54</v>
      </c>
      <c r="F649" s="4" t="s">
        <v>142</v>
      </c>
      <c r="G649" s="4" t="s">
        <v>35</v>
      </c>
      <c r="H649" s="4" t="s">
        <v>45</v>
      </c>
      <c r="I649" s="6">
        <v>9</v>
      </c>
      <c r="J649" s="6">
        <v>11421</v>
      </c>
      <c r="K649" s="6">
        <v>6912.45</v>
      </c>
      <c r="L649" s="6">
        <v>4508.55</v>
      </c>
    </row>
    <row r="650" spans="1:12" x14ac:dyDescent="0.3">
      <c r="A650" s="4" t="s">
        <v>1217</v>
      </c>
      <c r="B650" s="5">
        <v>45484</v>
      </c>
      <c r="C650" s="4" t="s">
        <v>745</v>
      </c>
      <c r="D650" s="4" t="s">
        <v>1218</v>
      </c>
      <c r="E650" s="4" t="s">
        <v>22</v>
      </c>
      <c r="F650" s="4" t="s">
        <v>67</v>
      </c>
      <c r="G650" s="4" t="s">
        <v>40</v>
      </c>
      <c r="H650" s="4" t="s">
        <v>99</v>
      </c>
      <c r="I650" s="6">
        <v>8</v>
      </c>
      <c r="J650" s="6">
        <v>20336</v>
      </c>
      <c r="K650" s="6">
        <v>12111.86</v>
      </c>
      <c r="L650" s="6">
        <v>8224.14</v>
      </c>
    </row>
    <row r="651" spans="1:12" x14ac:dyDescent="0.3">
      <c r="A651" s="4" t="s">
        <v>1219</v>
      </c>
      <c r="B651" s="5">
        <v>45919</v>
      </c>
      <c r="C651" s="4" t="s">
        <v>1220</v>
      </c>
      <c r="D651" s="4" t="s">
        <v>365</v>
      </c>
      <c r="E651" s="4" t="s">
        <v>29</v>
      </c>
      <c r="F651" s="4" t="s">
        <v>102</v>
      </c>
      <c r="G651" s="4" t="s">
        <v>17</v>
      </c>
      <c r="H651" s="4" t="s">
        <v>72</v>
      </c>
      <c r="I651" s="6">
        <v>10</v>
      </c>
      <c r="J651" s="6">
        <v>24860</v>
      </c>
      <c r="K651" s="6">
        <v>18189.599999999999</v>
      </c>
      <c r="L651" s="6">
        <v>6670.4</v>
      </c>
    </row>
    <row r="652" spans="1:12" x14ac:dyDescent="0.3">
      <c r="A652" s="4" t="s">
        <v>1221</v>
      </c>
      <c r="B652" s="5">
        <v>45780</v>
      </c>
      <c r="C652" s="4" t="s">
        <v>1069</v>
      </c>
      <c r="D652" s="4" t="s">
        <v>671</v>
      </c>
      <c r="E652" s="4" t="s">
        <v>29</v>
      </c>
      <c r="F652" s="4" t="s">
        <v>30</v>
      </c>
      <c r="G652" s="4" t="s">
        <v>24</v>
      </c>
      <c r="H652" s="4" t="s">
        <v>25</v>
      </c>
      <c r="I652" s="6">
        <v>6</v>
      </c>
      <c r="J652" s="6">
        <v>5706</v>
      </c>
      <c r="K652" s="6">
        <v>4316.26</v>
      </c>
      <c r="L652" s="6">
        <v>1389.74</v>
      </c>
    </row>
    <row r="653" spans="1:12" x14ac:dyDescent="0.3">
      <c r="A653" s="4" t="s">
        <v>1222</v>
      </c>
      <c r="B653" s="5">
        <v>45795</v>
      </c>
      <c r="C653" s="4" t="s">
        <v>1001</v>
      </c>
      <c r="D653" s="4" t="s">
        <v>377</v>
      </c>
      <c r="E653" s="4" t="s">
        <v>22</v>
      </c>
      <c r="F653" s="4" t="s">
        <v>79</v>
      </c>
      <c r="G653" s="4" t="s">
        <v>17</v>
      </c>
      <c r="H653" s="4" t="s">
        <v>31</v>
      </c>
      <c r="I653" s="6">
        <v>6</v>
      </c>
      <c r="J653" s="6">
        <v>10842</v>
      </c>
      <c r="K653" s="6">
        <v>8734.74</v>
      </c>
      <c r="L653" s="6">
        <v>2107.2600000000002</v>
      </c>
    </row>
    <row r="654" spans="1:12" x14ac:dyDescent="0.3">
      <c r="A654" s="4" t="s">
        <v>1223</v>
      </c>
      <c r="B654" s="5">
        <v>45307</v>
      </c>
      <c r="C654" s="4" t="s">
        <v>271</v>
      </c>
      <c r="D654" s="4" t="s">
        <v>728</v>
      </c>
      <c r="E654" s="4" t="s">
        <v>29</v>
      </c>
      <c r="F654" s="4" t="s">
        <v>102</v>
      </c>
      <c r="G654" s="4" t="s">
        <v>40</v>
      </c>
      <c r="H654" s="4" t="s">
        <v>56</v>
      </c>
      <c r="I654" s="6">
        <v>1</v>
      </c>
      <c r="J654" s="6">
        <v>3647</v>
      </c>
      <c r="K654" s="6">
        <v>2842.33</v>
      </c>
      <c r="L654" s="6">
        <v>804.67</v>
      </c>
    </row>
    <row r="655" spans="1:12" x14ac:dyDescent="0.3">
      <c r="A655" s="4" t="s">
        <v>1224</v>
      </c>
      <c r="B655" s="5">
        <v>45741</v>
      </c>
      <c r="C655" s="4" t="s">
        <v>904</v>
      </c>
      <c r="D655" s="4" t="s">
        <v>1180</v>
      </c>
      <c r="E655" s="4" t="s">
        <v>29</v>
      </c>
      <c r="F655" s="4" t="s">
        <v>30</v>
      </c>
      <c r="G655" s="4" t="s">
        <v>17</v>
      </c>
      <c r="H655" s="4" t="s">
        <v>31</v>
      </c>
      <c r="I655" s="6">
        <v>4</v>
      </c>
      <c r="J655" s="6">
        <v>7900</v>
      </c>
      <c r="K655" s="6">
        <v>4501.74</v>
      </c>
      <c r="L655" s="6">
        <v>3398.26</v>
      </c>
    </row>
    <row r="656" spans="1:12" x14ac:dyDescent="0.3">
      <c r="A656" s="4" t="s">
        <v>1225</v>
      </c>
      <c r="B656" s="5">
        <v>45681</v>
      </c>
      <c r="C656" s="4" t="s">
        <v>981</v>
      </c>
      <c r="D656" s="4" t="s">
        <v>1226</v>
      </c>
      <c r="E656" s="4" t="s">
        <v>22</v>
      </c>
      <c r="F656" s="4" t="s">
        <v>23</v>
      </c>
      <c r="G656" s="4" t="s">
        <v>35</v>
      </c>
      <c r="H656" s="4" t="s">
        <v>36</v>
      </c>
      <c r="I656" s="6">
        <v>7</v>
      </c>
      <c r="J656" s="6">
        <v>4494</v>
      </c>
      <c r="K656" s="6">
        <v>3291.31</v>
      </c>
      <c r="L656" s="6">
        <v>1202.69</v>
      </c>
    </row>
    <row r="657" spans="1:12" x14ac:dyDescent="0.3">
      <c r="A657" s="4" t="s">
        <v>1227</v>
      </c>
      <c r="B657" s="5">
        <v>45335</v>
      </c>
      <c r="C657" s="4" t="s">
        <v>197</v>
      </c>
      <c r="D657" s="4" t="s">
        <v>204</v>
      </c>
      <c r="E657" s="4" t="s">
        <v>15</v>
      </c>
      <c r="F657" s="4" t="s">
        <v>90</v>
      </c>
      <c r="G657" s="4" t="s">
        <v>24</v>
      </c>
      <c r="H657" s="4" t="s">
        <v>50</v>
      </c>
      <c r="I657" s="6">
        <v>8</v>
      </c>
      <c r="J657" s="6">
        <v>32336</v>
      </c>
      <c r="K657" s="6">
        <v>25807.46</v>
      </c>
      <c r="L657" s="6">
        <v>6528.54</v>
      </c>
    </row>
    <row r="658" spans="1:12" x14ac:dyDescent="0.3">
      <c r="A658" s="4" t="s">
        <v>1228</v>
      </c>
      <c r="B658" s="5">
        <v>45937</v>
      </c>
      <c r="C658" s="4" t="s">
        <v>374</v>
      </c>
      <c r="D658" s="4" t="s">
        <v>335</v>
      </c>
      <c r="E658" s="4" t="s">
        <v>22</v>
      </c>
      <c r="F658" s="4" t="s">
        <v>79</v>
      </c>
      <c r="G658" s="4" t="s">
        <v>24</v>
      </c>
      <c r="H658" s="4" t="s">
        <v>25</v>
      </c>
      <c r="I658" s="6">
        <v>9</v>
      </c>
      <c r="J658" s="6">
        <v>31257</v>
      </c>
      <c r="K658" s="6">
        <v>22031.119999999999</v>
      </c>
      <c r="L658" s="6">
        <v>9225.8799999999992</v>
      </c>
    </row>
    <row r="659" spans="1:12" x14ac:dyDescent="0.3">
      <c r="A659" s="4" t="s">
        <v>1229</v>
      </c>
      <c r="B659" s="5">
        <v>45724</v>
      </c>
      <c r="C659" s="4" t="s">
        <v>358</v>
      </c>
      <c r="D659" s="4" t="s">
        <v>813</v>
      </c>
      <c r="E659" s="4" t="s">
        <v>54</v>
      </c>
      <c r="F659" s="4" t="s">
        <v>55</v>
      </c>
      <c r="G659" s="4" t="s">
        <v>35</v>
      </c>
      <c r="H659" s="4" t="s">
        <v>36</v>
      </c>
      <c r="I659" s="6">
        <v>5</v>
      </c>
      <c r="J659" s="6">
        <v>13210</v>
      </c>
      <c r="K659" s="6">
        <v>9093.82</v>
      </c>
      <c r="L659" s="6">
        <v>4116.18</v>
      </c>
    </row>
    <row r="660" spans="1:12" x14ac:dyDescent="0.3">
      <c r="A660" s="4" t="s">
        <v>1230</v>
      </c>
      <c r="B660" s="5">
        <v>45407</v>
      </c>
      <c r="C660" s="4" t="s">
        <v>361</v>
      </c>
      <c r="D660" s="4" t="s">
        <v>221</v>
      </c>
      <c r="E660" s="4" t="s">
        <v>29</v>
      </c>
      <c r="F660" s="4" t="s">
        <v>49</v>
      </c>
      <c r="G660" s="4" t="s">
        <v>17</v>
      </c>
      <c r="H660" s="4" t="s">
        <v>31</v>
      </c>
      <c r="I660" s="6">
        <v>8</v>
      </c>
      <c r="J660" s="6">
        <v>8320</v>
      </c>
      <c r="K660" s="6">
        <v>6379.73</v>
      </c>
      <c r="L660" s="6">
        <v>1940.27</v>
      </c>
    </row>
    <row r="661" spans="1:12" x14ac:dyDescent="0.3">
      <c r="A661" s="4" t="s">
        <v>1231</v>
      </c>
      <c r="B661" s="5">
        <v>45756</v>
      </c>
      <c r="C661" s="4" t="s">
        <v>1232</v>
      </c>
      <c r="D661" s="4" t="s">
        <v>1233</v>
      </c>
      <c r="E661" s="4" t="s">
        <v>29</v>
      </c>
      <c r="F661" s="4" t="s">
        <v>49</v>
      </c>
      <c r="G661" s="4" t="s">
        <v>35</v>
      </c>
      <c r="H661" s="4" t="s">
        <v>36</v>
      </c>
      <c r="I661" s="6">
        <v>6</v>
      </c>
      <c r="J661" s="6">
        <v>23958</v>
      </c>
      <c r="K661" s="6">
        <v>13355.95</v>
      </c>
      <c r="L661" s="6">
        <v>10602.05</v>
      </c>
    </row>
    <row r="662" spans="1:12" x14ac:dyDescent="0.3">
      <c r="A662" s="4" t="s">
        <v>1234</v>
      </c>
      <c r="B662" s="5">
        <v>46015</v>
      </c>
      <c r="C662" s="4" t="s">
        <v>290</v>
      </c>
      <c r="D662" s="4" t="s">
        <v>459</v>
      </c>
      <c r="E662" s="4" t="s">
        <v>15</v>
      </c>
      <c r="F662" s="4" t="s">
        <v>63</v>
      </c>
      <c r="G662" s="4" t="s">
        <v>40</v>
      </c>
      <c r="H662" s="4" t="s">
        <v>41</v>
      </c>
      <c r="I662" s="6">
        <v>3</v>
      </c>
      <c r="J662" s="6">
        <v>3936</v>
      </c>
      <c r="K662" s="6">
        <v>2272.48</v>
      </c>
      <c r="L662" s="6">
        <v>1663.52</v>
      </c>
    </row>
    <row r="663" spans="1:12" x14ac:dyDescent="0.3">
      <c r="A663" s="4" t="s">
        <v>1235</v>
      </c>
      <c r="B663" s="5">
        <v>45455</v>
      </c>
      <c r="C663" s="4" t="s">
        <v>705</v>
      </c>
      <c r="D663" s="4" t="s">
        <v>869</v>
      </c>
      <c r="E663" s="4" t="s">
        <v>15</v>
      </c>
      <c r="F663" s="4" t="s">
        <v>90</v>
      </c>
      <c r="G663" s="4" t="s">
        <v>17</v>
      </c>
      <c r="H663" s="4" t="s">
        <v>18</v>
      </c>
      <c r="I663" s="6">
        <v>7</v>
      </c>
      <c r="J663" s="6">
        <v>31437</v>
      </c>
      <c r="K663" s="6">
        <v>23062.87</v>
      </c>
      <c r="L663" s="6">
        <v>8374.1299999999992</v>
      </c>
    </row>
    <row r="664" spans="1:12" x14ac:dyDescent="0.3">
      <c r="A664" s="4" t="s">
        <v>1236</v>
      </c>
      <c r="B664" s="5">
        <v>45445</v>
      </c>
      <c r="C664" s="4" t="s">
        <v>498</v>
      </c>
      <c r="D664" s="4" t="s">
        <v>510</v>
      </c>
      <c r="E664" s="4" t="s">
        <v>22</v>
      </c>
      <c r="F664" s="4" t="s">
        <v>23</v>
      </c>
      <c r="G664" s="4" t="s">
        <v>24</v>
      </c>
      <c r="H664" s="4" t="s">
        <v>166</v>
      </c>
      <c r="I664" s="6">
        <v>6</v>
      </c>
      <c r="J664" s="6">
        <v>29592</v>
      </c>
      <c r="K664" s="6">
        <v>24010.7</v>
      </c>
      <c r="L664" s="6">
        <v>5581.3</v>
      </c>
    </row>
    <row r="665" spans="1:12" x14ac:dyDescent="0.3">
      <c r="A665" s="4" t="s">
        <v>1237</v>
      </c>
      <c r="B665" s="5">
        <v>45748</v>
      </c>
      <c r="C665" s="4" t="s">
        <v>298</v>
      </c>
      <c r="D665" s="4" t="s">
        <v>436</v>
      </c>
      <c r="E665" s="4" t="s">
        <v>29</v>
      </c>
      <c r="F665" s="4" t="s">
        <v>30</v>
      </c>
      <c r="G665" s="4" t="s">
        <v>24</v>
      </c>
      <c r="H665" s="4" t="s">
        <v>25</v>
      </c>
      <c r="I665" s="6">
        <v>7</v>
      </c>
      <c r="J665" s="6">
        <v>19761</v>
      </c>
      <c r="K665" s="6">
        <v>12703.47</v>
      </c>
      <c r="L665" s="6">
        <v>7057.53</v>
      </c>
    </row>
    <row r="666" spans="1:12" x14ac:dyDescent="0.3">
      <c r="A666" s="4" t="s">
        <v>1238</v>
      </c>
      <c r="B666" s="5">
        <v>45801</v>
      </c>
      <c r="C666" s="4" t="s">
        <v>331</v>
      </c>
      <c r="D666" s="4" t="s">
        <v>145</v>
      </c>
      <c r="E666" s="4" t="s">
        <v>15</v>
      </c>
      <c r="F666" s="4" t="s">
        <v>16</v>
      </c>
      <c r="G666" s="4" t="s">
        <v>40</v>
      </c>
      <c r="H666" s="4" t="s">
        <v>56</v>
      </c>
      <c r="I666" s="6">
        <v>1</v>
      </c>
      <c r="J666" s="6">
        <v>2373</v>
      </c>
      <c r="K666" s="6">
        <v>1313.84</v>
      </c>
      <c r="L666" s="6">
        <v>1059.1600000000001</v>
      </c>
    </row>
    <row r="667" spans="1:12" x14ac:dyDescent="0.3">
      <c r="A667" s="4" t="s">
        <v>1239</v>
      </c>
      <c r="B667" s="5">
        <v>45779</v>
      </c>
      <c r="C667" s="4" t="s">
        <v>1240</v>
      </c>
      <c r="D667" s="4" t="s">
        <v>484</v>
      </c>
      <c r="E667" s="4" t="s">
        <v>15</v>
      </c>
      <c r="F667" s="4" t="s">
        <v>90</v>
      </c>
      <c r="G667" s="4" t="s">
        <v>35</v>
      </c>
      <c r="H667" s="4" t="s">
        <v>80</v>
      </c>
      <c r="I667" s="6">
        <v>4</v>
      </c>
      <c r="J667" s="6">
        <v>8304</v>
      </c>
      <c r="K667" s="6">
        <v>6034.17</v>
      </c>
      <c r="L667" s="6">
        <v>2269.83</v>
      </c>
    </row>
    <row r="668" spans="1:12" x14ac:dyDescent="0.3">
      <c r="A668" s="4" t="s">
        <v>1241</v>
      </c>
      <c r="B668" s="5">
        <v>45852</v>
      </c>
      <c r="C668" s="4" t="s">
        <v>27</v>
      </c>
      <c r="D668" s="4" t="s">
        <v>612</v>
      </c>
      <c r="E668" s="4" t="s">
        <v>22</v>
      </c>
      <c r="F668" s="4" t="s">
        <v>23</v>
      </c>
      <c r="G668" s="4" t="s">
        <v>17</v>
      </c>
      <c r="H668" s="4" t="s">
        <v>72</v>
      </c>
      <c r="I668" s="6">
        <v>10</v>
      </c>
      <c r="J668" s="6">
        <v>3530</v>
      </c>
      <c r="K668" s="6">
        <v>2200.65</v>
      </c>
      <c r="L668" s="6">
        <v>1329.35</v>
      </c>
    </row>
    <row r="669" spans="1:12" x14ac:dyDescent="0.3">
      <c r="A669" s="4" t="s">
        <v>1242</v>
      </c>
      <c r="B669" s="5">
        <v>45329</v>
      </c>
      <c r="C669" s="4" t="s">
        <v>1059</v>
      </c>
      <c r="D669" s="4" t="s">
        <v>1110</v>
      </c>
      <c r="E669" s="4" t="s">
        <v>29</v>
      </c>
      <c r="F669" s="4" t="s">
        <v>102</v>
      </c>
      <c r="G669" s="4" t="s">
        <v>24</v>
      </c>
      <c r="H669" s="4" t="s">
        <v>166</v>
      </c>
      <c r="I669" s="6">
        <v>3</v>
      </c>
      <c r="J669" s="6">
        <v>2253</v>
      </c>
      <c r="K669" s="6">
        <v>1680.7</v>
      </c>
      <c r="L669" s="6">
        <v>572.29999999999995</v>
      </c>
    </row>
    <row r="670" spans="1:12" x14ac:dyDescent="0.3">
      <c r="A670" s="4" t="s">
        <v>1243</v>
      </c>
      <c r="B670" s="5">
        <v>45474</v>
      </c>
      <c r="C670" s="4" t="s">
        <v>154</v>
      </c>
      <c r="D670" s="4" t="s">
        <v>282</v>
      </c>
      <c r="E670" s="4" t="s">
        <v>54</v>
      </c>
      <c r="F670" s="4" t="s">
        <v>55</v>
      </c>
      <c r="G670" s="4" t="s">
        <v>24</v>
      </c>
      <c r="H670" s="4" t="s">
        <v>50</v>
      </c>
      <c r="I670" s="6">
        <v>1</v>
      </c>
      <c r="J670" s="6">
        <v>1192</v>
      </c>
      <c r="K670" s="6">
        <v>804.7</v>
      </c>
      <c r="L670" s="6">
        <v>387.3</v>
      </c>
    </row>
    <row r="671" spans="1:12" x14ac:dyDescent="0.3">
      <c r="A671" s="4" t="s">
        <v>1244</v>
      </c>
      <c r="B671" s="5">
        <v>45387</v>
      </c>
      <c r="C671" s="4" t="s">
        <v>137</v>
      </c>
      <c r="D671" s="4" t="s">
        <v>308</v>
      </c>
      <c r="E671" s="4" t="s">
        <v>29</v>
      </c>
      <c r="F671" s="4" t="s">
        <v>49</v>
      </c>
      <c r="G671" s="4" t="s">
        <v>17</v>
      </c>
      <c r="H671" s="4" t="s">
        <v>18</v>
      </c>
      <c r="I671" s="6">
        <v>10</v>
      </c>
      <c r="J671" s="6">
        <v>32500</v>
      </c>
      <c r="K671" s="6">
        <v>26956.93</v>
      </c>
      <c r="L671" s="6">
        <v>5543.07</v>
      </c>
    </row>
    <row r="672" spans="1:12" x14ac:dyDescent="0.3">
      <c r="A672" s="4" t="s">
        <v>1245</v>
      </c>
      <c r="B672" s="5">
        <v>45774</v>
      </c>
      <c r="C672" s="4" t="s">
        <v>1069</v>
      </c>
      <c r="D672" s="4" t="s">
        <v>327</v>
      </c>
      <c r="E672" s="4" t="s">
        <v>54</v>
      </c>
      <c r="F672" s="4" t="s">
        <v>55</v>
      </c>
      <c r="G672" s="4" t="s">
        <v>24</v>
      </c>
      <c r="H672" s="4" t="s">
        <v>50</v>
      </c>
      <c r="I672" s="6">
        <v>7</v>
      </c>
      <c r="J672" s="6">
        <v>33663</v>
      </c>
      <c r="K672" s="6">
        <v>19170.330000000002</v>
      </c>
      <c r="L672" s="6">
        <v>14492.67</v>
      </c>
    </row>
    <row r="673" spans="1:12" x14ac:dyDescent="0.3">
      <c r="A673" s="4" t="s">
        <v>1246</v>
      </c>
      <c r="B673" s="5">
        <v>45506</v>
      </c>
      <c r="C673" s="4" t="s">
        <v>472</v>
      </c>
      <c r="D673" s="4" t="s">
        <v>852</v>
      </c>
      <c r="E673" s="4" t="s">
        <v>54</v>
      </c>
      <c r="F673" s="4" t="s">
        <v>55</v>
      </c>
      <c r="G673" s="4" t="s">
        <v>35</v>
      </c>
      <c r="H673" s="4" t="s">
        <v>45</v>
      </c>
      <c r="I673" s="6">
        <v>7</v>
      </c>
      <c r="J673" s="6">
        <v>32179</v>
      </c>
      <c r="K673" s="6">
        <v>19724.23</v>
      </c>
      <c r="L673" s="6">
        <v>12454.77</v>
      </c>
    </row>
    <row r="674" spans="1:12" x14ac:dyDescent="0.3">
      <c r="A674" s="4" t="s">
        <v>1247</v>
      </c>
      <c r="B674" s="5">
        <v>45616</v>
      </c>
      <c r="C674" s="4" t="s">
        <v>260</v>
      </c>
      <c r="D674" s="4" t="s">
        <v>561</v>
      </c>
      <c r="E674" s="4" t="s">
        <v>15</v>
      </c>
      <c r="F674" s="4" t="s">
        <v>63</v>
      </c>
      <c r="G674" s="4" t="s">
        <v>17</v>
      </c>
      <c r="H674" s="4" t="s">
        <v>18</v>
      </c>
      <c r="I674" s="6">
        <v>10</v>
      </c>
      <c r="J674" s="6">
        <v>26520</v>
      </c>
      <c r="K674" s="6">
        <v>17983.64</v>
      </c>
      <c r="L674" s="6">
        <v>8536.36</v>
      </c>
    </row>
    <row r="675" spans="1:12" x14ac:dyDescent="0.3">
      <c r="A675" s="4" t="s">
        <v>1248</v>
      </c>
      <c r="B675" s="5">
        <v>45939</v>
      </c>
      <c r="C675" s="4" t="s">
        <v>865</v>
      </c>
      <c r="D675" s="4" t="s">
        <v>70</v>
      </c>
      <c r="E675" s="4" t="s">
        <v>54</v>
      </c>
      <c r="F675" s="4" t="s">
        <v>142</v>
      </c>
      <c r="G675" s="4" t="s">
        <v>17</v>
      </c>
      <c r="H675" s="4" t="s">
        <v>72</v>
      </c>
      <c r="I675" s="6">
        <v>10</v>
      </c>
      <c r="J675" s="6">
        <v>43660</v>
      </c>
      <c r="K675" s="6">
        <v>30820.11</v>
      </c>
      <c r="L675" s="6">
        <v>12839.89</v>
      </c>
    </row>
    <row r="676" spans="1:12" x14ac:dyDescent="0.3">
      <c r="A676" s="4" t="s">
        <v>1249</v>
      </c>
      <c r="B676" s="5">
        <v>45316</v>
      </c>
      <c r="C676" s="4" t="s">
        <v>1250</v>
      </c>
      <c r="D676" s="4" t="s">
        <v>973</v>
      </c>
      <c r="E676" s="4" t="s">
        <v>29</v>
      </c>
      <c r="F676" s="4" t="s">
        <v>30</v>
      </c>
      <c r="G676" s="4" t="s">
        <v>40</v>
      </c>
      <c r="H676" s="4" t="s">
        <v>56</v>
      </c>
      <c r="I676" s="6">
        <v>5</v>
      </c>
      <c r="J676" s="6">
        <v>9425</v>
      </c>
      <c r="K676" s="6">
        <v>5188.22</v>
      </c>
      <c r="L676" s="6">
        <v>4236.78</v>
      </c>
    </row>
    <row r="677" spans="1:12" x14ac:dyDescent="0.3">
      <c r="A677" s="4" t="s">
        <v>1251</v>
      </c>
      <c r="B677" s="5">
        <v>45865</v>
      </c>
      <c r="C677" s="4" t="s">
        <v>1252</v>
      </c>
      <c r="D677" s="4" t="s">
        <v>746</v>
      </c>
      <c r="E677" s="4" t="s">
        <v>29</v>
      </c>
      <c r="F677" s="4" t="s">
        <v>30</v>
      </c>
      <c r="G677" s="4" t="s">
        <v>35</v>
      </c>
      <c r="H677" s="4" t="s">
        <v>36</v>
      </c>
      <c r="I677" s="6">
        <v>7</v>
      </c>
      <c r="J677" s="6">
        <v>4704</v>
      </c>
      <c r="K677" s="6">
        <v>3058.25</v>
      </c>
      <c r="L677" s="6">
        <v>1645.75</v>
      </c>
    </row>
    <row r="678" spans="1:12" x14ac:dyDescent="0.3">
      <c r="A678" s="4" t="s">
        <v>1253</v>
      </c>
      <c r="B678" s="5">
        <v>45810</v>
      </c>
      <c r="C678" s="4" t="s">
        <v>318</v>
      </c>
      <c r="D678" s="4" t="s">
        <v>308</v>
      </c>
      <c r="E678" s="4" t="s">
        <v>29</v>
      </c>
      <c r="F678" s="4" t="s">
        <v>30</v>
      </c>
      <c r="G678" s="4" t="s">
        <v>40</v>
      </c>
      <c r="H678" s="4" t="s">
        <v>99</v>
      </c>
      <c r="I678" s="6">
        <v>5</v>
      </c>
      <c r="J678" s="6">
        <v>4275</v>
      </c>
      <c r="K678" s="6">
        <v>2745.97</v>
      </c>
      <c r="L678" s="6">
        <v>1529.03</v>
      </c>
    </row>
    <row r="679" spans="1:12" x14ac:dyDescent="0.3">
      <c r="A679" s="4" t="s">
        <v>1254</v>
      </c>
      <c r="B679" s="5">
        <v>45874</v>
      </c>
      <c r="C679" s="4" t="s">
        <v>1255</v>
      </c>
      <c r="D679" s="4" t="s">
        <v>1256</v>
      </c>
      <c r="E679" s="4" t="s">
        <v>15</v>
      </c>
      <c r="F679" s="4" t="s">
        <v>16</v>
      </c>
      <c r="G679" s="4" t="s">
        <v>17</v>
      </c>
      <c r="H679" s="4" t="s">
        <v>31</v>
      </c>
      <c r="I679" s="6">
        <v>6</v>
      </c>
      <c r="J679" s="6">
        <v>18576</v>
      </c>
      <c r="K679" s="6">
        <v>12423.9</v>
      </c>
      <c r="L679" s="6">
        <v>6152.1</v>
      </c>
    </row>
    <row r="680" spans="1:12" x14ac:dyDescent="0.3">
      <c r="A680" s="4" t="s">
        <v>1257</v>
      </c>
      <c r="B680" s="5">
        <v>45953</v>
      </c>
      <c r="C680" s="4" t="s">
        <v>882</v>
      </c>
      <c r="D680" s="4" t="s">
        <v>977</v>
      </c>
      <c r="E680" s="4" t="s">
        <v>29</v>
      </c>
      <c r="F680" s="4" t="s">
        <v>49</v>
      </c>
      <c r="G680" s="4" t="s">
        <v>40</v>
      </c>
      <c r="H680" s="4" t="s">
        <v>41</v>
      </c>
      <c r="I680" s="6">
        <v>8</v>
      </c>
      <c r="J680" s="6">
        <v>33496</v>
      </c>
      <c r="K680" s="6">
        <v>26434.25</v>
      </c>
      <c r="L680" s="6">
        <v>7061.75</v>
      </c>
    </row>
    <row r="681" spans="1:12" x14ac:dyDescent="0.3">
      <c r="A681" s="4" t="s">
        <v>1258</v>
      </c>
      <c r="B681" s="5">
        <v>45715</v>
      </c>
      <c r="C681" s="4" t="s">
        <v>58</v>
      </c>
      <c r="D681" s="4" t="s">
        <v>971</v>
      </c>
      <c r="E681" s="4" t="s">
        <v>29</v>
      </c>
      <c r="F681" s="4" t="s">
        <v>30</v>
      </c>
      <c r="G681" s="4" t="s">
        <v>35</v>
      </c>
      <c r="H681" s="4" t="s">
        <v>80</v>
      </c>
      <c r="I681" s="6">
        <v>9</v>
      </c>
      <c r="J681" s="6">
        <v>27405</v>
      </c>
      <c r="K681" s="6">
        <v>18874.95</v>
      </c>
      <c r="L681" s="6">
        <v>8530.0499999999993</v>
      </c>
    </row>
    <row r="682" spans="1:12" x14ac:dyDescent="0.3">
      <c r="A682" s="4" t="s">
        <v>1259</v>
      </c>
      <c r="B682" s="5">
        <v>45505</v>
      </c>
      <c r="C682" s="4" t="s">
        <v>107</v>
      </c>
      <c r="D682" s="4" t="s">
        <v>1026</v>
      </c>
      <c r="E682" s="4" t="s">
        <v>54</v>
      </c>
      <c r="F682" s="4" t="s">
        <v>71</v>
      </c>
      <c r="G682" s="4" t="s">
        <v>17</v>
      </c>
      <c r="H682" s="4" t="s">
        <v>18</v>
      </c>
      <c r="I682" s="6">
        <v>6</v>
      </c>
      <c r="J682" s="6">
        <v>29088</v>
      </c>
      <c r="K682" s="6">
        <v>20674.75</v>
      </c>
      <c r="L682" s="6">
        <v>8413.25</v>
      </c>
    </row>
    <row r="683" spans="1:12" x14ac:dyDescent="0.3">
      <c r="A683" s="4" t="s">
        <v>1260</v>
      </c>
      <c r="B683" s="5">
        <v>45676</v>
      </c>
      <c r="C683" s="4" t="s">
        <v>52</v>
      </c>
      <c r="D683" s="4" t="s">
        <v>121</v>
      </c>
      <c r="E683" s="4" t="s">
        <v>54</v>
      </c>
      <c r="F683" s="4" t="s">
        <v>142</v>
      </c>
      <c r="G683" s="4" t="s">
        <v>24</v>
      </c>
      <c r="H683" s="4" t="s">
        <v>166</v>
      </c>
      <c r="I683" s="6">
        <v>5</v>
      </c>
      <c r="J683" s="6">
        <v>2775</v>
      </c>
      <c r="K683" s="6">
        <v>1808.59</v>
      </c>
      <c r="L683" s="6">
        <v>966.41</v>
      </c>
    </row>
    <row r="684" spans="1:12" x14ac:dyDescent="0.3">
      <c r="A684" s="4" t="s">
        <v>1261</v>
      </c>
      <c r="B684" s="5">
        <v>45614</v>
      </c>
      <c r="C684" s="4" t="s">
        <v>393</v>
      </c>
      <c r="D684" s="4" t="s">
        <v>533</v>
      </c>
      <c r="E684" s="4" t="s">
        <v>22</v>
      </c>
      <c r="F684" s="4" t="s">
        <v>23</v>
      </c>
      <c r="G684" s="4" t="s">
        <v>17</v>
      </c>
      <c r="H684" s="4" t="s">
        <v>72</v>
      </c>
      <c r="I684" s="6">
        <v>2</v>
      </c>
      <c r="J684" s="6">
        <v>5650</v>
      </c>
      <c r="K684" s="6">
        <v>4302.93</v>
      </c>
      <c r="L684" s="6">
        <v>1347.07</v>
      </c>
    </row>
    <row r="685" spans="1:12" x14ac:dyDescent="0.3">
      <c r="A685" s="4" t="s">
        <v>1262</v>
      </c>
      <c r="B685" s="5">
        <v>45601</v>
      </c>
      <c r="C685" s="4" t="s">
        <v>1263</v>
      </c>
      <c r="D685" s="4" t="s">
        <v>631</v>
      </c>
      <c r="E685" s="4" t="s">
        <v>22</v>
      </c>
      <c r="F685" s="4" t="s">
        <v>23</v>
      </c>
      <c r="G685" s="4" t="s">
        <v>35</v>
      </c>
      <c r="H685" s="4" t="s">
        <v>80</v>
      </c>
      <c r="I685" s="6">
        <v>4</v>
      </c>
      <c r="J685" s="6">
        <v>13376</v>
      </c>
      <c r="K685" s="6">
        <v>9170.2099999999991</v>
      </c>
      <c r="L685" s="6">
        <v>4205.79</v>
      </c>
    </row>
    <row r="686" spans="1:12" x14ac:dyDescent="0.3">
      <c r="A686" s="4" t="s">
        <v>1264</v>
      </c>
      <c r="B686" s="5">
        <v>45386</v>
      </c>
      <c r="C686" s="4" t="s">
        <v>500</v>
      </c>
      <c r="D686" s="4" t="s">
        <v>184</v>
      </c>
      <c r="E686" s="4" t="s">
        <v>54</v>
      </c>
      <c r="F686" s="4" t="s">
        <v>142</v>
      </c>
      <c r="G686" s="4" t="s">
        <v>24</v>
      </c>
      <c r="H686" s="4" t="s">
        <v>50</v>
      </c>
      <c r="I686" s="6">
        <v>6</v>
      </c>
      <c r="J686" s="6">
        <v>3636</v>
      </c>
      <c r="K686" s="6">
        <v>2848.21</v>
      </c>
      <c r="L686" s="6">
        <v>787.79</v>
      </c>
    </row>
    <row r="687" spans="1:12" x14ac:dyDescent="0.3">
      <c r="A687" s="4" t="s">
        <v>1265</v>
      </c>
      <c r="B687" s="5">
        <v>45787</v>
      </c>
      <c r="C687" s="4" t="s">
        <v>1266</v>
      </c>
      <c r="D687" s="4" t="s">
        <v>1267</v>
      </c>
      <c r="E687" s="4" t="s">
        <v>15</v>
      </c>
      <c r="F687" s="4" t="s">
        <v>63</v>
      </c>
      <c r="G687" s="4" t="s">
        <v>35</v>
      </c>
      <c r="H687" s="4" t="s">
        <v>45</v>
      </c>
      <c r="I687" s="6">
        <v>3</v>
      </c>
      <c r="J687" s="6">
        <v>5574</v>
      </c>
      <c r="K687" s="6">
        <v>3634.44</v>
      </c>
      <c r="L687" s="6">
        <v>1939.56</v>
      </c>
    </row>
    <row r="688" spans="1:12" x14ac:dyDescent="0.3">
      <c r="A688" s="4" t="s">
        <v>1268</v>
      </c>
      <c r="B688" s="5">
        <v>45329</v>
      </c>
      <c r="C688" s="4" t="s">
        <v>458</v>
      </c>
      <c r="D688" s="4" t="s">
        <v>944</v>
      </c>
      <c r="E688" s="4" t="s">
        <v>54</v>
      </c>
      <c r="F688" s="4" t="s">
        <v>142</v>
      </c>
      <c r="G688" s="4" t="s">
        <v>24</v>
      </c>
      <c r="H688" s="4" t="s">
        <v>50</v>
      </c>
      <c r="I688" s="6">
        <v>9</v>
      </c>
      <c r="J688" s="6">
        <v>12483</v>
      </c>
      <c r="K688" s="6">
        <v>7634.06</v>
      </c>
      <c r="L688" s="6">
        <v>4848.9399999999996</v>
      </c>
    </row>
    <row r="689" spans="1:12" x14ac:dyDescent="0.3">
      <c r="A689" s="4" t="s">
        <v>1269</v>
      </c>
      <c r="B689" s="5">
        <v>45339</v>
      </c>
      <c r="C689" s="4" t="s">
        <v>33</v>
      </c>
      <c r="D689" s="4" t="s">
        <v>971</v>
      </c>
      <c r="E689" s="4" t="s">
        <v>15</v>
      </c>
      <c r="F689" s="4" t="s">
        <v>16</v>
      </c>
      <c r="G689" s="4" t="s">
        <v>40</v>
      </c>
      <c r="H689" s="4" t="s">
        <v>99</v>
      </c>
      <c r="I689" s="6">
        <v>1</v>
      </c>
      <c r="J689" s="6">
        <v>1013</v>
      </c>
      <c r="K689" s="6">
        <v>658.44</v>
      </c>
      <c r="L689" s="6">
        <v>354.56</v>
      </c>
    </row>
    <row r="690" spans="1:12" x14ac:dyDescent="0.3">
      <c r="A690" s="4" t="s">
        <v>1270</v>
      </c>
      <c r="B690" s="5">
        <v>45489</v>
      </c>
      <c r="C690" s="4" t="s">
        <v>1271</v>
      </c>
      <c r="D690" s="4" t="s">
        <v>401</v>
      </c>
      <c r="E690" s="4" t="s">
        <v>54</v>
      </c>
      <c r="F690" s="4" t="s">
        <v>142</v>
      </c>
      <c r="G690" s="4" t="s">
        <v>17</v>
      </c>
      <c r="H690" s="4" t="s">
        <v>72</v>
      </c>
      <c r="I690" s="6">
        <v>5</v>
      </c>
      <c r="J690" s="6">
        <v>10095</v>
      </c>
      <c r="K690" s="6">
        <v>6524.04</v>
      </c>
      <c r="L690" s="6">
        <v>3570.96</v>
      </c>
    </row>
    <row r="691" spans="1:12" x14ac:dyDescent="0.3">
      <c r="A691" s="4" t="s">
        <v>1272</v>
      </c>
      <c r="B691" s="5">
        <v>45572</v>
      </c>
      <c r="C691" s="4" t="s">
        <v>77</v>
      </c>
      <c r="D691" s="4" t="s">
        <v>404</v>
      </c>
      <c r="E691" s="4" t="s">
        <v>54</v>
      </c>
      <c r="F691" s="4" t="s">
        <v>55</v>
      </c>
      <c r="G691" s="4" t="s">
        <v>17</v>
      </c>
      <c r="H691" s="4" t="s">
        <v>31</v>
      </c>
      <c r="I691" s="6">
        <v>2</v>
      </c>
      <c r="J691" s="6">
        <v>5066</v>
      </c>
      <c r="K691" s="6">
        <v>3013.24</v>
      </c>
      <c r="L691" s="6">
        <v>2052.7600000000002</v>
      </c>
    </row>
    <row r="692" spans="1:12" x14ac:dyDescent="0.3">
      <c r="A692" s="4" t="s">
        <v>1273</v>
      </c>
      <c r="B692" s="5">
        <v>45436</v>
      </c>
      <c r="C692" s="4" t="s">
        <v>810</v>
      </c>
      <c r="D692" s="4" t="s">
        <v>1274</v>
      </c>
      <c r="E692" s="4" t="s">
        <v>15</v>
      </c>
      <c r="F692" s="4" t="s">
        <v>16</v>
      </c>
      <c r="G692" s="4" t="s">
        <v>35</v>
      </c>
      <c r="H692" s="4" t="s">
        <v>45</v>
      </c>
      <c r="I692" s="6">
        <v>6</v>
      </c>
      <c r="J692" s="6">
        <v>28800</v>
      </c>
      <c r="K692" s="6">
        <v>18591.71</v>
      </c>
      <c r="L692" s="6">
        <v>10208.290000000001</v>
      </c>
    </row>
    <row r="693" spans="1:12" x14ac:dyDescent="0.3">
      <c r="A693" s="4" t="s">
        <v>1275</v>
      </c>
      <c r="B693" s="5">
        <v>45343</v>
      </c>
      <c r="C693" s="4" t="s">
        <v>451</v>
      </c>
      <c r="D693" s="4" t="s">
        <v>174</v>
      </c>
      <c r="E693" s="4" t="s">
        <v>29</v>
      </c>
      <c r="F693" s="4" t="s">
        <v>102</v>
      </c>
      <c r="G693" s="4" t="s">
        <v>24</v>
      </c>
      <c r="H693" s="4" t="s">
        <v>50</v>
      </c>
      <c r="I693" s="6">
        <v>5</v>
      </c>
      <c r="J693" s="6">
        <v>15370</v>
      </c>
      <c r="K693" s="6">
        <v>10946.1</v>
      </c>
      <c r="L693" s="6">
        <v>4423.8999999999996</v>
      </c>
    </row>
    <row r="694" spans="1:12" x14ac:dyDescent="0.3">
      <c r="A694" s="4" t="s">
        <v>1276</v>
      </c>
      <c r="B694" s="5">
        <v>45728</v>
      </c>
      <c r="C694" s="4" t="s">
        <v>1041</v>
      </c>
      <c r="D694" s="4" t="s">
        <v>1011</v>
      </c>
      <c r="E694" s="4" t="s">
        <v>22</v>
      </c>
      <c r="F694" s="4" t="s">
        <v>79</v>
      </c>
      <c r="G694" s="4" t="s">
        <v>24</v>
      </c>
      <c r="H694" s="4" t="s">
        <v>25</v>
      </c>
      <c r="I694" s="6">
        <v>2</v>
      </c>
      <c r="J694" s="6">
        <v>6884</v>
      </c>
      <c r="K694" s="6">
        <v>3897.31</v>
      </c>
      <c r="L694" s="6">
        <v>2986.69</v>
      </c>
    </row>
    <row r="695" spans="1:12" x14ac:dyDescent="0.3">
      <c r="A695" s="4" t="s">
        <v>1277</v>
      </c>
      <c r="B695" s="5">
        <v>46022</v>
      </c>
      <c r="C695" s="4" t="s">
        <v>52</v>
      </c>
      <c r="D695" s="4" t="s">
        <v>539</v>
      </c>
      <c r="E695" s="4" t="s">
        <v>22</v>
      </c>
      <c r="F695" s="4" t="s">
        <v>79</v>
      </c>
      <c r="G695" s="4" t="s">
        <v>40</v>
      </c>
      <c r="H695" s="4" t="s">
        <v>41</v>
      </c>
      <c r="I695" s="6">
        <v>5</v>
      </c>
      <c r="J695" s="6">
        <v>15110</v>
      </c>
      <c r="K695" s="6">
        <v>12015.96</v>
      </c>
      <c r="L695" s="6">
        <v>3094.04</v>
      </c>
    </row>
    <row r="696" spans="1:12" x14ac:dyDescent="0.3">
      <c r="A696" s="4" t="s">
        <v>1278</v>
      </c>
      <c r="B696" s="5">
        <v>45609</v>
      </c>
      <c r="C696" s="4" t="s">
        <v>1250</v>
      </c>
      <c r="D696" s="4" t="s">
        <v>1279</v>
      </c>
      <c r="E696" s="4" t="s">
        <v>22</v>
      </c>
      <c r="F696" s="4" t="s">
        <v>79</v>
      </c>
      <c r="G696" s="4" t="s">
        <v>24</v>
      </c>
      <c r="H696" s="4" t="s">
        <v>166</v>
      </c>
      <c r="I696" s="6">
        <v>2</v>
      </c>
      <c r="J696" s="6">
        <v>8272</v>
      </c>
      <c r="K696" s="6">
        <v>4790.97</v>
      </c>
      <c r="L696" s="6">
        <v>3481.03</v>
      </c>
    </row>
    <row r="697" spans="1:12" x14ac:dyDescent="0.3">
      <c r="A697" s="4" t="s">
        <v>1280</v>
      </c>
      <c r="B697" s="5">
        <v>45693</v>
      </c>
      <c r="C697" s="4" t="s">
        <v>565</v>
      </c>
      <c r="D697" s="4" t="s">
        <v>1026</v>
      </c>
      <c r="E697" s="4" t="s">
        <v>29</v>
      </c>
      <c r="F697" s="4" t="s">
        <v>102</v>
      </c>
      <c r="G697" s="4" t="s">
        <v>24</v>
      </c>
      <c r="H697" s="4" t="s">
        <v>166</v>
      </c>
      <c r="I697" s="6">
        <v>10</v>
      </c>
      <c r="J697" s="6">
        <v>24130</v>
      </c>
      <c r="K697" s="6">
        <v>19879.71</v>
      </c>
      <c r="L697" s="6">
        <v>4250.29</v>
      </c>
    </row>
    <row r="698" spans="1:12" x14ac:dyDescent="0.3">
      <c r="A698" s="4" t="s">
        <v>1281</v>
      </c>
      <c r="B698" s="5">
        <v>45651</v>
      </c>
      <c r="C698" s="4" t="s">
        <v>560</v>
      </c>
      <c r="D698" s="4" t="s">
        <v>1282</v>
      </c>
      <c r="E698" s="4" t="s">
        <v>54</v>
      </c>
      <c r="F698" s="4" t="s">
        <v>55</v>
      </c>
      <c r="G698" s="4" t="s">
        <v>35</v>
      </c>
      <c r="H698" s="4" t="s">
        <v>80</v>
      </c>
      <c r="I698" s="6">
        <v>1</v>
      </c>
      <c r="J698" s="6">
        <v>835</v>
      </c>
      <c r="K698" s="6">
        <v>578.32000000000005</v>
      </c>
      <c r="L698" s="6">
        <v>256.68</v>
      </c>
    </row>
    <row r="699" spans="1:12" x14ac:dyDescent="0.3">
      <c r="A699" s="4" t="s">
        <v>1283</v>
      </c>
      <c r="B699" s="5">
        <v>45707</v>
      </c>
      <c r="C699" s="4" t="s">
        <v>745</v>
      </c>
      <c r="D699" s="4" t="s">
        <v>1180</v>
      </c>
      <c r="E699" s="4" t="s">
        <v>29</v>
      </c>
      <c r="F699" s="4" t="s">
        <v>49</v>
      </c>
      <c r="G699" s="4" t="s">
        <v>40</v>
      </c>
      <c r="H699" s="4" t="s">
        <v>41</v>
      </c>
      <c r="I699" s="6">
        <v>10</v>
      </c>
      <c r="J699" s="6">
        <v>13430</v>
      </c>
      <c r="K699" s="6">
        <v>9433.0300000000007</v>
      </c>
      <c r="L699" s="6">
        <v>3996.97</v>
      </c>
    </row>
    <row r="700" spans="1:12" x14ac:dyDescent="0.3">
      <c r="A700" s="4" t="s">
        <v>1284</v>
      </c>
      <c r="B700" s="5">
        <v>45536</v>
      </c>
      <c r="C700" s="4" t="s">
        <v>1285</v>
      </c>
      <c r="D700" s="4" t="s">
        <v>414</v>
      </c>
      <c r="E700" s="4" t="s">
        <v>15</v>
      </c>
      <c r="F700" s="4" t="s">
        <v>63</v>
      </c>
      <c r="G700" s="4" t="s">
        <v>35</v>
      </c>
      <c r="H700" s="4" t="s">
        <v>45</v>
      </c>
      <c r="I700" s="6">
        <v>8</v>
      </c>
      <c r="J700" s="6">
        <v>28664</v>
      </c>
      <c r="K700" s="6">
        <v>20843.34</v>
      </c>
      <c r="L700" s="6">
        <v>7820.66</v>
      </c>
    </row>
    <row r="701" spans="1:12" x14ac:dyDescent="0.3">
      <c r="A701" s="4" t="s">
        <v>1286</v>
      </c>
      <c r="B701" s="5">
        <v>46002</v>
      </c>
      <c r="C701" s="4" t="s">
        <v>416</v>
      </c>
      <c r="D701" s="4" t="s">
        <v>252</v>
      </c>
      <c r="E701" s="4" t="s">
        <v>29</v>
      </c>
      <c r="F701" s="4" t="s">
        <v>49</v>
      </c>
      <c r="G701" s="4" t="s">
        <v>35</v>
      </c>
      <c r="H701" s="4" t="s">
        <v>36</v>
      </c>
      <c r="I701" s="6">
        <v>2</v>
      </c>
      <c r="J701" s="6">
        <v>6182</v>
      </c>
      <c r="K701" s="6">
        <v>3786.3</v>
      </c>
      <c r="L701" s="6">
        <v>2395.6999999999998</v>
      </c>
    </row>
    <row r="702" spans="1:12" x14ac:dyDescent="0.3">
      <c r="A702" s="4" t="s">
        <v>1287</v>
      </c>
      <c r="B702" s="5">
        <v>45371</v>
      </c>
      <c r="C702" s="4" t="s">
        <v>281</v>
      </c>
      <c r="D702" s="4" t="s">
        <v>124</v>
      </c>
      <c r="E702" s="4" t="s">
        <v>54</v>
      </c>
      <c r="F702" s="4" t="s">
        <v>71</v>
      </c>
      <c r="G702" s="4" t="s">
        <v>17</v>
      </c>
      <c r="H702" s="4" t="s">
        <v>18</v>
      </c>
      <c r="I702" s="6">
        <v>4</v>
      </c>
      <c r="J702" s="6">
        <v>6868</v>
      </c>
      <c r="K702" s="6">
        <v>5142.6499999999996</v>
      </c>
      <c r="L702" s="6">
        <v>1725.35</v>
      </c>
    </row>
    <row r="703" spans="1:12" x14ac:dyDescent="0.3">
      <c r="A703" s="4" t="s">
        <v>1288</v>
      </c>
      <c r="B703" s="5">
        <v>45747</v>
      </c>
      <c r="C703" s="4" t="s">
        <v>203</v>
      </c>
      <c r="D703" s="4" t="s">
        <v>656</v>
      </c>
      <c r="E703" s="4" t="s">
        <v>15</v>
      </c>
      <c r="F703" s="4" t="s">
        <v>90</v>
      </c>
      <c r="G703" s="4" t="s">
        <v>17</v>
      </c>
      <c r="H703" s="4" t="s">
        <v>72</v>
      </c>
      <c r="I703" s="6">
        <v>8</v>
      </c>
      <c r="J703" s="6">
        <v>23720</v>
      </c>
      <c r="K703" s="6">
        <v>16996</v>
      </c>
      <c r="L703" s="6">
        <v>6724</v>
      </c>
    </row>
    <row r="704" spans="1:12" x14ac:dyDescent="0.3">
      <c r="A704" s="4" t="s">
        <v>1289</v>
      </c>
      <c r="B704" s="5">
        <v>45952</v>
      </c>
      <c r="C704" s="4" t="s">
        <v>126</v>
      </c>
      <c r="D704" s="4" t="s">
        <v>439</v>
      </c>
      <c r="E704" s="4" t="s">
        <v>22</v>
      </c>
      <c r="F704" s="4" t="s">
        <v>23</v>
      </c>
      <c r="G704" s="4" t="s">
        <v>17</v>
      </c>
      <c r="H704" s="4" t="s">
        <v>72</v>
      </c>
      <c r="I704" s="6">
        <v>2</v>
      </c>
      <c r="J704" s="6">
        <v>6808</v>
      </c>
      <c r="K704" s="6">
        <v>4413.1000000000004</v>
      </c>
      <c r="L704" s="6">
        <v>2394.9</v>
      </c>
    </row>
    <row r="705" spans="1:12" x14ac:dyDescent="0.3">
      <c r="A705" s="4" t="s">
        <v>1290</v>
      </c>
      <c r="B705" s="5">
        <v>45755</v>
      </c>
      <c r="C705" s="4" t="s">
        <v>92</v>
      </c>
      <c r="D705" s="4" t="s">
        <v>332</v>
      </c>
      <c r="E705" s="4" t="s">
        <v>29</v>
      </c>
      <c r="F705" s="4" t="s">
        <v>102</v>
      </c>
      <c r="G705" s="4" t="s">
        <v>17</v>
      </c>
      <c r="H705" s="4" t="s">
        <v>72</v>
      </c>
      <c r="I705" s="6">
        <v>1</v>
      </c>
      <c r="J705" s="6">
        <v>1501</v>
      </c>
      <c r="K705" s="6">
        <v>1123.1400000000001</v>
      </c>
      <c r="L705" s="6">
        <v>377.86</v>
      </c>
    </row>
    <row r="706" spans="1:12" x14ac:dyDescent="0.3">
      <c r="A706" s="4" t="s">
        <v>1291</v>
      </c>
      <c r="B706" s="5">
        <v>45616</v>
      </c>
      <c r="C706" s="4" t="s">
        <v>137</v>
      </c>
      <c r="D706" s="4" t="s">
        <v>989</v>
      </c>
      <c r="E706" s="4" t="s">
        <v>22</v>
      </c>
      <c r="F706" s="4" t="s">
        <v>79</v>
      </c>
      <c r="G706" s="4" t="s">
        <v>17</v>
      </c>
      <c r="H706" s="4" t="s">
        <v>72</v>
      </c>
      <c r="I706" s="6">
        <v>8</v>
      </c>
      <c r="J706" s="6">
        <v>15216</v>
      </c>
      <c r="K706" s="6">
        <v>9307.6</v>
      </c>
      <c r="L706" s="6">
        <v>5908.4</v>
      </c>
    </row>
    <row r="707" spans="1:12" x14ac:dyDescent="0.3">
      <c r="A707" s="4" t="s">
        <v>1292</v>
      </c>
      <c r="B707" s="5">
        <v>45918</v>
      </c>
      <c r="C707" s="4" t="s">
        <v>464</v>
      </c>
      <c r="D707" s="4" t="s">
        <v>305</v>
      </c>
      <c r="E707" s="4" t="s">
        <v>54</v>
      </c>
      <c r="F707" s="4" t="s">
        <v>55</v>
      </c>
      <c r="G707" s="4" t="s">
        <v>17</v>
      </c>
      <c r="H707" s="4" t="s">
        <v>18</v>
      </c>
      <c r="I707" s="6">
        <v>6</v>
      </c>
      <c r="J707" s="6">
        <v>6186</v>
      </c>
      <c r="K707" s="6">
        <v>4483.72</v>
      </c>
      <c r="L707" s="6">
        <v>1702.28</v>
      </c>
    </row>
    <row r="708" spans="1:12" x14ac:dyDescent="0.3">
      <c r="A708" s="4" t="s">
        <v>1293</v>
      </c>
      <c r="B708" s="5">
        <v>45292</v>
      </c>
      <c r="C708" s="4" t="s">
        <v>1294</v>
      </c>
      <c r="D708" s="4" t="s">
        <v>359</v>
      </c>
      <c r="E708" s="4" t="s">
        <v>29</v>
      </c>
      <c r="F708" s="4" t="s">
        <v>49</v>
      </c>
      <c r="G708" s="4" t="s">
        <v>24</v>
      </c>
      <c r="H708" s="4" t="s">
        <v>25</v>
      </c>
      <c r="I708" s="6">
        <v>6</v>
      </c>
      <c r="J708" s="6">
        <v>28776</v>
      </c>
      <c r="K708" s="6">
        <v>24182.48</v>
      </c>
      <c r="L708" s="6">
        <v>4593.5200000000004</v>
      </c>
    </row>
    <row r="709" spans="1:12" x14ac:dyDescent="0.3">
      <c r="A709" s="4" t="s">
        <v>1295</v>
      </c>
      <c r="B709" s="5">
        <v>45695</v>
      </c>
      <c r="C709" s="4" t="s">
        <v>614</v>
      </c>
      <c r="D709" s="4" t="s">
        <v>1029</v>
      </c>
      <c r="E709" s="4" t="s">
        <v>15</v>
      </c>
      <c r="F709" s="4" t="s">
        <v>63</v>
      </c>
      <c r="G709" s="4" t="s">
        <v>24</v>
      </c>
      <c r="H709" s="4" t="s">
        <v>25</v>
      </c>
      <c r="I709" s="6">
        <v>4</v>
      </c>
      <c r="J709" s="6">
        <v>15344</v>
      </c>
      <c r="K709" s="6">
        <v>11671.67</v>
      </c>
      <c r="L709" s="6">
        <v>3672.33</v>
      </c>
    </row>
    <row r="710" spans="1:12" x14ac:dyDescent="0.3">
      <c r="A710" s="4" t="s">
        <v>1296</v>
      </c>
      <c r="B710" s="5">
        <v>45778</v>
      </c>
      <c r="C710" s="4" t="s">
        <v>670</v>
      </c>
      <c r="D710" s="4" t="s">
        <v>1145</v>
      </c>
      <c r="E710" s="4" t="s">
        <v>22</v>
      </c>
      <c r="F710" s="4" t="s">
        <v>67</v>
      </c>
      <c r="G710" s="4" t="s">
        <v>35</v>
      </c>
      <c r="H710" s="4" t="s">
        <v>36</v>
      </c>
      <c r="I710" s="6">
        <v>9</v>
      </c>
      <c r="J710" s="6">
        <v>18270</v>
      </c>
      <c r="K710" s="6">
        <v>13679.59</v>
      </c>
      <c r="L710" s="6">
        <v>4590.41</v>
      </c>
    </row>
    <row r="711" spans="1:12" x14ac:dyDescent="0.3">
      <c r="A711" s="4" t="s">
        <v>1297</v>
      </c>
      <c r="B711" s="5">
        <v>45978</v>
      </c>
      <c r="C711" s="4" t="s">
        <v>239</v>
      </c>
      <c r="D711" s="4" t="s">
        <v>661</v>
      </c>
      <c r="E711" s="4" t="s">
        <v>22</v>
      </c>
      <c r="F711" s="4" t="s">
        <v>67</v>
      </c>
      <c r="G711" s="4" t="s">
        <v>35</v>
      </c>
      <c r="H711" s="4" t="s">
        <v>36</v>
      </c>
      <c r="I711" s="6">
        <v>3</v>
      </c>
      <c r="J711" s="6">
        <v>7989</v>
      </c>
      <c r="K711" s="6">
        <v>6784.55</v>
      </c>
      <c r="L711" s="6">
        <v>1204.45</v>
      </c>
    </row>
    <row r="712" spans="1:12" x14ac:dyDescent="0.3">
      <c r="A712" s="4" t="s">
        <v>1298</v>
      </c>
      <c r="B712" s="5">
        <v>45790</v>
      </c>
      <c r="C712" s="4" t="s">
        <v>254</v>
      </c>
      <c r="D712" s="4" t="s">
        <v>659</v>
      </c>
      <c r="E712" s="4" t="s">
        <v>15</v>
      </c>
      <c r="F712" s="4" t="s">
        <v>16</v>
      </c>
      <c r="G712" s="4" t="s">
        <v>17</v>
      </c>
      <c r="H712" s="4" t="s">
        <v>31</v>
      </c>
      <c r="I712" s="6">
        <v>1</v>
      </c>
      <c r="J712" s="6">
        <v>1479</v>
      </c>
      <c r="K712" s="6">
        <v>1133.51</v>
      </c>
      <c r="L712" s="6">
        <v>345.49</v>
      </c>
    </row>
    <row r="713" spans="1:12" x14ac:dyDescent="0.3">
      <c r="A713" s="4" t="s">
        <v>1299</v>
      </c>
      <c r="B713" s="5">
        <v>46004</v>
      </c>
      <c r="C713" s="4" t="s">
        <v>538</v>
      </c>
      <c r="D713" s="4" t="s">
        <v>436</v>
      </c>
      <c r="E713" s="4" t="s">
        <v>15</v>
      </c>
      <c r="F713" s="4" t="s">
        <v>16</v>
      </c>
      <c r="G713" s="4" t="s">
        <v>17</v>
      </c>
      <c r="H713" s="4" t="s">
        <v>31</v>
      </c>
      <c r="I713" s="6">
        <v>7</v>
      </c>
      <c r="J713" s="6">
        <v>28245</v>
      </c>
      <c r="K713" s="6">
        <v>23106.52</v>
      </c>
      <c r="L713" s="6">
        <v>5138.4799999999996</v>
      </c>
    </row>
    <row r="714" spans="1:12" x14ac:dyDescent="0.3">
      <c r="A714" s="4" t="s">
        <v>1300</v>
      </c>
      <c r="B714" s="5">
        <v>45523</v>
      </c>
      <c r="C714" s="4" t="s">
        <v>522</v>
      </c>
      <c r="D714" s="4" t="s">
        <v>302</v>
      </c>
      <c r="E714" s="4" t="s">
        <v>22</v>
      </c>
      <c r="F714" s="4" t="s">
        <v>79</v>
      </c>
      <c r="G714" s="4" t="s">
        <v>35</v>
      </c>
      <c r="H714" s="4" t="s">
        <v>36</v>
      </c>
      <c r="I714" s="6">
        <v>9</v>
      </c>
      <c r="J714" s="6">
        <v>35874</v>
      </c>
      <c r="K714" s="6">
        <v>23871.08</v>
      </c>
      <c r="L714" s="6">
        <v>12002.92</v>
      </c>
    </row>
    <row r="715" spans="1:12" x14ac:dyDescent="0.3">
      <c r="A715" s="4" t="s">
        <v>1301</v>
      </c>
      <c r="B715" s="5">
        <v>45851</v>
      </c>
      <c r="C715" s="4" t="s">
        <v>107</v>
      </c>
      <c r="D715" s="4" t="s">
        <v>381</v>
      </c>
      <c r="E715" s="4" t="s">
        <v>15</v>
      </c>
      <c r="F715" s="4" t="s">
        <v>90</v>
      </c>
      <c r="G715" s="4" t="s">
        <v>35</v>
      </c>
      <c r="H715" s="4" t="s">
        <v>80</v>
      </c>
      <c r="I715" s="6">
        <v>4</v>
      </c>
      <c r="J715" s="6">
        <v>17640</v>
      </c>
      <c r="K715" s="6">
        <v>11126.87</v>
      </c>
      <c r="L715" s="6">
        <v>6513.13</v>
      </c>
    </row>
    <row r="716" spans="1:12" x14ac:dyDescent="0.3">
      <c r="A716" s="4" t="s">
        <v>1302</v>
      </c>
      <c r="B716" s="5">
        <v>45785</v>
      </c>
      <c r="C716" s="4" t="s">
        <v>461</v>
      </c>
      <c r="D716" s="4" t="s">
        <v>888</v>
      </c>
      <c r="E716" s="4" t="s">
        <v>15</v>
      </c>
      <c r="F716" s="4" t="s">
        <v>16</v>
      </c>
      <c r="G716" s="4" t="s">
        <v>17</v>
      </c>
      <c r="H716" s="4" t="s">
        <v>72</v>
      </c>
      <c r="I716" s="6">
        <v>8</v>
      </c>
      <c r="J716" s="6">
        <v>26552</v>
      </c>
      <c r="K716" s="6">
        <v>15505.02</v>
      </c>
      <c r="L716" s="6">
        <v>11046.98</v>
      </c>
    </row>
    <row r="717" spans="1:12" x14ac:dyDescent="0.3">
      <c r="A717" s="4" t="s">
        <v>1303</v>
      </c>
      <c r="B717" s="5">
        <v>45382</v>
      </c>
      <c r="C717" s="4" t="s">
        <v>197</v>
      </c>
      <c r="D717" s="4" t="s">
        <v>1304</v>
      </c>
      <c r="E717" s="4" t="s">
        <v>54</v>
      </c>
      <c r="F717" s="4" t="s">
        <v>55</v>
      </c>
      <c r="G717" s="4" t="s">
        <v>35</v>
      </c>
      <c r="H717" s="4" t="s">
        <v>45</v>
      </c>
      <c r="I717" s="6">
        <v>2</v>
      </c>
      <c r="J717" s="6">
        <v>9174</v>
      </c>
      <c r="K717" s="6">
        <v>7494.93</v>
      </c>
      <c r="L717" s="6">
        <v>1679.07</v>
      </c>
    </row>
    <row r="718" spans="1:12" x14ac:dyDescent="0.3">
      <c r="A718" s="4" t="s">
        <v>1305</v>
      </c>
      <c r="B718" s="5">
        <v>45643</v>
      </c>
      <c r="C718" s="4" t="s">
        <v>52</v>
      </c>
      <c r="D718" s="4" t="s">
        <v>746</v>
      </c>
      <c r="E718" s="4" t="s">
        <v>15</v>
      </c>
      <c r="F718" s="4" t="s">
        <v>90</v>
      </c>
      <c r="G718" s="4" t="s">
        <v>17</v>
      </c>
      <c r="H718" s="4" t="s">
        <v>31</v>
      </c>
      <c r="I718" s="6">
        <v>9</v>
      </c>
      <c r="J718" s="6">
        <v>25731</v>
      </c>
      <c r="K718" s="6">
        <v>18884.28</v>
      </c>
      <c r="L718" s="6">
        <v>6846.72</v>
      </c>
    </row>
    <row r="719" spans="1:12" x14ac:dyDescent="0.3">
      <c r="A719" s="4" t="s">
        <v>1306</v>
      </c>
      <c r="B719" s="5">
        <v>45593</v>
      </c>
      <c r="C719" s="4" t="s">
        <v>1307</v>
      </c>
      <c r="D719" s="4" t="s">
        <v>743</v>
      </c>
      <c r="E719" s="4" t="s">
        <v>22</v>
      </c>
      <c r="F719" s="4" t="s">
        <v>67</v>
      </c>
      <c r="G719" s="4" t="s">
        <v>35</v>
      </c>
      <c r="H719" s="4" t="s">
        <v>45</v>
      </c>
      <c r="I719" s="6">
        <v>8</v>
      </c>
      <c r="J719" s="6">
        <v>24120</v>
      </c>
      <c r="K719" s="6">
        <v>16312.47</v>
      </c>
      <c r="L719" s="6">
        <v>7807.53</v>
      </c>
    </row>
    <row r="720" spans="1:12" x14ac:dyDescent="0.3">
      <c r="A720" s="4" t="s">
        <v>1308</v>
      </c>
      <c r="B720" s="5">
        <v>45936</v>
      </c>
      <c r="C720" s="4" t="s">
        <v>1001</v>
      </c>
      <c r="D720" s="4" t="s">
        <v>1309</v>
      </c>
      <c r="E720" s="4" t="s">
        <v>15</v>
      </c>
      <c r="F720" s="4" t="s">
        <v>90</v>
      </c>
      <c r="G720" s="4" t="s">
        <v>17</v>
      </c>
      <c r="H720" s="4" t="s">
        <v>72</v>
      </c>
      <c r="I720" s="6">
        <v>5</v>
      </c>
      <c r="J720" s="6">
        <v>24585</v>
      </c>
      <c r="K720" s="6">
        <v>15442.65</v>
      </c>
      <c r="L720" s="6">
        <v>9142.35</v>
      </c>
    </row>
    <row r="721" spans="1:12" x14ac:dyDescent="0.3">
      <c r="A721" s="4" t="s">
        <v>1310</v>
      </c>
      <c r="B721" s="5">
        <v>45376</v>
      </c>
      <c r="C721" s="4" t="s">
        <v>239</v>
      </c>
      <c r="D721" s="4" t="s">
        <v>696</v>
      </c>
      <c r="E721" s="4" t="s">
        <v>29</v>
      </c>
      <c r="F721" s="4" t="s">
        <v>30</v>
      </c>
      <c r="G721" s="4" t="s">
        <v>24</v>
      </c>
      <c r="H721" s="4" t="s">
        <v>25</v>
      </c>
      <c r="I721" s="6">
        <v>5</v>
      </c>
      <c r="J721" s="6">
        <v>2615</v>
      </c>
      <c r="K721" s="6">
        <v>1663.26</v>
      </c>
      <c r="L721" s="6">
        <v>951.74</v>
      </c>
    </row>
    <row r="722" spans="1:12" x14ac:dyDescent="0.3">
      <c r="A722" s="4" t="s">
        <v>1311</v>
      </c>
      <c r="B722" s="5">
        <v>45555</v>
      </c>
      <c r="C722" s="4" t="s">
        <v>118</v>
      </c>
      <c r="D722" s="4" t="s">
        <v>987</v>
      </c>
      <c r="E722" s="4" t="s">
        <v>15</v>
      </c>
      <c r="F722" s="4" t="s">
        <v>63</v>
      </c>
      <c r="G722" s="4" t="s">
        <v>40</v>
      </c>
      <c r="H722" s="4" t="s">
        <v>99</v>
      </c>
      <c r="I722" s="6">
        <v>3</v>
      </c>
      <c r="J722" s="6">
        <v>7803</v>
      </c>
      <c r="K722" s="6">
        <v>4935.91</v>
      </c>
      <c r="L722" s="6">
        <v>2867.09</v>
      </c>
    </row>
    <row r="723" spans="1:12" x14ac:dyDescent="0.3">
      <c r="A723" s="4" t="s">
        <v>1312</v>
      </c>
      <c r="B723" s="5">
        <v>45471</v>
      </c>
      <c r="C723" s="4" t="s">
        <v>940</v>
      </c>
      <c r="D723" s="4" t="s">
        <v>508</v>
      </c>
      <c r="E723" s="4" t="s">
        <v>29</v>
      </c>
      <c r="F723" s="4" t="s">
        <v>30</v>
      </c>
      <c r="G723" s="4" t="s">
        <v>17</v>
      </c>
      <c r="H723" s="4" t="s">
        <v>18</v>
      </c>
      <c r="I723" s="6">
        <v>3</v>
      </c>
      <c r="J723" s="6">
        <v>11874</v>
      </c>
      <c r="K723" s="6">
        <v>7847.88</v>
      </c>
      <c r="L723" s="6">
        <v>4026.12</v>
      </c>
    </row>
    <row r="724" spans="1:12" x14ac:dyDescent="0.3">
      <c r="A724" s="4" t="s">
        <v>1313</v>
      </c>
      <c r="B724" s="5">
        <v>45440</v>
      </c>
      <c r="C724" s="4" t="s">
        <v>251</v>
      </c>
      <c r="D724" s="4" t="s">
        <v>775</v>
      </c>
      <c r="E724" s="4" t="s">
        <v>22</v>
      </c>
      <c r="F724" s="4" t="s">
        <v>23</v>
      </c>
      <c r="G724" s="4" t="s">
        <v>35</v>
      </c>
      <c r="H724" s="4" t="s">
        <v>45</v>
      </c>
      <c r="I724" s="6">
        <v>1</v>
      </c>
      <c r="J724" s="6">
        <v>3108</v>
      </c>
      <c r="K724" s="6">
        <v>2626.95</v>
      </c>
      <c r="L724" s="6">
        <v>481.05</v>
      </c>
    </row>
    <row r="725" spans="1:12" x14ac:dyDescent="0.3">
      <c r="A725" s="4" t="s">
        <v>1314</v>
      </c>
      <c r="B725" s="5">
        <v>45645</v>
      </c>
      <c r="C725" s="4" t="s">
        <v>771</v>
      </c>
      <c r="D725" s="4" t="s">
        <v>385</v>
      </c>
      <c r="E725" s="4" t="s">
        <v>22</v>
      </c>
      <c r="F725" s="4" t="s">
        <v>67</v>
      </c>
      <c r="G725" s="4" t="s">
        <v>40</v>
      </c>
      <c r="H725" s="4" t="s">
        <v>56</v>
      </c>
      <c r="I725" s="6">
        <v>8</v>
      </c>
      <c r="J725" s="6">
        <v>13360</v>
      </c>
      <c r="K725" s="6">
        <v>8193.11</v>
      </c>
      <c r="L725" s="6">
        <v>5166.8900000000003</v>
      </c>
    </row>
    <row r="726" spans="1:12" x14ac:dyDescent="0.3">
      <c r="A726" s="4" t="s">
        <v>1315</v>
      </c>
      <c r="B726" s="5">
        <v>45779</v>
      </c>
      <c r="C726" s="4" t="s">
        <v>92</v>
      </c>
      <c r="D726" s="4" t="s">
        <v>387</v>
      </c>
      <c r="E726" s="4" t="s">
        <v>15</v>
      </c>
      <c r="F726" s="4" t="s">
        <v>16</v>
      </c>
      <c r="G726" s="4" t="s">
        <v>24</v>
      </c>
      <c r="H726" s="4" t="s">
        <v>166</v>
      </c>
      <c r="I726" s="6">
        <v>8</v>
      </c>
      <c r="J726" s="6">
        <v>28528</v>
      </c>
      <c r="K726" s="6">
        <v>19766.18</v>
      </c>
      <c r="L726" s="6">
        <v>8761.82</v>
      </c>
    </row>
    <row r="727" spans="1:12" x14ac:dyDescent="0.3">
      <c r="A727" s="4" t="s">
        <v>1316</v>
      </c>
      <c r="B727" s="5">
        <v>45835</v>
      </c>
      <c r="C727" s="4" t="s">
        <v>176</v>
      </c>
      <c r="D727" s="4" t="s">
        <v>249</v>
      </c>
      <c r="E727" s="4" t="s">
        <v>22</v>
      </c>
      <c r="F727" s="4" t="s">
        <v>79</v>
      </c>
      <c r="G727" s="4" t="s">
        <v>17</v>
      </c>
      <c r="H727" s="4" t="s">
        <v>18</v>
      </c>
      <c r="I727" s="6">
        <v>7</v>
      </c>
      <c r="J727" s="6">
        <v>29309</v>
      </c>
      <c r="K727" s="6">
        <v>18429.13</v>
      </c>
      <c r="L727" s="6">
        <v>10879.87</v>
      </c>
    </row>
    <row r="728" spans="1:12" x14ac:dyDescent="0.3">
      <c r="A728" s="4" t="s">
        <v>1317</v>
      </c>
      <c r="B728" s="5">
        <v>45334</v>
      </c>
      <c r="C728" s="4" t="s">
        <v>1033</v>
      </c>
      <c r="D728" s="4" t="s">
        <v>610</v>
      </c>
      <c r="E728" s="4" t="s">
        <v>54</v>
      </c>
      <c r="F728" s="4" t="s">
        <v>55</v>
      </c>
      <c r="G728" s="4" t="s">
        <v>35</v>
      </c>
      <c r="H728" s="4" t="s">
        <v>36</v>
      </c>
      <c r="I728" s="6">
        <v>6</v>
      </c>
      <c r="J728" s="6">
        <v>27858</v>
      </c>
      <c r="K728" s="6">
        <v>21028.97</v>
      </c>
      <c r="L728" s="6">
        <v>6829.03</v>
      </c>
    </row>
    <row r="729" spans="1:12" x14ac:dyDescent="0.3">
      <c r="A729" s="4" t="s">
        <v>1318</v>
      </c>
      <c r="B729" s="5">
        <v>45392</v>
      </c>
      <c r="C729" s="4" t="s">
        <v>422</v>
      </c>
      <c r="D729" s="4" t="s">
        <v>221</v>
      </c>
      <c r="E729" s="4" t="s">
        <v>54</v>
      </c>
      <c r="F729" s="4" t="s">
        <v>55</v>
      </c>
      <c r="G729" s="4" t="s">
        <v>17</v>
      </c>
      <c r="H729" s="4" t="s">
        <v>72</v>
      </c>
      <c r="I729" s="6">
        <v>5</v>
      </c>
      <c r="J729" s="6">
        <v>15220</v>
      </c>
      <c r="K729" s="6">
        <v>9605.31</v>
      </c>
      <c r="L729" s="6">
        <v>5614.69</v>
      </c>
    </row>
    <row r="730" spans="1:12" x14ac:dyDescent="0.3">
      <c r="A730" s="4" t="s">
        <v>1319</v>
      </c>
      <c r="B730" s="5">
        <v>45985</v>
      </c>
      <c r="C730" s="4" t="s">
        <v>361</v>
      </c>
      <c r="D730" s="4" t="s">
        <v>127</v>
      </c>
      <c r="E730" s="4" t="s">
        <v>22</v>
      </c>
      <c r="F730" s="4" t="s">
        <v>67</v>
      </c>
      <c r="G730" s="4" t="s">
        <v>17</v>
      </c>
      <c r="H730" s="4" t="s">
        <v>31</v>
      </c>
      <c r="I730" s="6">
        <v>4</v>
      </c>
      <c r="J730" s="6">
        <v>7584</v>
      </c>
      <c r="K730" s="6">
        <v>5354.2</v>
      </c>
      <c r="L730" s="6">
        <v>2229.8000000000002</v>
      </c>
    </row>
    <row r="731" spans="1:12" x14ac:dyDescent="0.3">
      <c r="A731" s="4" t="s">
        <v>1320</v>
      </c>
      <c r="B731" s="5">
        <v>45829</v>
      </c>
      <c r="C731" s="4" t="s">
        <v>316</v>
      </c>
      <c r="D731" s="4" t="s">
        <v>639</v>
      </c>
      <c r="E731" s="4" t="s">
        <v>15</v>
      </c>
      <c r="F731" s="4" t="s">
        <v>90</v>
      </c>
      <c r="G731" s="4" t="s">
        <v>24</v>
      </c>
      <c r="H731" s="4" t="s">
        <v>25</v>
      </c>
      <c r="I731" s="6">
        <v>2</v>
      </c>
      <c r="J731" s="6">
        <v>794</v>
      </c>
      <c r="K731" s="6">
        <v>534.66</v>
      </c>
      <c r="L731" s="6">
        <v>259.33999999999997</v>
      </c>
    </row>
    <row r="732" spans="1:12" x14ac:dyDescent="0.3">
      <c r="A732" s="4" t="s">
        <v>1321</v>
      </c>
      <c r="B732" s="5">
        <v>45316</v>
      </c>
      <c r="C732" s="4" t="s">
        <v>152</v>
      </c>
      <c r="D732" s="4" t="s">
        <v>130</v>
      </c>
      <c r="E732" s="4" t="s">
        <v>54</v>
      </c>
      <c r="F732" s="4" t="s">
        <v>142</v>
      </c>
      <c r="G732" s="4" t="s">
        <v>17</v>
      </c>
      <c r="H732" s="4" t="s">
        <v>18</v>
      </c>
      <c r="I732" s="6">
        <v>5</v>
      </c>
      <c r="J732" s="6">
        <v>11815</v>
      </c>
      <c r="K732" s="6">
        <v>7182.62</v>
      </c>
      <c r="L732" s="6">
        <v>4632.38</v>
      </c>
    </row>
    <row r="733" spans="1:12" x14ac:dyDescent="0.3">
      <c r="A733" s="4" t="s">
        <v>1322</v>
      </c>
      <c r="B733" s="5">
        <v>45911</v>
      </c>
      <c r="C733" s="4" t="s">
        <v>451</v>
      </c>
      <c r="D733" s="4" t="s">
        <v>1063</v>
      </c>
      <c r="E733" s="4" t="s">
        <v>29</v>
      </c>
      <c r="F733" s="4" t="s">
        <v>30</v>
      </c>
      <c r="G733" s="4" t="s">
        <v>17</v>
      </c>
      <c r="H733" s="4" t="s">
        <v>31</v>
      </c>
      <c r="I733" s="6">
        <v>2</v>
      </c>
      <c r="J733" s="6">
        <v>2564</v>
      </c>
      <c r="K733" s="6">
        <v>1476.65</v>
      </c>
      <c r="L733" s="6">
        <v>1087.3499999999999</v>
      </c>
    </row>
    <row r="734" spans="1:12" x14ac:dyDescent="0.3">
      <c r="A734" s="4" t="s">
        <v>1323</v>
      </c>
      <c r="B734" s="5">
        <v>45968</v>
      </c>
      <c r="C734" s="4" t="s">
        <v>295</v>
      </c>
      <c r="D734" s="4" t="s">
        <v>1233</v>
      </c>
      <c r="E734" s="4" t="s">
        <v>29</v>
      </c>
      <c r="F734" s="4" t="s">
        <v>102</v>
      </c>
      <c r="G734" s="4" t="s">
        <v>17</v>
      </c>
      <c r="H734" s="4" t="s">
        <v>18</v>
      </c>
      <c r="I734" s="6">
        <v>3</v>
      </c>
      <c r="J734" s="6">
        <v>7125</v>
      </c>
      <c r="K734" s="6">
        <v>4548.3900000000003</v>
      </c>
      <c r="L734" s="6">
        <v>2576.61</v>
      </c>
    </row>
    <row r="735" spans="1:12" x14ac:dyDescent="0.3">
      <c r="A735" s="4" t="s">
        <v>1324</v>
      </c>
      <c r="B735" s="5">
        <v>45367</v>
      </c>
      <c r="C735" s="4" t="s">
        <v>1211</v>
      </c>
      <c r="D735" s="4" t="s">
        <v>478</v>
      </c>
      <c r="E735" s="4" t="s">
        <v>54</v>
      </c>
      <c r="F735" s="4" t="s">
        <v>55</v>
      </c>
      <c r="G735" s="4" t="s">
        <v>17</v>
      </c>
      <c r="H735" s="4" t="s">
        <v>18</v>
      </c>
      <c r="I735" s="6">
        <v>6</v>
      </c>
      <c r="J735" s="6">
        <v>14448</v>
      </c>
      <c r="K735" s="6">
        <v>8648.43</v>
      </c>
      <c r="L735" s="6">
        <v>5799.57</v>
      </c>
    </row>
    <row r="736" spans="1:12" x14ac:dyDescent="0.3">
      <c r="A736" s="4" t="s">
        <v>1325</v>
      </c>
      <c r="B736" s="5">
        <v>45563</v>
      </c>
      <c r="C736" s="4" t="s">
        <v>710</v>
      </c>
      <c r="D736" s="4" t="s">
        <v>347</v>
      </c>
      <c r="E736" s="4" t="s">
        <v>22</v>
      </c>
      <c r="F736" s="4" t="s">
        <v>67</v>
      </c>
      <c r="G736" s="4" t="s">
        <v>40</v>
      </c>
      <c r="H736" s="4" t="s">
        <v>41</v>
      </c>
      <c r="I736" s="6">
        <v>1</v>
      </c>
      <c r="J736" s="6">
        <v>2415</v>
      </c>
      <c r="K736" s="6">
        <v>2020.59</v>
      </c>
      <c r="L736" s="6">
        <v>394.41</v>
      </c>
    </row>
    <row r="737" spans="1:12" x14ac:dyDescent="0.3">
      <c r="A737" s="4" t="s">
        <v>1326</v>
      </c>
      <c r="B737" s="5">
        <v>45795</v>
      </c>
      <c r="C737" s="4" t="s">
        <v>113</v>
      </c>
      <c r="D737" s="4" t="s">
        <v>520</v>
      </c>
      <c r="E737" s="4" t="s">
        <v>15</v>
      </c>
      <c r="F737" s="4" t="s">
        <v>63</v>
      </c>
      <c r="G737" s="4" t="s">
        <v>40</v>
      </c>
      <c r="H737" s="4" t="s">
        <v>56</v>
      </c>
      <c r="I737" s="6">
        <v>10</v>
      </c>
      <c r="J737" s="6">
        <v>35160</v>
      </c>
      <c r="K737" s="6">
        <v>21220.21</v>
      </c>
      <c r="L737" s="6">
        <v>13939.79</v>
      </c>
    </row>
    <row r="738" spans="1:12" x14ac:dyDescent="0.3">
      <c r="A738" s="4" t="s">
        <v>1327</v>
      </c>
      <c r="B738" s="5">
        <v>45397</v>
      </c>
      <c r="C738" s="4" t="s">
        <v>1328</v>
      </c>
      <c r="D738" s="4" t="s">
        <v>681</v>
      </c>
      <c r="E738" s="4" t="s">
        <v>22</v>
      </c>
      <c r="F738" s="4" t="s">
        <v>23</v>
      </c>
      <c r="G738" s="4" t="s">
        <v>17</v>
      </c>
      <c r="H738" s="4" t="s">
        <v>72</v>
      </c>
      <c r="I738" s="6">
        <v>2</v>
      </c>
      <c r="J738" s="6">
        <v>7834</v>
      </c>
      <c r="K738" s="6">
        <v>5990.03</v>
      </c>
      <c r="L738" s="6">
        <v>1843.97</v>
      </c>
    </row>
    <row r="739" spans="1:12" x14ac:dyDescent="0.3">
      <c r="A739" s="4" t="s">
        <v>1329</v>
      </c>
      <c r="B739" s="5">
        <v>45801</v>
      </c>
      <c r="C739" s="4" t="s">
        <v>157</v>
      </c>
      <c r="D739" s="4" t="s">
        <v>322</v>
      </c>
      <c r="E739" s="4" t="s">
        <v>15</v>
      </c>
      <c r="F739" s="4" t="s">
        <v>90</v>
      </c>
      <c r="G739" s="4" t="s">
        <v>17</v>
      </c>
      <c r="H739" s="4" t="s">
        <v>18</v>
      </c>
      <c r="I739" s="6">
        <v>5</v>
      </c>
      <c r="J739" s="6">
        <v>19760</v>
      </c>
      <c r="K739" s="6">
        <v>10979.24</v>
      </c>
      <c r="L739" s="6">
        <v>8780.76</v>
      </c>
    </row>
    <row r="740" spans="1:12" x14ac:dyDescent="0.3">
      <c r="A740" s="4" t="s">
        <v>1330</v>
      </c>
      <c r="B740" s="5">
        <v>45692</v>
      </c>
      <c r="C740" s="4" t="s">
        <v>748</v>
      </c>
      <c r="D740" s="4" t="s">
        <v>338</v>
      </c>
      <c r="E740" s="4" t="s">
        <v>15</v>
      </c>
      <c r="F740" s="4" t="s">
        <v>90</v>
      </c>
      <c r="G740" s="4" t="s">
        <v>35</v>
      </c>
      <c r="H740" s="4" t="s">
        <v>36</v>
      </c>
      <c r="I740" s="6">
        <v>5</v>
      </c>
      <c r="J740" s="6">
        <v>7705</v>
      </c>
      <c r="K740" s="6">
        <v>5855.93</v>
      </c>
      <c r="L740" s="6">
        <v>1849.07</v>
      </c>
    </row>
    <row r="741" spans="1:12" x14ac:dyDescent="0.3">
      <c r="A741" s="4" t="s">
        <v>1331</v>
      </c>
      <c r="B741" s="5">
        <v>45295</v>
      </c>
      <c r="C741" s="4" t="s">
        <v>334</v>
      </c>
      <c r="D741" s="4" t="s">
        <v>977</v>
      </c>
      <c r="E741" s="4" t="s">
        <v>22</v>
      </c>
      <c r="F741" s="4" t="s">
        <v>67</v>
      </c>
      <c r="G741" s="4" t="s">
        <v>35</v>
      </c>
      <c r="H741" s="4" t="s">
        <v>36</v>
      </c>
      <c r="I741" s="6">
        <v>7</v>
      </c>
      <c r="J741" s="6">
        <v>6118</v>
      </c>
      <c r="K741" s="6">
        <v>4356.25</v>
      </c>
      <c r="L741" s="6">
        <v>1761.75</v>
      </c>
    </row>
    <row r="742" spans="1:12" x14ac:dyDescent="0.3">
      <c r="A742" s="4" t="s">
        <v>1332</v>
      </c>
      <c r="B742" s="5">
        <v>45702</v>
      </c>
      <c r="C742" s="4" t="s">
        <v>58</v>
      </c>
      <c r="D742" s="4" t="s">
        <v>439</v>
      </c>
      <c r="E742" s="4" t="s">
        <v>15</v>
      </c>
      <c r="F742" s="4" t="s">
        <v>90</v>
      </c>
      <c r="G742" s="4" t="s">
        <v>35</v>
      </c>
      <c r="H742" s="4" t="s">
        <v>45</v>
      </c>
      <c r="I742" s="6">
        <v>6</v>
      </c>
      <c r="J742" s="6">
        <v>18186</v>
      </c>
      <c r="K742" s="6">
        <v>13722.26</v>
      </c>
      <c r="L742" s="6">
        <v>4463.74</v>
      </c>
    </row>
    <row r="743" spans="1:12" x14ac:dyDescent="0.3">
      <c r="A743" s="4" t="s">
        <v>1333</v>
      </c>
      <c r="B743" s="5">
        <v>45588</v>
      </c>
      <c r="C743" s="4" t="s">
        <v>1232</v>
      </c>
      <c r="D743" s="4" t="s">
        <v>1334</v>
      </c>
      <c r="E743" s="4" t="s">
        <v>54</v>
      </c>
      <c r="F743" s="4" t="s">
        <v>71</v>
      </c>
      <c r="G743" s="4" t="s">
        <v>40</v>
      </c>
      <c r="H743" s="4" t="s">
        <v>41</v>
      </c>
      <c r="I743" s="6">
        <v>2</v>
      </c>
      <c r="J743" s="6">
        <v>8130</v>
      </c>
      <c r="K743" s="6">
        <v>6326.25</v>
      </c>
      <c r="L743" s="6">
        <v>1803.75</v>
      </c>
    </row>
    <row r="744" spans="1:12" x14ac:dyDescent="0.3">
      <c r="A744" s="4" t="s">
        <v>1335</v>
      </c>
      <c r="B744" s="5">
        <v>45401</v>
      </c>
      <c r="C744" s="4" t="s">
        <v>371</v>
      </c>
      <c r="D744" s="4" t="s">
        <v>124</v>
      </c>
      <c r="E744" s="4" t="s">
        <v>15</v>
      </c>
      <c r="F744" s="4" t="s">
        <v>63</v>
      </c>
      <c r="G744" s="4" t="s">
        <v>17</v>
      </c>
      <c r="H744" s="4" t="s">
        <v>31</v>
      </c>
      <c r="I744" s="6">
        <v>4</v>
      </c>
      <c r="J744" s="6">
        <v>10992</v>
      </c>
      <c r="K744" s="6">
        <v>8340.34</v>
      </c>
      <c r="L744" s="6">
        <v>2651.66</v>
      </c>
    </row>
    <row r="745" spans="1:12" x14ac:dyDescent="0.3">
      <c r="A745" s="4" t="s">
        <v>1336</v>
      </c>
      <c r="B745" s="5">
        <v>45317</v>
      </c>
      <c r="C745" s="4" t="s">
        <v>1337</v>
      </c>
      <c r="D745" s="4" t="s">
        <v>762</v>
      </c>
      <c r="E745" s="4" t="s">
        <v>15</v>
      </c>
      <c r="F745" s="4" t="s">
        <v>90</v>
      </c>
      <c r="G745" s="4" t="s">
        <v>35</v>
      </c>
      <c r="H745" s="4" t="s">
        <v>80</v>
      </c>
      <c r="I745" s="6">
        <v>4</v>
      </c>
      <c r="J745" s="6">
        <v>5784</v>
      </c>
      <c r="K745" s="6">
        <v>3243.14</v>
      </c>
      <c r="L745" s="6">
        <v>2540.86</v>
      </c>
    </row>
    <row r="746" spans="1:12" x14ac:dyDescent="0.3">
      <c r="A746" s="4" t="s">
        <v>1338</v>
      </c>
      <c r="B746" s="5">
        <v>45752</v>
      </c>
      <c r="C746" s="4" t="s">
        <v>688</v>
      </c>
      <c r="D746" s="4" t="s">
        <v>319</v>
      </c>
      <c r="E746" s="4" t="s">
        <v>22</v>
      </c>
      <c r="F746" s="4" t="s">
        <v>23</v>
      </c>
      <c r="G746" s="4" t="s">
        <v>35</v>
      </c>
      <c r="H746" s="4" t="s">
        <v>45</v>
      </c>
      <c r="I746" s="6">
        <v>5</v>
      </c>
      <c r="J746" s="6">
        <v>21965</v>
      </c>
      <c r="K746" s="6">
        <v>15599.15</v>
      </c>
      <c r="L746" s="6">
        <v>6365.85</v>
      </c>
    </row>
    <row r="747" spans="1:12" x14ac:dyDescent="0.3">
      <c r="A747" s="4" t="s">
        <v>1339</v>
      </c>
      <c r="B747" s="5">
        <v>45961</v>
      </c>
      <c r="C747" s="4" t="s">
        <v>826</v>
      </c>
      <c r="D747" s="4" t="s">
        <v>138</v>
      </c>
      <c r="E747" s="4" t="s">
        <v>54</v>
      </c>
      <c r="F747" s="4" t="s">
        <v>142</v>
      </c>
      <c r="G747" s="4" t="s">
        <v>40</v>
      </c>
      <c r="H747" s="4" t="s">
        <v>41</v>
      </c>
      <c r="I747" s="6">
        <v>1</v>
      </c>
      <c r="J747" s="6">
        <v>3621</v>
      </c>
      <c r="K747" s="6">
        <v>2119.94</v>
      </c>
      <c r="L747" s="6">
        <v>1501.06</v>
      </c>
    </row>
    <row r="748" spans="1:12" x14ac:dyDescent="0.3">
      <c r="A748" s="4" t="s">
        <v>1340</v>
      </c>
      <c r="B748" s="5">
        <v>45436</v>
      </c>
      <c r="C748" s="4" t="s">
        <v>904</v>
      </c>
      <c r="D748" s="4" t="s">
        <v>453</v>
      </c>
      <c r="E748" s="4" t="s">
        <v>29</v>
      </c>
      <c r="F748" s="4" t="s">
        <v>30</v>
      </c>
      <c r="G748" s="4" t="s">
        <v>17</v>
      </c>
      <c r="H748" s="4" t="s">
        <v>72</v>
      </c>
      <c r="I748" s="6">
        <v>4</v>
      </c>
      <c r="J748" s="6">
        <v>3560</v>
      </c>
      <c r="K748" s="6">
        <v>1997.39</v>
      </c>
      <c r="L748" s="6">
        <v>1562.61</v>
      </c>
    </row>
    <row r="749" spans="1:12" x14ac:dyDescent="0.3">
      <c r="A749" s="4" t="s">
        <v>1341</v>
      </c>
      <c r="B749" s="5">
        <v>45939</v>
      </c>
      <c r="C749" s="4" t="s">
        <v>374</v>
      </c>
      <c r="D749" s="4" t="s">
        <v>656</v>
      </c>
      <c r="E749" s="4" t="s">
        <v>22</v>
      </c>
      <c r="F749" s="4" t="s">
        <v>79</v>
      </c>
      <c r="G749" s="4" t="s">
        <v>24</v>
      </c>
      <c r="H749" s="4" t="s">
        <v>25</v>
      </c>
      <c r="I749" s="6">
        <v>4</v>
      </c>
      <c r="J749" s="6">
        <v>5476</v>
      </c>
      <c r="K749" s="6">
        <v>3035.4</v>
      </c>
      <c r="L749" s="6">
        <v>2440.6</v>
      </c>
    </row>
    <row r="750" spans="1:12" x14ac:dyDescent="0.3">
      <c r="A750" s="4" t="s">
        <v>1342</v>
      </c>
      <c r="B750" s="5">
        <v>45400</v>
      </c>
      <c r="C750" s="4" t="s">
        <v>77</v>
      </c>
      <c r="D750" s="4" t="s">
        <v>375</v>
      </c>
      <c r="E750" s="4" t="s">
        <v>15</v>
      </c>
      <c r="F750" s="4" t="s">
        <v>63</v>
      </c>
      <c r="G750" s="4" t="s">
        <v>17</v>
      </c>
      <c r="H750" s="4" t="s">
        <v>72</v>
      </c>
      <c r="I750" s="6">
        <v>3</v>
      </c>
      <c r="J750" s="6">
        <v>2469</v>
      </c>
      <c r="K750" s="6">
        <v>1963.69</v>
      </c>
      <c r="L750" s="6">
        <v>505.31</v>
      </c>
    </row>
    <row r="751" spans="1:12" x14ac:dyDescent="0.3">
      <c r="A751" s="4" t="s">
        <v>1343</v>
      </c>
      <c r="B751" s="5">
        <v>45986</v>
      </c>
      <c r="C751" s="4" t="s">
        <v>636</v>
      </c>
      <c r="D751" s="4" t="s">
        <v>1180</v>
      </c>
      <c r="E751" s="4" t="s">
        <v>29</v>
      </c>
      <c r="F751" s="4" t="s">
        <v>102</v>
      </c>
      <c r="G751" s="4" t="s">
        <v>40</v>
      </c>
      <c r="H751" s="4" t="s">
        <v>56</v>
      </c>
      <c r="I751" s="6">
        <v>7</v>
      </c>
      <c r="J751" s="6">
        <v>21441</v>
      </c>
      <c r="K751" s="6">
        <v>17012.5</v>
      </c>
      <c r="L751" s="6">
        <v>4428.5</v>
      </c>
    </row>
    <row r="752" spans="1:12" x14ac:dyDescent="0.3">
      <c r="A752" s="4" t="s">
        <v>1344</v>
      </c>
      <c r="B752" s="5">
        <v>45510</v>
      </c>
      <c r="C752" s="4" t="s">
        <v>446</v>
      </c>
      <c r="D752" s="4" t="s">
        <v>466</v>
      </c>
      <c r="E752" s="4" t="s">
        <v>15</v>
      </c>
      <c r="F752" s="4" t="s">
        <v>90</v>
      </c>
      <c r="G752" s="4" t="s">
        <v>17</v>
      </c>
      <c r="H752" s="4" t="s">
        <v>72</v>
      </c>
      <c r="I752" s="6">
        <v>9</v>
      </c>
      <c r="J752" s="6">
        <v>12825</v>
      </c>
      <c r="K752" s="6">
        <v>8291.07</v>
      </c>
      <c r="L752" s="6">
        <v>4533.93</v>
      </c>
    </row>
    <row r="753" spans="1:12" x14ac:dyDescent="0.3">
      <c r="A753" s="4" t="s">
        <v>1345</v>
      </c>
      <c r="B753" s="5">
        <v>45464</v>
      </c>
      <c r="C753" s="4" t="s">
        <v>906</v>
      </c>
      <c r="D753" s="4" t="s">
        <v>399</v>
      </c>
      <c r="E753" s="4" t="s">
        <v>54</v>
      </c>
      <c r="F753" s="4" t="s">
        <v>142</v>
      </c>
      <c r="G753" s="4" t="s">
        <v>24</v>
      </c>
      <c r="H753" s="4" t="s">
        <v>50</v>
      </c>
      <c r="I753" s="6">
        <v>5</v>
      </c>
      <c r="J753" s="6">
        <v>7285</v>
      </c>
      <c r="K753" s="6">
        <v>5662.38</v>
      </c>
      <c r="L753" s="6">
        <v>1622.62</v>
      </c>
    </row>
    <row r="754" spans="1:12" x14ac:dyDescent="0.3">
      <c r="A754" s="4" t="s">
        <v>1346</v>
      </c>
      <c r="B754" s="5">
        <v>45939</v>
      </c>
      <c r="C754" s="4" t="s">
        <v>718</v>
      </c>
      <c r="D754" s="4" t="s">
        <v>296</v>
      </c>
      <c r="E754" s="4" t="s">
        <v>29</v>
      </c>
      <c r="F754" s="4" t="s">
        <v>49</v>
      </c>
      <c r="G754" s="4" t="s">
        <v>40</v>
      </c>
      <c r="H754" s="4" t="s">
        <v>56</v>
      </c>
      <c r="I754" s="6">
        <v>10</v>
      </c>
      <c r="J754" s="6">
        <v>6330</v>
      </c>
      <c r="K754" s="6">
        <v>3734.77</v>
      </c>
      <c r="L754" s="6">
        <v>2595.23</v>
      </c>
    </row>
    <row r="755" spans="1:12" x14ac:dyDescent="0.3">
      <c r="A755" s="4" t="s">
        <v>1347</v>
      </c>
      <c r="B755" s="5">
        <v>45383</v>
      </c>
      <c r="C755" s="4" t="s">
        <v>810</v>
      </c>
      <c r="D755" s="4" t="s">
        <v>626</v>
      </c>
      <c r="E755" s="4" t="s">
        <v>15</v>
      </c>
      <c r="F755" s="4" t="s">
        <v>63</v>
      </c>
      <c r="G755" s="4" t="s">
        <v>24</v>
      </c>
      <c r="H755" s="4" t="s">
        <v>50</v>
      </c>
      <c r="I755" s="6">
        <v>1</v>
      </c>
      <c r="J755" s="6">
        <v>359</v>
      </c>
      <c r="K755" s="6">
        <v>216.77</v>
      </c>
      <c r="L755" s="6">
        <v>142.22999999999999</v>
      </c>
    </row>
    <row r="756" spans="1:12" x14ac:dyDescent="0.3">
      <c r="A756" s="4" t="s">
        <v>1348</v>
      </c>
      <c r="B756" s="5">
        <v>45827</v>
      </c>
      <c r="C756" s="4" t="s">
        <v>290</v>
      </c>
      <c r="D756" s="4" t="s">
        <v>428</v>
      </c>
      <c r="E756" s="4" t="s">
        <v>22</v>
      </c>
      <c r="F756" s="4" t="s">
        <v>79</v>
      </c>
      <c r="G756" s="4" t="s">
        <v>24</v>
      </c>
      <c r="H756" s="4" t="s">
        <v>166</v>
      </c>
      <c r="I756" s="6">
        <v>4</v>
      </c>
      <c r="J756" s="6">
        <v>5888</v>
      </c>
      <c r="K756" s="6">
        <v>4368.59</v>
      </c>
      <c r="L756" s="6">
        <v>1519.41</v>
      </c>
    </row>
    <row r="757" spans="1:12" x14ac:dyDescent="0.3">
      <c r="A757" s="4" t="s">
        <v>1349</v>
      </c>
      <c r="B757" s="5">
        <v>45918</v>
      </c>
      <c r="C757" s="4" t="s">
        <v>890</v>
      </c>
      <c r="D757" s="4" t="s">
        <v>1350</v>
      </c>
      <c r="E757" s="4" t="s">
        <v>29</v>
      </c>
      <c r="F757" s="4" t="s">
        <v>102</v>
      </c>
      <c r="G757" s="4" t="s">
        <v>17</v>
      </c>
      <c r="H757" s="4" t="s">
        <v>72</v>
      </c>
      <c r="I757" s="6">
        <v>1</v>
      </c>
      <c r="J757" s="6">
        <v>1774</v>
      </c>
      <c r="K757" s="6">
        <v>1357.39</v>
      </c>
      <c r="L757" s="6">
        <v>416.61</v>
      </c>
    </row>
    <row r="758" spans="1:12" x14ac:dyDescent="0.3">
      <c r="A758" s="4" t="s">
        <v>1351</v>
      </c>
      <c r="B758" s="5">
        <v>45834</v>
      </c>
      <c r="C758" s="4" t="s">
        <v>993</v>
      </c>
      <c r="D758" s="4" t="s">
        <v>459</v>
      </c>
      <c r="E758" s="4" t="s">
        <v>54</v>
      </c>
      <c r="F758" s="4" t="s">
        <v>55</v>
      </c>
      <c r="G758" s="4" t="s">
        <v>24</v>
      </c>
      <c r="H758" s="4" t="s">
        <v>25</v>
      </c>
      <c r="I758" s="6">
        <v>9</v>
      </c>
      <c r="J758" s="6">
        <v>20070</v>
      </c>
      <c r="K758" s="6">
        <v>12193.95</v>
      </c>
      <c r="L758" s="6">
        <v>7876.05</v>
      </c>
    </row>
    <row r="759" spans="1:12" x14ac:dyDescent="0.3">
      <c r="A759" s="4" t="s">
        <v>1352</v>
      </c>
      <c r="B759" s="5">
        <v>45407</v>
      </c>
      <c r="C759" s="4" t="s">
        <v>157</v>
      </c>
      <c r="D759" s="4" t="s">
        <v>108</v>
      </c>
      <c r="E759" s="4" t="s">
        <v>29</v>
      </c>
      <c r="F759" s="4" t="s">
        <v>49</v>
      </c>
      <c r="G759" s="4" t="s">
        <v>17</v>
      </c>
      <c r="H759" s="4" t="s">
        <v>31</v>
      </c>
      <c r="I759" s="6">
        <v>4</v>
      </c>
      <c r="J759" s="6">
        <v>10256</v>
      </c>
      <c r="K759" s="6">
        <v>5804.08</v>
      </c>
      <c r="L759" s="6">
        <v>4451.92</v>
      </c>
    </row>
    <row r="760" spans="1:12" x14ac:dyDescent="0.3">
      <c r="A760" s="4" t="s">
        <v>1353</v>
      </c>
      <c r="B760" s="5">
        <v>45583</v>
      </c>
      <c r="C760" s="4" t="s">
        <v>149</v>
      </c>
      <c r="D760" s="4" t="s">
        <v>252</v>
      </c>
      <c r="E760" s="4" t="s">
        <v>22</v>
      </c>
      <c r="F760" s="4" t="s">
        <v>23</v>
      </c>
      <c r="G760" s="4" t="s">
        <v>24</v>
      </c>
      <c r="H760" s="4" t="s">
        <v>166</v>
      </c>
      <c r="I760" s="6">
        <v>1</v>
      </c>
      <c r="J760" s="6">
        <v>742</v>
      </c>
      <c r="K760" s="6">
        <v>551.65</v>
      </c>
      <c r="L760" s="6">
        <v>190.35</v>
      </c>
    </row>
    <row r="761" spans="1:12" x14ac:dyDescent="0.3">
      <c r="A761" s="4" t="s">
        <v>1354</v>
      </c>
      <c r="B761" s="5">
        <v>45345</v>
      </c>
      <c r="C761" s="4" t="s">
        <v>140</v>
      </c>
      <c r="D761" s="4" t="s">
        <v>1334</v>
      </c>
      <c r="E761" s="4" t="s">
        <v>54</v>
      </c>
      <c r="F761" s="4" t="s">
        <v>55</v>
      </c>
      <c r="G761" s="4" t="s">
        <v>17</v>
      </c>
      <c r="H761" s="4" t="s">
        <v>72</v>
      </c>
      <c r="I761" s="6">
        <v>8</v>
      </c>
      <c r="J761" s="6">
        <v>5232</v>
      </c>
      <c r="K761" s="6">
        <v>3041.5</v>
      </c>
      <c r="L761" s="6">
        <v>2190.5</v>
      </c>
    </row>
    <row r="762" spans="1:12" x14ac:dyDescent="0.3">
      <c r="A762" s="4" t="s">
        <v>1355</v>
      </c>
      <c r="B762" s="5">
        <v>45532</v>
      </c>
      <c r="C762" s="4" t="s">
        <v>500</v>
      </c>
      <c r="D762" s="4" t="s">
        <v>1309</v>
      </c>
      <c r="E762" s="4" t="s">
        <v>29</v>
      </c>
      <c r="F762" s="4" t="s">
        <v>102</v>
      </c>
      <c r="G762" s="4" t="s">
        <v>35</v>
      </c>
      <c r="H762" s="4" t="s">
        <v>80</v>
      </c>
      <c r="I762" s="6">
        <v>9</v>
      </c>
      <c r="J762" s="6">
        <v>11250</v>
      </c>
      <c r="K762" s="6">
        <v>6426.65</v>
      </c>
      <c r="L762" s="6">
        <v>4823.3500000000004</v>
      </c>
    </row>
    <row r="763" spans="1:12" x14ac:dyDescent="0.3">
      <c r="A763" s="4" t="s">
        <v>1356</v>
      </c>
      <c r="B763" s="5">
        <v>45625</v>
      </c>
      <c r="C763" s="4" t="s">
        <v>1357</v>
      </c>
      <c r="D763" s="4" t="s">
        <v>417</v>
      </c>
      <c r="E763" s="4" t="s">
        <v>54</v>
      </c>
      <c r="F763" s="4" t="s">
        <v>55</v>
      </c>
      <c r="G763" s="4" t="s">
        <v>40</v>
      </c>
      <c r="H763" s="4" t="s">
        <v>56</v>
      </c>
      <c r="I763" s="6">
        <v>6</v>
      </c>
      <c r="J763" s="6">
        <v>13104</v>
      </c>
      <c r="K763" s="6">
        <v>10269.51</v>
      </c>
      <c r="L763" s="6">
        <v>2834.49</v>
      </c>
    </row>
    <row r="764" spans="1:12" x14ac:dyDescent="0.3">
      <c r="A764" s="4" t="s">
        <v>1358</v>
      </c>
      <c r="B764" s="5">
        <v>45367</v>
      </c>
      <c r="C764" s="4" t="s">
        <v>1055</v>
      </c>
      <c r="D764" s="4" t="s">
        <v>221</v>
      </c>
      <c r="E764" s="4" t="s">
        <v>29</v>
      </c>
      <c r="F764" s="4" t="s">
        <v>30</v>
      </c>
      <c r="G764" s="4" t="s">
        <v>35</v>
      </c>
      <c r="H764" s="4" t="s">
        <v>36</v>
      </c>
      <c r="I764" s="6">
        <v>4</v>
      </c>
      <c r="J764" s="6">
        <v>13504</v>
      </c>
      <c r="K764" s="6">
        <v>11038.3</v>
      </c>
      <c r="L764" s="6">
        <v>2465.6999999999998</v>
      </c>
    </row>
    <row r="765" spans="1:12" x14ac:dyDescent="0.3">
      <c r="A765" s="4" t="s">
        <v>1359</v>
      </c>
      <c r="B765" s="5">
        <v>45757</v>
      </c>
      <c r="C765" s="4" t="s">
        <v>710</v>
      </c>
      <c r="D765" s="4" t="s">
        <v>944</v>
      </c>
      <c r="E765" s="4" t="s">
        <v>22</v>
      </c>
      <c r="F765" s="4" t="s">
        <v>23</v>
      </c>
      <c r="G765" s="4" t="s">
        <v>35</v>
      </c>
      <c r="H765" s="4" t="s">
        <v>36</v>
      </c>
      <c r="I765" s="6">
        <v>3</v>
      </c>
      <c r="J765" s="6">
        <v>6210</v>
      </c>
      <c r="K765" s="6">
        <v>5144.1499999999996</v>
      </c>
      <c r="L765" s="6">
        <v>1065.8499999999999</v>
      </c>
    </row>
    <row r="766" spans="1:12" x14ac:dyDescent="0.3">
      <c r="A766" s="4" t="s">
        <v>1360</v>
      </c>
      <c r="B766" s="5">
        <v>45499</v>
      </c>
      <c r="C766" s="4" t="s">
        <v>195</v>
      </c>
      <c r="D766" s="4" t="s">
        <v>1361</v>
      </c>
      <c r="E766" s="4" t="s">
        <v>54</v>
      </c>
      <c r="F766" s="4" t="s">
        <v>142</v>
      </c>
      <c r="G766" s="4" t="s">
        <v>35</v>
      </c>
      <c r="H766" s="4" t="s">
        <v>80</v>
      </c>
      <c r="I766" s="6">
        <v>4</v>
      </c>
      <c r="J766" s="6">
        <v>12948</v>
      </c>
      <c r="K766" s="6">
        <v>10910.85</v>
      </c>
      <c r="L766" s="6">
        <v>2037.15</v>
      </c>
    </row>
    <row r="767" spans="1:12" x14ac:dyDescent="0.3">
      <c r="A767" s="4" t="s">
        <v>1362</v>
      </c>
      <c r="B767" s="5">
        <v>45768</v>
      </c>
      <c r="C767" s="4" t="s">
        <v>516</v>
      </c>
      <c r="D767" s="4" t="s">
        <v>223</v>
      </c>
      <c r="E767" s="4" t="s">
        <v>15</v>
      </c>
      <c r="F767" s="4" t="s">
        <v>90</v>
      </c>
      <c r="G767" s="4" t="s">
        <v>17</v>
      </c>
      <c r="H767" s="4" t="s">
        <v>72</v>
      </c>
      <c r="I767" s="6">
        <v>1</v>
      </c>
      <c r="J767" s="6">
        <v>2598</v>
      </c>
      <c r="K767" s="6">
        <v>1535.29</v>
      </c>
      <c r="L767" s="6">
        <v>1062.71</v>
      </c>
    </row>
    <row r="768" spans="1:12" x14ac:dyDescent="0.3">
      <c r="A768" s="4" t="s">
        <v>1363</v>
      </c>
      <c r="B768" s="5">
        <v>45945</v>
      </c>
      <c r="C768" s="4" t="s">
        <v>1364</v>
      </c>
      <c r="D768" s="4" t="s">
        <v>311</v>
      </c>
      <c r="E768" s="4" t="s">
        <v>29</v>
      </c>
      <c r="F768" s="4" t="s">
        <v>49</v>
      </c>
      <c r="G768" s="4" t="s">
        <v>40</v>
      </c>
      <c r="H768" s="4" t="s">
        <v>56</v>
      </c>
      <c r="I768" s="6">
        <v>5</v>
      </c>
      <c r="J768" s="6">
        <v>7920</v>
      </c>
      <c r="K768" s="6">
        <v>6231.96</v>
      </c>
      <c r="L768" s="6">
        <v>1688.04</v>
      </c>
    </row>
    <row r="769" spans="1:12" x14ac:dyDescent="0.3">
      <c r="A769" s="4" t="s">
        <v>1365</v>
      </c>
      <c r="B769" s="5">
        <v>45513</v>
      </c>
      <c r="C769" s="4" t="s">
        <v>1001</v>
      </c>
      <c r="D769" s="4" t="s">
        <v>1282</v>
      </c>
      <c r="E769" s="4" t="s">
        <v>29</v>
      </c>
      <c r="F769" s="4" t="s">
        <v>102</v>
      </c>
      <c r="G769" s="4" t="s">
        <v>35</v>
      </c>
      <c r="H769" s="4" t="s">
        <v>36</v>
      </c>
      <c r="I769" s="6">
        <v>9</v>
      </c>
      <c r="J769" s="6">
        <v>38763</v>
      </c>
      <c r="K769" s="6">
        <v>31346.080000000002</v>
      </c>
      <c r="L769" s="6">
        <v>7416.92</v>
      </c>
    </row>
    <row r="770" spans="1:12" x14ac:dyDescent="0.3">
      <c r="A770" s="4" t="s">
        <v>1366</v>
      </c>
      <c r="B770" s="5">
        <v>45736</v>
      </c>
      <c r="C770" s="4" t="s">
        <v>379</v>
      </c>
      <c r="D770" s="4" t="s">
        <v>749</v>
      </c>
      <c r="E770" s="4" t="s">
        <v>54</v>
      </c>
      <c r="F770" s="4" t="s">
        <v>142</v>
      </c>
      <c r="G770" s="4" t="s">
        <v>17</v>
      </c>
      <c r="H770" s="4" t="s">
        <v>18</v>
      </c>
      <c r="I770" s="6">
        <v>7</v>
      </c>
      <c r="J770" s="6">
        <v>16240</v>
      </c>
      <c r="K770" s="6">
        <v>10139.43</v>
      </c>
      <c r="L770" s="6">
        <v>6100.57</v>
      </c>
    </row>
    <row r="771" spans="1:12" x14ac:dyDescent="0.3">
      <c r="A771" s="4" t="s">
        <v>1367</v>
      </c>
      <c r="B771" s="5">
        <v>45773</v>
      </c>
      <c r="C771" s="4" t="s">
        <v>1193</v>
      </c>
      <c r="D771" s="4" t="s">
        <v>1153</v>
      </c>
      <c r="E771" s="4" t="s">
        <v>29</v>
      </c>
      <c r="F771" s="4" t="s">
        <v>30</v>
      </c>
      <c r="G771" s="4" t="s">
        <v>24</v>
      </c>
      <c r="H771" s="4" t="s">
        <v>25</v>
      </c>
      <c r="I771" s="6">
        <v>7</v>
      </c>
      <c r="J771" s="6">
        <v>4634</v>
      </c>
      <c r="K771" s="6">
        <v>2604.39</v>
      </c>
      <c r="L771" s="6">
        <v>2029.61</v>
      </c>
    </row>
    <row r="772" spans="1:12" x14ac:dyDescent="0.3">
      <c r="A772" s="4" t="s">
        <v>1368</v>
      </c>
      <c r="B772" s="5">
        <v>45538</v>
      </c>
      <c r="C772" s="4" t="s">
        <v>821</v>
      </c>
      <c r="D772" s="4" t="s">
        <v>612</v>
      </c>
      <c r="E772" s="4" t="s">
        <v>22</v>
      </c>
      <c r="F772" s="4" t="s">
        <v>79</v>
      </c>
      <c r="G772" s="4" t="s">
        <v>35</v>
      </c>
      <c r="H772" s="4" t="s">
        <v>36</v>
      </c>
      <c r="I772" s="6">
        <v>8</v>
      </c>
      <c r="J772" s="6">
        <v>8816</v>
      </c>
      <c r="K772" s="6">
        <v>6045.42</v>
      </c>
      <c r="L772" s="6">
        <v>2770.58</v>
      </c>
    </row>
    <row r="773" spans="1:12" x14ac:dyDescent="0.3">
      <c r="A773" s="4" t="s">
        <v>1369</v>
      </c>
      <c r="B773" s="5">
        <v>45594</v>
      </c>
      <c r="C773" s="4" t="s">
        <v>1337</v>
      </c>
      <c r="D773" s="4" t="s">
        <v>439</v>
      </c>
      <c r="E773" s="4" t="s">
        <v>15</v>
      </c>
      <c r="F773" s="4" t="s">
        <v>90</v>
      </c>
      <c r="G773" s="4" t="s">
        <v>17</v>
      </c>
      <c r="H773" s="4" t="s">
        <v>18</v>
      </c>
      <c r="I773" s="6">
        <v>7</v>
      </c>
      <c r="J773" s="6">
        <v>14595</v>
      </c>
      <c r="K773" s="6">
        <v>8608.33</v>
      </c>
      <c r="L773" s="6">
        <v>5986.67</v>
      </c>
    </row>
    <row r="774" spans="1:12" x14ac:dyDescent="0.3">
      <c r="A774" s="4" t="s">
        <v>1370</v>
      </c>
      <c r="B774" s="5">
        <v>45876</v>
      </c>
      <c r="C774" s="4" t="s">
        <v>1371</v>
      </c>
      <c r="D774" s="4" t="s">
        <v>1372</v>
      </c>
      <c r="E774" s="4" t="s">
        <v>15</v>
      </c>
      <c r="F774" s="4" t="s">
        <v>63</v>
      </c>
      <c r="G774" s="4" t="s">
        <v>17</v>
      </c>
      <c r="H774" s="4" t="s">
        <v>31</v>
      </c>
      <c r="I774" s="6">
        <v>5</v>
      </c>
      <c r="J774" s="6">
        <v>8125</v>
      </c>
      <c r="K774" s="6">
        <v>6183.05</v>
      </c>
      <c r="L774" s="6">
        <v>1941.95</v>
      </c>
    </row>
    <row r="775" spans="1:12" x14ac:dyDescent="0.3">
      <c r="A775" s="4" t="s">
        <v>1373</v>
      </c>
      <c r="B775" s="5">
        <v>45671</v>
      </c>
      <c r="C775" s="4" t="s">
        <v>579</v>
      </c>
      <c r="D775" s="4" t="s">
        <v>322</v>
      </c>
      <c r="E775" s="4" t="s">
        <v>22</v>
      </c>
      <c r="F775" s="4" t="s">
        <v>67</v>
      </c>
      <c r="G775" s="4" t="s">
        <v>24</v>
      </c>
      <c r="H775" s="4" t="s">
        <v>166</v>
      </c>
      <c r="I775" s="6">
        <v>7</v>
      </c>
      <c r="J775" s="6">
        <v>12705</v>
      </c>
      <c r="K775" s="6">
        <v>9998.2999999999993</v>
      </c>
      <c r="L775" s="6">
        <v>2706.7</v>
      </c>
    </row>
    <row r="776" spans="1:12" x14ac:dyDescent="0.3">
      <c r="A776" s="4" t="s">
        <v>1374</v>
      </c>
      <c r="B776" s="5">
        <v>45728</v>
      </c>
      <c r="C776" s="4" t="s">
        <v>271</v>
      </c>
      <c r="D776" s="4" t="s">
        <v>1375</v>
      </c>
      <c r="E776" s="4" t="s">
        <v>15</v>
      </c>
      <c r="F776" s="4" t="s">
        <v>63</v>
      </c>
      <c r="G776" s="4" t="s">
        <v>17</v>
      </c>
      <c r="H776" s="4" t="s">
        <v>18</v>
      </c>
      <c r="I776" s="6">
        <v>6</v>
      </c>
      <c r="J776" s="6">
        <v>27894</v>
      </c>
      <c r="K776" s="6">
        <v>15615.46</v>
      </c>
      <c r="L776" s="6">
        <v>12278.54</v>
      </c>
    </row>
    <row r="777" spans="1:12" x14ac:dyDescent="0.3">
      <c r="A777" s="4" t="s">
        <v>1376</v>
      </c>
      <c r="B777" s="5">
        <v>45348</v>
      </c>
      <c r="C777" s="4" t="s">
        <v>321</v>
      </c>
      <c r="D777" s="4" t="s">
        <v>160</v>
      </c>
      <c r="E777" s="4" t="s">
        <v>29</v>
      </c>
      <c r="F777" s="4" t="s">
        <v>30</v>
      </c>
      <c r="G777" s="4" t="s">
        <v>24</v>
      </c>
      <c r="H777" s="4" t="s">
        <v>50</v>
      </c>
      <c r="I777" s="6">
        <v>10</v>
      </c>
      <c r="J777" s="6">
        <v>30500</v>
      </c>
      <c r="K777" s="6">
        <v>23507.21</v>
      </c>
      <c r="L777" s="6">
        <v>6992.79</v>
      </c>
    </row>
    <row r="778" spans="1:12" x14ac:dyDescent="0.3">
      <c r="A778" s="4" t="s">
        <v>1377</v>
      </c>
      <c r="B778" s="5">
        <v>45666</v>
      </c>
      <c r="C778" s="4" t="s">
        <v>591</v>
      </c>
      <c r="D778" s="4" t="s">
        <v>1256</v>
      </c>
      <c r="E778" s="4" t="s">
        <v>15</v>
      </c>
      <c r="F778" s="4" t="s">
        <v>16</v>
      </c>
      <c r="G778" s="4" t="s">
        <v>35</v>
      </c>
      <c r="H778" s="4" t="s">
        <v>36</v>
      </c>
      <c r="I778" s="6">
        <v>6</v>
      </c>
      <c r="J778" s="6">
        <v>24672</v>
      </c>
      <c r="K778" s="6">
        <v>18152.18</v>
      </c>
      <c r="L778" s="6">
        <v>6519.82</v>
      </c>
    </row>
    <row r="779" spans="1:12" x14ac:dyDescent="0.3">
      <c r="A779" s="4" t="s">
        <v>1378</v>
      </c>
      <c r="B779" s="5">
        <v>45536</v>
      </c>
      <c r="C779" s="4" t="s">
        <v>214</v>
      </c>
      <c r="D779" s="4" t="s">
        <v>285</v>
      </c>
      <c r="E779" s="4" t="s">
        <v>15</v>
      </c>
      <c r="F779" s="4" t="s">
        <v>90</v>
      </c>
      <c r="G779" s="4" t="s">
        <v>17</v>
      </c>
      <c r="H779" s="4" t="s">
        <v>18</v>
      </c>
      <c r="I779" s="6">
        <v>4</v>
      </c>
      <c r="J779" s="6">
        <v>5732</v>
      </c>
      <c r="K779" s="6">
        <v>4839.96</v>
      </c>
      <c r="L779" s="6">
        <v>892.04</v>
      </c>
    </row>
    <row r="780" spans="1:12" x14ac:dyDescent="0.3">
      <c r="A780" s="4" t="s">
        <v>1379</v>
      </c>
      <c r="B780" s="5">
        <v>45565</v>
      </c>
      <c r="C780" s="4" t="s">
        <v>642</v>
      </c>
      <c r="D780" s="4" t="s">
        <v>111</v>
      </c>
      <c r="E780" s="4" t="s">
        <v>22</v>
      </c>
      <c r="F780" s="4" t="s">
        <v>79</v>
      </c>
      <c r="G780" s="4" t="s">
        <v>17</v>
      </c>
      <c r="H780" s="4" t="s">
        <v>72</v>
      </c>
      <c r="I780" s="6">
        <v>4</v>
      </c>
      <c r="J780" s="6">
        <v>8584</v>
      </c>
      <c r="K780" s="6">
        <v>5546.46</v>
      </c>
      <c r="L780" s="6">
        <v>3037.54</v>
      </c>
    </row>
    <row r="781" spans="1:12" x14ac:dyDescent="0.3">
      <c r="A781" s="4" t="s">
        <v>1380</v>
      </c>
      <c r="B781" s="5">
        <v>45805</v>
      </c>
      <c r="C781" s="4" t="s">
        <v>700</v>
      </c>
      <c r="D781" s="4" t="s">
        <v>327</v>
      </c>
      <c r="E781" s="4" t="s">
        <v>54</v>
      </c>
      <c r="F781" s="4" t="s">
        <v>142</v>
      </c>
      <c r="G781" s="4" t="s">
        <v>24</v>
      </c>
      <c r="H781" s="4" t="s">
        <v>50</v>
      </c>
      <c r="I781" s="6">
        <v>6</v>
      </c>
      <c r="J781" s="6">
        <v>18768</v>
      </c>
      <c r="K781" s="6">
        <v>12869.65</v>
      </c>
      <c r="L781" s="6">
        <v>5898.35</v>
      </c>
    </row>
    <row r="782" spans="1:12" x14ac:dyDescent="0.3">
      <c r="A782" s="4" t="s">
        <v>1381</v>
      </c>
      <c r="B782" s="5">
        <v>45668</v>
      </c>
      <c r="C782" s="4" t="s">
        <v>1382</v>
      </c>
      <c r="D782" s="4" t="s">
        <v>1145</v>
      </c>
      <c r="E782" s="4" t="s">
        <v>22</v>
      </c>
      <c r="F782" s="4" t="s">
        <v>79</v>
      </c>
      <c r="G782" s="4" t="s">
        <v>35</v>
      </c>
      <c r="H782" s="4" t="s">
        <v>45</v>
      </c>
      <c r="I782" s="6">
        <v>9</v>
      </c>
      <c r="J782" s="6">
        <v>24246</v>
      </c>
      <c r="K782" s="6">
        <v>16622.900000000001</v>
      </c>
      <c r="L782" s="6">
        <v>7623.1</v>
      </c>
    </row>
    <row r="783" spans="1:12" x14ac:dyDescent="0.3">
      <c r="A783" s="4" t="s">
        <v>1383</v>
      </c>
      <c r="B783" s="5">
        <v>45370</v>
      </c>
      <c r="C783" s="4" t="s">
        <v>113</v>
      </c>
      <c r="D783" s="4" t="s">
        <v>121</v>
      </c>
      <c r="E783" s="4" t="s">
        <v>22</v>
      </c>
      <c r="F783" s="4" t="s">
        <v>23</v>
      </c>
      <c r="G783" s="4" t="s">
        <v>24</v>
      </c>
      <c r="H783" s="4" t="s">
        <v>50</v>
      </c>
      <c r="I783" s="6">
        <v>7</v>
      </c>
      <c r="J783" s="6">
        <v>12348</v>
      </c>
      <c r="K783" s="6">
        <v>7859.65</v>
      </c>
      <c r="L783" s="6">
        <v>4488.3500000000004</v>
      </c>
    </row>
    <row r="784" spans="1:12" x14ac:dyDescent="0.3">
      <c r="A784" s="4" t="s">
        <v>1384</v>
      </c>
      <c r="B784" s="5">
        <v>45501</v>
      </c>
      <c r="C784" s="4" t="s">
        <v>848</v>
      </c>
      <c r="D784" s="4" t="s">
        <v>663</v>
      </c>
      <c r="E784" s="4" t="s">
        <v>54</v>
      </c>
      <c r="F784" s="4" t="s">
        <v>142</v>
      </c>
      <c r="G784" s="4" t="s">
        <v>17</v>
      </c>
      <c r="H784" s="4" t="s">
        <v>18</v>
      </c>
      <c r="I784" s="6">
        <v>3</v>
      </c>
      <c r="J784" s="6">
        <v>13095</v>
      </c>
      <c r="K784" s="6">
        <v>7793.48</v>
      </c>
      <c r="L784" s="6">
        <v>5301.52</v>
      </c>
    </row>
    <row r="785" spans="1:12" x14ac:dyDescent="0.3">
      <c r="A785" s="4" t="s">
        <v>1385</v>
      </c>
      <c r="B785" s="5">
        <v>45722</v>
      </c>
      <c r="C785" s="4" t="s">
        <v>500</v>
      </c>
      <c r="D785" s="4" t="s">
        <v>524</v>
      </c>
      <c r="E785" s="4" t="s">
        <v>54</v>
      </c>
      <c r="F785" s="4" t="s">
        <v>55</v>
      </c>
      <c r="G785" s="4" t="s">
        <v>17</v>
      </c>
      <c r="H785" s="4" t="s">
        <v>31</v>
      </c>
      <c r="I785" s="6">
        <v>9</v>
      </c>
      <c r="J785" s="6">
        <v>12429</v>
      </c>
      <c r="K785" s="6">
        <v>8603</v>
      </c>
      <c r="L785" s="6">
        <v>3826</v>
      </c>
    </row>
    <row r="786" spans="1:12" x14ac:dyDescent="0.3">
      <c r="A786" s="4" t="s">
        <v>1386</v>
      </c>
      <c r="B786" s="5">
        <v>45824</v>
      </c>
      <c r="C786" s="4" t="s">
        <v>195</v>
      </c>
      <c r="D786" s="4" t="s">
        <v>428</v>
      </c>
      <c r="E786" s="4" t="s">
        <v>54</v>
      </c>
      <c r="F786" s="4" t="s">
        <v>142</v>
      </c>
      <c r="G786" s="4" t="s">
        <v>24</v>
      </c>
      <c r="H786" s="4" t="s">
        <v>50</v>
      </c>
      <c r="I786" s="6">
        <v>1</v>
      </c>
      <c r="J786" s="6">
        <v>2203</v>
      </c>
      <c r="K786" s="6">
        <v>1763.47</v>
      </c>
      <c r="L786" s="6">
        <v>439.53</v>
      </c>
    </row>
    <row r="787" spans="1:12" x14ac:dyDescent="0.3">
      <c r="A787" s="4" t="s">
        <v>1387</v>
      </c>
      <c r="B787" s="5">
        <v>46005</v>
      </c>
      <c r="C787" s="4" t="s">
        <v>206</v>
      </c>
      <c r="D787" s="4" t="s">
        <v>414</v>
      </c>
      <c r="E787" s="4" t="s">
        <v>54</v>
      </c>
      <c r="F787" s="4" t="s">
        <v>71</v>
      </c>
      <c r="G787" s="4" t="s">
        <v>17</v>
      </c>
      <c r="H787" s="4" t="s">
        <v>31</v>
      </c>
      <c r="I787" s="6">
        <v>6</v>
      </c>
      <c r="J787" s="6">
        <v>25692</v>
      </c>
      <c r="K787" s="6">
        <v>18703.96</v>
      </c>
      <c r="L787" s="6">
        <v>6988.04</v>
      </c>
    </row>
    <row r="788" spans="1:12" x14ac:dyDescent="0.3">
      <c r="A788" s="4" t="s">
        <v>1388</v>
      </c>
      <c r="B788" s="5">
        <v>45605</v>
      </c>
      <c r="C788" s="4" t="s">
        <v>1364</v>
      </c>
      <c r="D788" s="4" t="s">
        <v>689</v>
      </c>
      <c r="E788" s="4" t="s">
        <v>22</v>
      </c>
      <c r="F788" s="4" t="s">
        <v>67</v>
      </c>
      <c r="G788" s="4" t="s">
        <v>40</v>
      </c>
      <c r="H788" s="4" t="s">
        <v>99</v>
      </c>
      <c r="I788" s="6">
        <v>10</v>
      </c>
      <c r="J788" s="6">
        <v>13800</v>
      </c>
      <c r="K788" s="6">
        <v>11308.89</v>
      </c>
      <c r="L788" s="6">
        <v>2491.11</v>
      </c>
    </row>
    <row r="789" spans="1:12" x14ac:dyDescent="0.3">
      <c r="A789" s="4" t="s">
        <v>1389</v>
      </c>
      <c r="B789" s="5">
        <v>45583</v>
      </c>
      <c r="C789" s="4" t="s">
        <v>753</v>
      </c>
      <c r="D789" s="4" t="s">
        <v>743</v>
      </c>
      <c r="E789" s="4" t="s">
        <v>29</v>
      </c>
      <c r="F789" s="4" t="s">
        <v>49</v>
      </c>
      <c r="G789" s="4" t="s">
        <v>40</v>
      </c>
      <c r="H789" s="4" t="s">
        <v>41</v>
      </c>
      <c r="I789" s="6">
        <v>5</v>
      </c>
      <c r="J789" s="6">
        <v>3435</v>
      </c>
      <c r="K789" s="6">
        <v>2042.11</v>
      </c>
      <c r="L789" s="6">
        <v>1392.89</v>
      </c>
    </row>
    <row r="790" spans="1:12" x14ac:dyDescent="0.3">
      <c r="A790" s="4" t="s">
        <v>1390</v>
      </c>
      <c r="B790" s="5">
        <v>46017</v>
      </c>
      <c r="C790" s="4" t="s">
        <v>251</v>
      </c>
      <c r="D790" s="4" t="s">
        <v>86</v>
      </c>
      <c r="E790" s="4" t="s">
        <v>29</v>
      </c>
      <c r="F790" s="4" t="s">
        <v>30</v>
      </c>
      <c r="G790" s="4" t="s">
        <v>35</v>
      </c>
      <c r="H790" s="4" t="s">
        <v>45</v>
      </c>
      <c r="I790" s="6">
        <v>5</v>
      </c>
      <c r="J790" s="6">
        <v>8965</v>
      </c>
      <c r="K790" s="6">
        <v>7548.19</v>
      </c>
      <c r="L790" s="6">
        <v>1416.81</v>
      </c>
    </row>
    <row r="791" spans="1:12" x14ac:dyDescent="0.3">
      <c r="A791" s="4" t="s">
        <v>1391</v>
      </c>
      <c r="B791" s="5">
        <v>45670</v>
      </c>
      <c r="C791" s="4" t="s">
        <v>274</v>
      </c>
      <c r="D791" s="4" t="s">
        <v>754</v>
      </c>
      <c r="E791" s="4" t="s">
        <v>29</v>
      </c>
      <c r="F791" s="4" t="s">
        <v>102</v>
      </c>
      <c r="G791" s="4" t="s">
        <v>24</v>
      </c>
      <c r="H791" s="4" t="s">
        <v>25</v>
      </c>
      <c r="I791" s="6">
        <v>6</v>
      </c>
      <c r="J791" s="6">
        <v>8016</v>
      </c>
      <c r="K791" s="6">
        <v>5469.05</v>
      </c>
      <c r="L791" s="6">
        <v>2546.9499999999998</v>
      </c>
    </row>
    <row r="792" spans="1:12" x14ac:dyDescent="0.3">
      <c r="A792" s="4" t="s">
        <v>1392</v>
      </c>
      <c r="B792" s="5">
        <v>45844</v>
      </c>
      <c r="C792" s="4" t="s">
        <v>498</v>
      </c>
      <c r="D792" s="4" t="s">
        <v>946</v>
      </c>
      <c r="E792" s="4" t="s">
        <v>15</v>
      </c>
      <c r="F792" s="4" t="s">
        <v>90</v>
      </c>
      <c r="G792" s="4" t="s">
        <v>40</v>
      </c>
      <c r="H792" s="4" t="s">
        <v>41</v>
      </c>
      <c r="I792" s="6">
        <v>6</v>
      </c>
      <c r="J792" s="6">
        <v>9066</v>
      </c>
      <c r="K792" s="6">
        <v>6000.55</v>
      </c>
      <c r="L792" s="6">
        <v>3065.45</v>
      </c>
    </row>
    <row r="793" spans="1:12" x14ac:dyDescent="0.3">
      <c r="A793" s="4" t="s">
        <v>1393</v>
      </c>
      <c r="B793" s="5">
        <v>45761</v>
      </c>
      <c r="C793" s="4" t="s">
        <v>553</v>
      </c>
      <c r="D793" s="4" t="s">
        <v>163</v>
      </c>
      <c r="E793" s="4" t="s">
        <v>54</v>
      </c>
      <c r="F793" s="4" t="s">
        <v>142</v>
      </c>
      <c r="G793" s="4" t="s">
        <v>24</v>
      </c>
      <c r="H793" s="4" t="s">
        <v>25</v>
      </c>
      <c r="I793" s="6">
        <v>7</v>
      </c>
      <c r="J793" s="6">
        <v>30737</v>
      </c>
      <c r="K793" s="6">
        <v>23991.93</v>
      </c>
      <c r="L793" s="6">
        <v>6745.07</v>
      </c>
    </row>
    <row r="794" spans="1:12" x14ac:dyDescent="0.3">
      <c r="A794" s="4" t="s">
        <v>1394</v>
      </c>
      <c r="B794" s="5">
        <v>45594</v>
      </c>
      <c r="C794" s="4" t="s">
        <v>1001</v>
      </c>
      <c r="D794" s="4" t="s">
        <v>456</v>
      </c>
      <c r="E794" s="4" t="s">
        <v>15</v>
      </c>
      <c r="F794" s="4" t="s">
        <v>90</v>
      </c>
      <c r="G794" s="4" t="s">
        <v>35</v>
      </c>
      <c r="H794" s="4" t="s">
        <v>45</v>
      </c>
      <c r="I794" s="6">
        <v>9</v>
      </c>
      <c r="J794" s="6">
        <v>27117</v>
      </c>
      <c r="K794" s="6">
        <v>20179.740000000002</v>
      </c>
      <c r="L794" s="6">
        <v>6937.26</v>
      </c>
    </row>
    <row r="795" spans="1:12" x14ac:dyDescent="0.3">
      <c r="A795" s="4" t="s">
        <v>1395</v>
      </c>
      <c r="B795" s="5">
        <v>45782</v>
      </c>
      <c r="C795" s="4" t="s">
        <v>680</v>
      </c>
      <c r="D795" s="4" t="s">
        <v>599</v>
      </c>
      <c r="E795" s="4" t="s">
        <v>29</v>
      </c>
      <c r="F795" s="4" t="s">
        <v>30</v>
      </c>
      <c r="G795" s="4" t="s">
        <v>17</v>
      </c>
      <c r="H795" s="4" t="s">
        <v>18</v>
      </c>
      <c r="I795" s="6">
        <v>8</v>
      </c>
      <c r="J795" s="6">
        <v>24592</v>
      </c>
      <c r="K795" s="6">
        <v>18609.849999999999</v>
      </c>
      <c r="L795" s="6">
        <v>5982.15</v>
      </c>
    </row>
    <row r="796" spans="1:12" x14ac:dyDescent="0.3">
      <c r="A796" s="4" t="s">
        <v>1396</v>
      </c>
      <c r="B796" s="5">
        <v>45386</v>
      </c>
      <c r="C796" s="4" t="s">
        <v>541</v>
      </c>
      <c r="D796" s="4" t="s">
        <v>654</v>
      </c>
      <c r="E796" s="4" t="s">
        <v>15</v>
      </c>
      <c r="F796" s="4" t="s">
        <v>63</v>
      </c>
      <c r="G796" s="4" t="s">
        <v>24</v>
      </c>
      <c r="H796" s="4" t="s">
        <v>25</v>
      </c>
      <c r="I796" s="6">
        <v>7</v>
      </c>
      <c r="J796" s="6">
        <v>14735</v>
      </c>
      <c r="K796" s="6">
        <v>10075.67</v>
      </c>
      <c r="L796" s="6">
        <v>4659.33</v>
      </c>
    </row>
    <row r="797" spans="1:12" x14ac:dyDescent="0.3">
      <c r="A797" s="4" t="s">
        <v>1397</v>
      </c>
      <c r="B797" s="5">
        <v>45377</v>
      </c>
      <c r="C797" s="4" t="s">
        <v>140</v>
      </c>
      <c r="D797" s="4" t="s">
        <v>639</v>
      </c>
      <c r="E797" s="4" t="s">
        <v>29</v>
      </c>
      <c r="F797" s="4" t="s">
        <v>30</v>
      </c>
      <c r="G797" s="4" t="s">
        <v>35</v>
      </c>
      <c r="H797" s="4" t="s">
        <v>45</v>
      </c>
      <c r="I797" s="6">
        <v>4</v>
      </c>
      <c r="J797" s="6">
        <v>10304</v>
      </c>
      <c r="K797" s="6">
        <v>6272.2</v>
      </c>
      <c r="L797" s="6">
        <v>4031.8</v>
      </c>
    </row>
    <row r="798" spans="1:12" x14ac:dyDescent="0.3">
      <c r="A798" s="4" t="s">
        <v>1398</v>
      </c>
      <c r="B798" s="5">
        <v>45911</v>
      </c>
      <c r="C798" s="4" t="s">
        <v>464</v>
      </c>
      <c r="D798" s="4" t="s">
        <v>654</v>
      </c>
      <c r="E798" s="4" t="s">
        <v>15</v>
      </c>
      <c r="F798" s="4" t="s">
        <v>90</v>
      </c>
      <c r="G798" s="4" t="s">
        <v>35</v>
      </c>
      <c r="H798" s="4" t="s">
        <v>36</v>
      </c>
      <c r="I798" s="6">
        <v>4</v>
      </c>
      <c r="J798" s="6">
        <v>17268</v>
      </c>
      <c r="K798" s="6">
        <v>11143.51</v>
      </c>
      <c r="L798" s="6">
        <v>6124.49</v>
      </c>
    </row>
    <row r="799" spans="1:12" x14ac:dyDescent="0.3">
      <c r="A799" s="4" t="s">
        <v>1399</v>
      </c>
      <c r="B799" s="5">
        <v>45304</v>
      </c>
      <c r="C799" s="4" t="s">
        <v>810</v>
      </c>
      <c r="D799" s="4" t="s">
        <v>177</v>
      </c>
      <c r="E799" s="4" t="s">
        <v>54</v>
      </c>
      <c r="F799" s="4" t="s">
        <v>55</v>
      </c>
      <c r="G799" s="4" t="s">
        <v>24</v>
      </c>
      <c r="H799" s="4" t="s">
        <v>166</v>
      </c>
      <c r="I799" s="6">
        <v>7</v>
      </c>
      <c r="J799" s="6">
        <v>23296</v>
      </c>
      <c r="K799" s="6">
        <v>15511.26</v>
      </c>
      <c r="L799" s="6">
        <v>7784.74</v>
      </c>
    </row>
    <row r="800" spans="1:12" x14ac:dyDescent="0.3">
      <c r="A800" s="4" t="s">
        <v>1400</v>
      </c>
      <c r="B800" s="5">
        <v>45746</v>
      </c>
      <c r="C800" s="4" t="s">
        <v>217</v>
      </c>
      <c r="D800" s="4" t="s">
        <v>155</v>
      </c>
      <c r="E800" s="4" t="s">
        <v>54</v>
      </c>
      <c r="F800" s="4" t="s">
        <v>55</v>
      </c>
      <c r="G800" s="4" t="s">
        <v>35</v>
      </c>
      <c r="H800" s="4" t="s">
        <v>80</v>
      </c>
      <c r="I800" s="6">
        <v>9</v>
      </c>
      <c r="J800" s="6">
        <v>9153</v>
      </c>
      <c r="K800" s="6">
        <v>5626.43</v>
      </c>
      <c r="L800" s="6">
        <v>3526.57</v>
      </c>
    </row>
    <row r="801" spans="1:12" x14ac:dyDescent="0.3">
      <c r="A801" s="4" t="s">
        <v>1401</v>
      </c>
      <c r="B801" s="5">
        <v>45893</v>
      </c>
      <c r="C801" s="4" t="s">
        <v>1402</v>
      </c>
      <c r="D801" s="4" t="s">
        <v>520</v>
      </c>
      <c r="E801" s="4" t="s">
        <v>54</v>
      </c>
      <c r="F801" s="4" t="s">
        <v>142</v>
      </c>
      <c r="G801" s="4" t="s">
        <v>17</v>
      </c>
      <c r="H801" s="4" t="s">
        <v>18</v>
      </c>
      <c r="I801" s="6">
        <v>7</v>
      </c>
      <c r="J801" s="6">
        <v>25851</v>
      </c>
      <c r="K801" s="6">
        <v>15300.44</v>
      </c>
      <c r="L801" s="6">
        <v>10550.56</v>
      </c>
    </row>
    <row r="802" spans="1:12" x14ac:dyDescent="0.3">
      <c r="A802" s="4" t="s">
        <v>1403</v>
      </c>
      <c r="B802" s="5">
        <v>45896</v>
      </c>
      <c r="C802" s="4" t="s">
        <v>718</v>
      </c>
      <c r="D802" s="4" t="s">
        <v>725</v>
      </c>
      <c r="E802" s="4" t="s">
        <v>29</v>
      </c>
      <c r="F802" s="4" t="s">
        <v>49</v>
      </c>
      <c r="G802" s="4" t="s">
        <v>35</v>
      </c>
      <c r="H802" s="4" t="s">
        <v>80</v>
      </c>
      <c r="I802" s="6">
        <v>9</v>
      </c>
      <c r="J802" s="6">
        <v>27423</v>
      </c>
      <c r="K802" s="6">
        <v>15626.58</v>
      </c>
      <c r="L802" s="6">
        <v>11796.42</v>
      </c>
    </row>
    <row r="803" spans="1:12" x14ac:dyDescent="0.3">
      <c r="A803" s="4" t="s">
        <v>1404</v>
      </c>
      <c r="B803" s="5">
        <v>45765</v>
      </c>
      <c r="C803" s="4" t="s">
        <v>634</v>
      </c>
      <c r="D803" s="4" t="s">
        <v>377</v>
      </c>
      <c r="E803" s="4" t="s">
        <v>15</v>
      </c>
      <c r="F803" s="4" t="s">
        <v>63</v>
      </c>
      <c r="G803" s="4" t="s">
        <v>17</v>
      </c>
      <c r="H803" s="4" t="s">
        <v>31</v>
      </c>
      <c r="I803" s="6">
        <v>5</v>
      </c>
      <c r="J803" s="6">
        <v>18475</v>
      </c>
      <c r="K803" s="6">
        <v>11130.59</v>
      </c>
      <c r="L803" s="6">
        <v>7344.41</v>
      </c>
    </row>
    <row r="804" spans="1:12" x14ac:dyDescent="0.3">
      <c r="A804" s="4" t="s">
        <v>1405</v>
      </c>
      <c r="B804" s="5">
        <v>45601</v>
      </c>
      <c r="C804" s="4" t="s">
        <v>313</v>
      </c>
      <c r="D804" s="4" t="s">
        <v>190</v>
      </c>
      <c r="E804" s="4" t="s">
        <v>29</v>
      </c>
      <c r="F804" s="4" t="s">
        <v>102</v>
      </c>
      <c r="G804" s="4" t="s">
        <v>35</v>
      </c>
      <c r="H804" s="4" t="s">
        <v>36</v>
      </c>
      <c r="I804" s="6">
        <v>5</v>
      </c>
      <c r="J804" s="6">
        <v>24185</v>
      </c>
      <c r="K804" s="6">
        <v>16861.189999999999</v>
      </c>
      <c r="L804" s="6">
        <v>7323.81</v>
      </c>
    </row>
    <row r="805" spans="1:12" x14ac:dyDescent="0.3">
      <c r="A805" s="4" t="s">
        <v>1406</v>
      </c>
      <c r="B805" s="5">
        <v>45294</v>
      </c>
      <c r="C805" s="4" t="s">
        <v>251</v>
      </c>
      <c r="D805" s="4" t="s">
        <v>83</v>
      </c>
      <c r="E805" s="4" t="s">
        <v>22</v>
      </c>
      <c r="F805" s="4" t="s">
        <v>79</v>
      </c>
      <c r="G805" s="4" t="s">
        <v>17</v>
      </c>
      <c r="H805" s="4" t="s">
        <v>18</v>
      </c>
      <c r="I805" s="6">
        <v>8</v>
      </c>
      <c r="J805" s="6">
        <v>17112</v>
      </c>
      <c r="K805" s="6">
        <v>9549.39</v>
      </c>
      <c r="L805" s="6">
        <v>7562.61</v>
      </c>
    </row>
    <row r="806" spans="1:12" x14ac:dyDescent="0.3">
      <c r="A806" s="4" t="s">
        <v>1407</v>
      </c>
      <c r="B806" s="5">
        <v>45586</v>
      </c>
      <c r="C806" s="4" t="s">
        <v>455</v>
      </c>
      <c r="D806" s="4" t="s">
        <v>1011</v>
      </c>
      <c r="E806" s="4" t="s">
        <v>54</v>
      </c>
      <c r="F806" s="4" t="s">
        <v>71</v>
      </c>
      <c r="G806" s="4" t="s">
        <v>17</v>
      </c>
      <c r="H806" s="4" t="s">
        <v>31</v>
      </c>
      <c r="I806" s="6">
        <v>8</v>
      </c>
      <c r="J806" s="6">
        <v>10536</v>
      </c>
      <c r="K806" s="6">
        <v>7861.37</v>
      </c>
      <c r="L806" s="6">
        <v>2674.63</v>
      </c>
    </row>
    <row r="807" spans="1:12" x14ac:dyDescent="0.3">
      <c r="A807" s="4" t="s">
        <v>1408</v>
      </c>
      <c r="B807" s="5">
        <v>45575</v>
      </c>
      <c r="C807" s="4" t="s">
        <v>843</v>
      </c>
      <c r="D807" s="4" t="s">
        <v>527</v>
      </c>
      <c r="E807" s="4" t="s">
        <v>22</v>
      </c>
      <c r="F807" s="4" t="s">
        <v>79</v>
      </c>
      <c r="G807" s="4" t="s">
        <v>17</v>
      </c>
      <c r="H807" s="4" t="s">
        <v>31</v>
      </c>
      <c r="I807" s="6">
        <v>4</v>
      </c>
      <c r="J807" s="6">
        <v>2132</v>
      </c>
      <c r="K807" s="6">
        <v>1248.94</v>
      </c>
      <c r="L807" s="6">
        <v>883.06</v>
      </c>
    </row>
    <row r="808" spans="1:12" x14ac:dyDescent="0.3">
      <c r="A808" s="4" t="s">
        <v>1409</v>
      </c>
      <c r="B808" s="5">
        <v>45935</v>
      </c>
      <c r="C808" s="4" t="s">
        <v>1102</v>
      </c>
      <c r="D808" s="4" t="s">
        <v>98</v>
      </c>
      <c r="E808" s="4" t="s">
        <v>54</v>
      </c>
      <c r="F808" s="4" t="s">
        <v>71</v>
      </c>
      <c r="G808" s="4" t="s">
        <v>35</v>
      </c>
      <c r="H808" s="4" t="s">
        <v>80</v>
      </c>
      <c r="I808" s="6">
        <v>10</v>
      </c>
      <c r="J808" s="6">
        <v>38720</v>
      </c>
      <c r="K808" s="6">
        <v>31382.71</v>
      </c>
      <c r="L808" s="6">
        <v>7337.29</v>
      </c>
    </row>
    <row r="809" spans="1:12" x14ac:dyDescent="0.3">
      <c r="A809" s="4" t="s">
        <v>1410</v>
      </c>
      <c r="B809" s="5">
        <v>45458</v>
      </c>
      <c r="C809" s="4" t="s">
        <v>951</v>
      </c>
      <c r="D809" s="4" t="s">
        <v>130</v>
      </c>
      <c r="E809" s="4" t="s">
        <v>54</v>
      </c>
      <c r="F809" s="4" t="s">
        <v>71</v>
      </c>
      <c r="G809" s="4" t="s">
        <v>17</v>
      </c>
      <c r="H809" s="4" t="s">
        <v>18</v>
      </c>
      <c r="I809" s="6">
        <v>10</v>
      </c>
      <c r="J809" s="6">
        <v>4430</v>
      </c>
      <c r="K809" s="6">
        <v>3559.88</v>
      </c>
      <c r="L809" s="6">
        <v>870.12</v>
      </c>
    </row>
    <row r="810" spans="1:12" x14ac:dyDescent="0.3">
      <c r="A810" s="4" t="s">
        <v>1411</v>
      </c>
      <c r="B810" s="5">
        <v>45571</v>
      </c>
      <c r="C810" s="4" t="s">
        <v>558</v>
      </c>
      <c r="D810" s="4" t="s">
        <v>223</v>
      </c>
      <c r="E810" s="4" t="s">
        <v>29</v>
      </c>
      <c r="F810" s="4" t="s">
        <v>49</v>
      </c>
      <c r="G810" s="4" t="s">
        <v>35</v>
      </c>
      <c r="H810" s="4" t="s">
        <v>80</v>
      </c>
      <c r="I810" s="6">
        <v>3</v>
      </c>
      <c r="J810" s="6">
        <v>9681</v>
      </c>
      <c r="K810" s="6">
        <v>5798.85</v>
      </c>
      <c r="L810" s="6">
        <v>3882.15</v>
      </c>
    </row>
    <row r="811" spans="1:12" x14ac:dyDescent="0.3">
      <c r="A811" s="4" t="s">
        <v>1412</v>
      </c>
      <c r="B811" s="5">
        <v>45370</v>
      </c>
      <c r="C811" s="4" t="s">
        <v>321</v>
      </c>
      <c r="D811" s="4" t="s">
        <v>1048</v>
      </c>
      <c r="E811" s="4" t="s">
        <v>54</v>
      </c>
      <c r="F811" s="4" t="s">
        <v>142</v>
      </c>
      <c r="G811" s="4" t="s">
        <v>40</v>
      </c>
      <c r="H811" s="4" t="s">
        <v>99</v>
      </c>
      <c r="I811" s="6">
        <v>5</v>
      </c>
      <c r="J811" s="6">
        <v>23190</v>
      </c>
      <c r="K811" s="6">
        <v>17199.650000000001</v>
      </c>
      <c r="L811" s="6">
        <v>5990.35</v>
      </c>
    </row>
    <row r="812" spans="1:12" x14ac:dyDescent="0.3">
      <c r="A812" s="4" t="s">
        <v>1413</v>
      </c>
      <c r="B812" s="5">
        <v>45615</v>
      </c>
      <c r="C812" s="4" t="s">
        <v>1414</v>
      </c>
      <c r="D812" s="4" t="s">
        <v>1415</v>
      </c>
      <c r="E812" s="4" t="s">
        <v>29</v>
      </c>
      <c r="F812" s="4" t="s">
        <v>102</v>
      </c>
      <c r="G812" s="4" t="s">
        <v>17</v>
      </c>
      <c r="H812" s="4" t="s">
        <v>72</v>
      </c>
      <c r="I812" s="6">
        <v>3</v>
      </c>
      <c r="J812" s="6">
        <v>14262</v>
      </c>
      <c r="K812" s="6">
        <v>9224.41</v>
      </c>
      <c r="L812" s="6">
        <v>5037.59</v>
      </c>
    </row>
    <row r="813" spans="1:12" x14ac:dyDescent="0.3">
      <c r="A813" s="4" t="s">
        <v>1416</v>
      </c>
      <c r="B813" s="5">
        <v>45305</v>
      </c>
      <c r="C813" s="4" t="s">
        <v>449</v>
      </c>
      <c r="D813" s="4" t="s">
        <v>204</v>
      </c>
      <c r="E813" s="4" t="s">
        <v>54</v>
      </c>
      <c r="F813" s="4" t="s">
        <v>142</v>
      </c>
      <c r="G813" s="4" t="s">
        <v>35</v>
      </c>
      <c r="H813" s="4" t="s">
        <v>45</v>
      </c>
      <c r="I813" s="6">
        <v>10</v>
      </c>
      <c r="J813" s="6">
        <v>31800</v>
      </c>
      <c r="K813" s="6">
        <v>25344.42</v>
      </c>
      <c r="L813" s="6">
        <v>6455.58</v>
      </c>
    </row>
    <row r="814" spans="1:12" x14ac:dyDescent="0.3">
      <c r="A814" s="4" t="s">
        <v>1417</v>
      </c>
      <c r="B814" s="5">
        <v>45458</v>
      </c>
      <c r="C814" s="4" t="s">
        <v>33</v>
      </c>
      <c r="D814" s="4" t="s">
        <v>647</v>
      </c>
      <c r="E814" s="4" t="s">
        <v>54</v>
      </c>
      <c r="F814" s="4" t="s">
        <v>55</v>
      </c>
      <c r="G814" s="4" t="s">
        <v>35</v>
      </c>
      <c r="H814" s="4" t="s">
        <v>80</v>
      </c>
      <c r="I814" s="6">
        <v>7</v>
      </c>
      <c r="J814" s="6">
        <v>21609</v>
      </c>
      <c r="K814" s="6">
        <v>17854.919999999998</v>
      </c>
      <c r="L814" s="6">
        <v>3754.08</v>
      </c>
    </row>
    <row r="815" spans="1:12" x14ac:dyDescent="0.3">
      <c r="A815" s="4" t="s">
        <v>1418</v>
      </c>
      <c r="B815" s="5">
        <v>45830</v>
      </c>
      <c r="C815" s="4" t="s">
        <v>92</v>
      </c>
      <c r="D815" s="4" t="s">
        <v>706</v>
      </c>
      <c r="E815" s="4" t="s">
        <v>29</v>
      </c>
      <c r="F815" s="4" t="s">
        <v>30</v>
      </c>
      <c r="G815" s="4" t="s">
        <v>40</v>
      </c>
      <c r="H815" s="4" t="s">
        <v>56</v>
      </c>
      <c r="I815" s="6">
        <v>4</v>
      </c>
      <c r="J815" s="6">
        <v>19504</v>
      </c>
      <c r="K815" s="6">
        <v>14316.49</v>
      </c>
      <c r="L815" s="6">
        <v>5187.51</v>
      </c>
    </row>
    <row r="816" spans="1:12" x14ac:dyDescent="0.3">
      <c r="A816" s="4" t="s">
        <v>1419</v>
      </c>
      <c r="B816" s="5">
        <v>45309</v>
      </c>
      <c r="C816" s="4" t="s">
        <v>560</v>
      </c>
      <c r="D816" s="4" t="s">
        <v>1165</v>
      </c>
      <c r="E816" s="4" t="s">
        <v>15</v>
      </c>
      <c r="F816" s="4" t="s">
        <v>63</v>
      </c>
      <c r="G816" s="4" t="s">
        <v>35</v>
      </c>
      <c r="H816" s="4" t="s">
        <v>80</v>
      </c>
      <c r="I816" s="6">
        <v>2</v>
      </c>
      <c r="J816" s="6">
        <v>2508</v>
      </c>
      <c r="K816" s="6">
        <v>1995.5</v>
      </c>
      <c r="L816" s="6">
        <v>512.5</v>
      </c>
    </row>
    <row r="817" spans="1:12" x14ac:dyDescent="0.3">
      <c r="A817" s="4" t="s">
        <v>1420</v>
      </c>
      <c r="B817" s="5">
        <v>45903</v>
      </c>
      <c r="C817" s="4" t="s">
        <v>826</v>
      </c>
      <c r="D817" s="4" t="s">
        <v>150</v>
      </c>
      <c r="E817" s="4" t="s">
        <v>54</v>
      </c>
      <c r="F817" s="4" t="s">
        <v>71</v>
      </c>
      <c r="G817" s="4" t="s">
        <v>40</v>
      </c>
      <c r="H817" s="4" t="s">
        <v>41</v>
      </c>
      <c r="I817" s="6">
        <v>3</v>
      </c>
      <c r="J817" s="6">
        <v>11760</v>
      </c>
      <c r="K817" s="6">
        <v>9606.9500000000007</v>
      </c>
      <c r="L817" s="6">
        <v>2153.0500000000002</v>
      </c>
    </row>
    <row r="818" spans="1:12" x14ac:dyDescent="0.3">
      <c r="A818" s="4" t="s">
        <v>1421</v>
      </c>
      <c r="B818" s="5">
        <v>46002</v>
      </c>
      <c r="C818" s="4" t="s">
        <v>487</v>
      </c>
      <c r="D818" s="4" t="s">
        <v>909</v>
      </c>
      <c r="E818" s="4" t="s">
        <v>29</v>
      </c>
      <c r="F818" s="4" t="s">
        <v>30</v>
      </c>
      <c r="G818" s="4" t="s">
        <v>40</v>
      </c>
      <c r="H818" s="4" t="s">
        <v>99</v>
      </c>
      <c r="I818" s="6">
        <v>1</v>
      </c>
      <c r="J818" s="6">
        <v>1271</v>
      </c>
      <c r="K818" s="6">
        <v>783.84</v>
      </c>
      <c r="L818" s="6">
        <v>487.16</v>
      </c>
    </row>
    <row r="819" spans="1:12" x14ac:dyDescent="0.3">
      <c r="A819" s="4" t="s">
        <v>1422</v>
      </c>
      <c r="B819" s="5">
        <v>45406</v>
      </c>
      <c r="C819" s="4" t="s">
        <v>831</v>
      </c>
      <c r="D819" s="4" t="s">
        <v>453</v>
      </c>
      <c r="E819" s="4" t="s">
        <v>54</v>
      </c>
      <c r="F819" s="4" t="s">
        <v>142</v>
      </c>
      <c r="G819" s="4" t="s">
        <v>40</v>
      </c>
      <c r="H819" s="4" t="s">
        <v>56</v>
      </c>
      <c r="I819" s="6">
        <v>3</v>
      </c>
      <c r="J819" s="6">
        <v>2829</v>
      </c>
      <c r="K819" s="6">
        <v>1916.48</v>
      </c>
      <c r="L819" s="6">
        <v>912.52</v>
      </c>
    </row>
    <row r="820" spans="1:12" x14ac:dyDescent="0.3">
      <c r="A820" s="4" t="s">
        <v>1423</v>
      </c>
      <c r="B820" s="5">
        <v>45967</v>
      </c>
      <c r="C820" s="4" t="s">
        <v>933</v>
      </c>
      <c r="D820" s="4" t="s">
        <v>784</v>
      </c>
      <c r="E820" s="4" t="s">
        <v>22</v>
      </c>
      <c r="F820" s="4" t="s">
        <v>67</v>
      </c>
      <c r="G820" s="4" t="s">
        <v>24</v>
      </c>
      <c r="H820" s="4" t="s">
        <v>25</v>
      </c>
      <c r="I820" s="6">
        <v>4</v>
      </c>
      <c r="J820" s="6">
        <v>4732</v>
      </c>
      <c r="K820" s="6">
        <v>2649.15</v>
      </c>
      <c r="L820" s="6">
        <v>2082.85</v>
      </c>
    </row>
    <row r="821" spans="1:12" x14ac:dyDescent="0.3">
      <c r="A821" s="4" t="s">
        <v>1424</v>
      </c>
      <c r="B821" s="5">
        <v>45302</v>
      </c>
      <c r="C821" s="4" t="s">
        <v>1033</v>
      </c>
      <c r="D821" s="4" t="s">
        <v>39</v>
      </c>
      <c r="E821" s="4" t="s">
        <v>22</v>
      </c>
      <c r="F821" s="4" t="s">
        <v>23</v>
      </c>
      <c r="G821" s="4" t="s">
        <v>40</v>
      </c>
      <c r="H821" s="4" t="s">
        <v>99</v>
      </c>
      <c r="I821" s="6">
        <v>1</v>
      </c>
      <c r="J821" s="6">
        <v>842</v>
      </c>
      <c r="K821" s="6">
        <v>539.29999999999995</v>
      </c>
      <c r="L821" s="6">
        <v>302.7</v>
      </c>
    </row>
    <row r="822" spans="1:12" x14ac:dyDescent="0.3">
      <c r="A822" s="4" t="s">
        <v>1425</v>
      </c>
      <c r="B822" s="5">
        <v>45441</v>
      </c>
      <c r="C822" s="4" t="s">
        <v>27</v>
      </c>
      <c r="D822" s="4" t="s">
        <v>1309</v>
      </c>
      <c r="E822" s="4" t="s">
        <v>29</v>
      </c>
      <c r="F822" s="4" t="s">
        <v>30</v>
      </c>
      <c r="G822" s="4" t="s">
        <v>40</v>
      </c>
      <c r="H822" s="4" t="s">
        <v>56</v>
      </c>
      <c r="I822" s="6">
        <v>3</v>
      </c>
      <c r="J822" s="6">
        <v>9537</v>
      </c>
      <c r="K822" s="6">
        <v>5329.06</v>
      </c>
      <c r="L822" s="6">
        <v>4207.9399999999996</v>
      </c>
    </row>
    <row r="823" spans="1:12" x14ac:dyDescent="0.3">
      <c r="A823" s="4" t="s">
        <v>1426</v>
      </c>
      <c r="B823" s="5">
        <v>45361</v>
      </c>
      <c r="C823" s="4" t="s">
        <v>292</v>
      </c>
      <c r="D823" s="4" t="s">
        <v>1309</v>
      </c>
      <c r="E823" s="4" t="s">
        <v>54</v>
      </c>
      <c r="F823" s="4" t="s">
        <v>55</v>
      </c>
      <c r="G823" s="4" t="s">
        <v>24</v>
      </c>
      <c r="H823" s="4" t="s">
        <v>166</v>
      </c>
      <c r="I823" s="6">
        <v>9</v>
      </c>
      <c r="J823" s="6">
        <v>20529</v>
      </c>
      <c r="K823" s="6">
        <v>14400.53</v>
      </c>
      <c r="L823" s="6">
        <v>6128.47</v>
      </c>
    </row>
    <row r="824" spans="1:12" x14ac:dyDescent="0.3">
      <c r="A824" s="4" t="s">
        <v>1427</v>
      </c>
      <c r="B824" s="5">
        <v>45842</v>
      </c>
      <c r="C824" s="4" t="s">
        <v>955</v>
      </c>
      <c r="D824" s="4" t="s">
        <v>417</v>
      </c>
      <c r="E824" s="4" t="s">
        <v>15</v>
      </c>
      <c r="F824" s="4" t="s">
        <v>90</v>
      </c>
      <c r="G824" s="4" t="s">
        <v>40</v>
      </c>
      <c r="H824" s="4" t="s">
        <v>56</v>
      </c>
      <c r="I824" s="6">
        <v>4</v>
      </c>
      <c r="J824" s="6">
        <v>10432</v>
      </c>
      <c r="K824" s="6">
        <v>6275.18</v>
      </c>
      <c r="L824" s="6">
        <v>4156.82</v>
      </c>
    </row>
    <row r="825" spans="1:12" x14ac:dyDescent="0.3">
      <c r="A825" s="4" t="s">
        <v>1428</v>
      </c>
      <c r="B825" s="5">
        <v>45481</v>
      </c>
      <c r="C825" s="4" t="s">
        <v>795</v>
      </c>
      <c r="D825" s="4" t="s">
        <v>722</v>
      </c>
      <c r="E825" s="4" t="s">
        <v>29</v>
      </c>
      <c r="F825" s="4" t="s">
        <v>30</v>
      </c>
      <c r="G825" s="4" t="s">
        <v>17</v>
      </c>
      <c r="H825" s="4" t="s">
        <v>18</v>
      </c>
      <c r="I825" s="6">
        <v>8</v>
      </c>
      <c r="J825" s="6">
        <v>26416</v>
      </c>
      <c r="K825" s="6">
        <v>20061.36</v>
      </c>
      <c r="L825" s="6">
        <v>6354.64</v>
      </c>
    </row>
    <row r="826" spans="1:12" x14ac:dyDescent="0.3">
      <c r="A826" s="4" t="s">
        <v>1429</v>
      </c>
      <c r="B826" s="5">
        <v>45709</v>
      </c>
      <c r="C826" s="4" t="s">
        <v>1430</v>
      </c>
      <c r="D826" s="4" t="s">
        <v>127</v>
      </c>
      <c r="E826" s="4" t="s">
        <v>29</v>
      </c>
      <c r="F826" s="4" t="s">
        <v>49</v>
      </c>
      <c r="G826" s="4" t="s">
        <v>35</v>
      </c>
      <c r="H826" s="4" t="s">
        <v>36</v>
      </c>
      <c r="I826" s="6">
        <v>7</v>
      </c>
      <c r="J826" s="6">
        <v>14385</v>
      </c>
      <c r="K826" s="6">
        <v>10131</v>
      </c>
      <c r="L826" s="6">
        <v>4254</v>
      </c>
    </row>
    <row r="827" spans="1:12" x14ac:dyDescent="0.3">
      <c r="A827" s="4" t="s">
        <v>1431</v>
      </c>
      <c r="B827" s="5">
        <v>45661</v>
      </c>
      <c r="C827" s="4" t="s">
        <v>298</v>
      </c>
      <c r="D827" s="4" t="s">
        <v>612</v>
      </c>
      <c r="E827" s="4" t="s">
        <v>15</v>
      </c>
      <c r="F827" s="4" t="s">
        <v>63</v>
      </c>
      <c r="G827" s="4" t="s">
        <v>24</v>
      </c>
      <c r="H827" s="4" t="s">
        <v>50</v>
      </c>
      <c r="I827" s="6">
        <v>9</v>
      </c>
      <c r="J827" s="6">
        <v>12717</v>
      </c>
      <c r="K827" s="6">
        <v>8885.94</v>
      </c>
      <c r="L827" s="6">
        <v>3831.06</v>
      </c>
    </row>
    <row r="828" spans="1:12" x14ac:dyDescent="0.3">
      <c r="A828" s="4" t="s">
        <v>1432</v>
      </c>
      <c r="B828" s="5">
        <v>45759</v>
      </c>
      <c r="C828" s="4" t="s">
        <v>923</v>
      </c>
      <c r="D828" s="4" t="s">
        <v>356</v>
      </c>
      <c r="E828" s="4" t="s">
        <v>15</v>
      </c>
      <c r="F828" s="4" t="s">
        <v>16</v>
      </c>
      <c r="G828" s="4" t="s">
        <v>40</v>
      </c>
      <c r="H828" s="4" t="s">
        <v>41</v>
      </c>
      <c r="I828" s="6">
        <v>8</v>
      </c>
      <c r="J828" s="6">
        <v>9976</v>
      </c>
      <c r="K828" s="6">
        <v>6638.37</v>
      </c>
      <c r="L828" s="6">
        <v>3337.63</v>
      </c>
    </row>
    <row r="829" spans="1:12" x14ac:dyDescent="0.3">
      <c r="A829" s="4" t="s">
        <v>1433</v>
      </c>
      <c r="B829" s="5">
        <v>45363</v>
      </c>
      <c r="C829" s="4" t="s">
        <v>1102</v>
      </c>
      <c r="D829" s="4" t="s">
        <v>431</v>
      </c>
      <c r="E829" s="4" t="s">
        <v>29</v>
      </c>
      <c r="F829" s="4" t="s">
        <v>30</v>
      </c>
      <c r="G829" s="4" t="s">
        <v>35</v>
      </c>
      <c r="H829" s="4" t="s">
        <v>36</v>
      </c>
      <c r="I829" s="6">
        <v>5</v>
      </c>
      <c r="J829" s="6">
        <v>19025</v>
      </c>
      <c r="K829" s="6">
        <v>11541.24</v>
      </c>
      <c r="L829" s="6">
        <v>7483.76</v>
      </c>
    </row>
    <row r="830" spans="1:12" x14ac:dyDescent="0.3">
      <c r="A830" s="4" t="s">
        <v>1434</v>
      </c>
      <c r="B830" s="5">
        <v>45827</v>
      </c>
      <c r="C830" s="4" t="s">
        <v>263</v>
      </c>
      <c r="D830" s="4" t="s">
        <v>98</v>
      </c>
      <c r="E830" s="4" t="s">
        <v>29</v>
      </c>
      <c r="F830" s="4" t="s">
        <v>102</v>
      </c>
      <c r="G830" s="4" t="s">
        <v>17</v>
      </c>
      <c r="H830" s="4" t="s">
        <v>31</v>
      </c>
      <c r="I830" s="6">
        <v>8</v>
      </c>
      <c r="J830" s="6">
        <v>9288</v>
      </c>
      <c r="K830" s="6">
        <v>6212.84</v>
      </c>
      <c r="L830" s="6">
        <v>3075.16</v>
      </c>
    </row>
    <row r="831" spans="1:12" x14ac:dyDescent="0.3">
      <c r="A831" s="4" t="s">
        <v>1435</v>
      </c>
      <c r="B831" s="5">
        <v>45464</v>
      </c>
      <c r="C831" s="4" t="s">
        <v>1382</v>
      </c>
      <c r="D831" s="4" t="s">
        <v>160</v>
      </c>
      <c r="E831" s="4" t="s">
        <v>29</v>
      </c>
      <c r="F831" s="4" t="s">
        <v>49</v>
      </c>
      <c r="G831" s="4" t="s">
        <v>35</v>
      </c>
      <c r="H831" s="4" t="s">
        <v>36</v>
      </c>
      <c r="I831" s="6">
        <v>10</v>
      </c>
      <c r="J831" s="6">
        <v>11330</v>
      </c>
      <c r="K831" s="6">
        <v>8751.6299999999992</v>
      </c>
      <c r="L831" s="6">
        <v>2578.37</v>
      </c>
    </row>
    <row r="832" spans="1:12" x14ac:dyDescent="0.3">
      <c r="A832" s="4" t="s">
        <v>1436</v>
      </c>
      <c r="B832" s="5">
        <v>45726</v>
      </c>
      <c r="C832" s="4" t="s">
        <v>331</v>
      </c>
      <c r="D832" s="4" t="s">
        <v>1437</v>
      </c>
      <c r="E832" s="4" t="s">
        <v>29</v>
      </c>
      <c r="F832" s="4" t="s">
        <v>49</v>
      </c>
      <c r="G832" s="4" t="s">
        <v>40</v>
      </c>
      <c r="H832" s="4" t="s">
        <v>56</v>
      </c>
      <c r="I832" s="6">
        <v>10</v>
      </c>
      <c r="J832" s="6">
        <v>36110</v>
      </c>
      <c r="K832" s="6">
        <v>21190.38</v>
      </c>
      <c r="L832" s="6">
        <v>14919.62</v>
      </c>
    </row>
    <row r="833" spans="1:12" x14ac:dyDescent="0.3">
      <c r="A833" s="4" t="s">
        <v>1438</v>
      </c>
      <c r="B833" s="5">
        <v>45706</v>
      </c>
      <c r="C833" s="4" t="s">
        <v>212</v>
      </c>
      <c r="D833" s="4" t="s">
        <v>193</v>
      </c>
      <c r="E833" s="4" t="s">
        <v>54</v>
      </c>
      <c r="F833" s="4" t="s">
        <v>71</v>
      </c>
      <c r="G833" s="4" t="s">
        <v>35</v>
      </c>
      <c r="H833" s="4" t="s">
        <v>36</v>
      </c>
      <c r="I833" s="6">
        <v>6</v>
      </c>
      <c r="J833" s="6">
        <v>25182</v>
      </c>
      <c r="K833" s="6">
        <v>18886.580000000002</v>
      </c>
      <c r="L833" s="6">
        <v>6295.42</v>
      </c>
    </row>
    <row r="834" spans="1:12" x14ac:dyDescent="0.3">
      <c r="A834" s="4" t="s">
        <v>1439</v>
      </c>
      <c r="B834" s="5">
        <v>45801</v>
      </c>
      <c r="C834" s="4" t="s">
        <v>1220</v>
      </c>
      <c r="D834" s="4" t="s">
        <v>661</v>
      </c>
      <c r="E834" s="4" t="s">
        <v>54</v>
      </c>
      <c r="F834" s="4" t="s">
        <v>142</v>
      </c>
      <c r="G834" s="4" t="s">
        <v>35</v>
      </c>
      <c r="H834" s="4" t="s">
        <v>80</v>
      </c>
      <c r="I834" s="6">
        <v>2</v>
      </c>
      <c r="J834" s="6">
        <v>2600</v>
      </c>
      <c r="K834" s="6">
        <v>1625.54</v>
      </c>
      <c r="L834" s="6">
        <v>974.46</v>
      </c>
    </row>
    <row r="835" spans="1:12" x14ac:dyDescent="0.3">
      <c r="A835" s="4" t="s">
        <v>1440</v>
      </c>
      <c r="B835" s="5">
        <v>45319</v>
      </c>
      <c r="C835" s="4" t="s">
        <v>710</v>
      </c>
      <c r="D835" s="4" t="s">
        <v>1029</v>
      </c>
      <c r="E835" s="4" t="s">
        <v>15</v>
      </c>
      <c r="F835" s="4" t="s">
        <v>16</v>
      </c>
      <c r="G835" s="4" t="s">
        <v>17</v>
      </c>
      <c r="H835" s="4" t="s">
        <v>18</v>
      </c>
      <c r="I835" s="6">
        <v>1</v>
      </c>
      <c r="J835" s="6">
        <v>858</v>
      </c>
      <c r="K835" s="6">
        <v>600.12</v>
      </c>
      <c r="L835" s="6">
        <v>257.88</v>
      </c>
    </row>
    <row r="836" spans="1:12" x14ac:dyDescent="0.3">
      <c r="A836" s="4" t="s">
        <v>1441</v>
      </c>
      <c r="B836" s="5">
        <v>45968</v>
      </c>
      <c r="C836" s="4" t="s">
        <v>848</v>
      </c>
      <c r="D836" s="4" t="s">
        <v>70</v>
      </c>
      <c r="E836" s="4" t="s">
        <v>54</v>
      </c>
      <c r="F836" s="4" t="s">
        <v>142</v>
      </c>
      <c r="G836" s="4" t="s">
        <v>40</v>
      </c>
      <c r="H836" s="4" t="s">
        <v>99</v>
      </c>
      <c r="I836" s="6">
        <v>10</v>
      </c>
      <c r="J836" s="6">
        <v>10890</v>
      </c>
      <c r="K836" s="6">
        <v>8472.98</v>
      </c>
      <c r="L836" s="6">
        <v>2417.02</v>
      </c>
    </row>
    <row r="837" spans="1:12" x14ac:dyDescent="0.3">
      <c r="A837" s="4" t="s">
        <v>1442</v>
      </c>
      <c r="B837" s="5">
        <v>45847</v>
      </c>
      <c r="C837" s="4" t="s">
        <v>792</v>
      </c>
      <c r="D837" s="4" t="s">
        <v>496</v>
      </c>
      <c r="E837" s="4" t="s">
        <v>22</v>
      </c>
      <c r="F837" s="4" t="s">
        <v>23</v>
      </c>
      <c r="G837" s="4" t="s">
        <v>40</v>
      </c>
      <c r="H837" s="4" t="s">
        <v>99</v>
      </c>
      <c r="I837" s="6">
        <v>8</v>
      </c>
      <c r="J837" s="6">
        <v>34528</v>
      </c>
      <c r="K837" s="6">
        <v>24219.27</v>
      </c>
      <c r="L837" s="6">
        <v>10308.73</v>
      </c>
    </row>
    <row r="838" spans="1:12" x14ac:dyDescent="0.3">
      <c r="A838" s="4" t="s">
        <v>1443</v>
      </c>
      <c r="B838" s="5">
        <v>45677</v>
      </c>
      <c r="C838" s="4" t="s">
        <v>324</v>
      </c>
      <c r="D838" s="4" t="s">
        <v>665</v>
      </c>
      <c r="E838" s="4" t="s">
        <v>15</v>
      </c>
      <c r="F838" s="4" t="s">
        <v>16</v>
      </c>
      <c r="G838" s="4" t="s">
        <v>35</v>
      </c>
      <c r="H838" s="4" t="s">
        <v>36</v>
      </c>
      <c r="I838" s="6">
        <v>2</v>
      </c>
      <c r="J838" s="6">
        <v>6884</v>
      </c>
      <c r="K838" s="6">
        <v>4715.78</v>
      </c>
      <c r="L838" s="6">
        <v>2168.2199999999998</v>
      </c>
    </row>
    <row r="839" spans="1:12" x14ac:dyDescent="0.3">
      <c r="A839" s="4" t="s">
        <v>1444</v>
      </c>
      <c r="B839" s="5">
        <v>45460</v>
      </c>
      <c r="C839" s="4" t="s">
        <v>737</v>
      </c>
      <c r="D839" s="4" t="s">
        <v>1445</v>
      </c>
      <c r="E839" s="4" t="s">
        <v>15</v>
      </c>
      <c r="F839" s="4" t="s">
        <v>16</v>
      </c>
      <c r="G839" s="4" t="s">
        <v>24</v>
      </c>
      <c r="H839" s="4" t="s">
        <v>166</v>
      </c>
      <c r="I839" s="6">
        <v>9</v>
      </c>
      <c r="J839" s="6">
        <v>25038</v>
      </c>
      <c r="K839" s="6">
        <v>20416.240000000002</v>
      </c>
      <c r="L839" s="6">
        <v>4621.76</v>
      </c>
    </row>
    <row r="840" spans="1:12" x14ac:dyDescent="0.3">
      <c r="A840" s="4" t="s">
        <v>1446</v>
      </c>
      <c r="B840" s="5">
        <v>45874</v>
      </c>
      <c r="C840" s="4" t="s">
        <v>737</v>
      </c>
      <c r="D840" s="4" t="s">
        <v>399</v>
      </c>
      <c r="E840" s="4" t="s">
        <v>29</v>
      </c>
      <c r="F840" s="4" t="s">
        <v>49</v>
      </c>
      <c r="G840" s="4" t="s">
        <v>17</v>
      </c>
      <c r="H840" s="4" t="s">
        <v>18</v>
      </c>
      <c r="I840" s="6">
        <v>7</v>
      </c>
      <c r="J840" s="6">
        <v>30051</v>
      </c>
      <c r="K840" s="6">
        <v>23415.84</v>
      </c>
      <c r="L840" s="6">
        <v>6635.16</v>
      </c>
    </row>
    <row r="841" spans="1:12" x14ac:dyDescent="0.3">
      <c r="A841" s="4" t="s">
        <v>1447</v>
      </c>
      <c r="B841" s="5">
        <v>45561</v>
      </c>
      <c r="C841" s="4" t="s">
        <v>200</v>
      </c>
      <c r="D841" s="4" t="s">
        <v>894</v>
      </c>
      <c r="E841" s="4" t="s">
        <v>22</v>
      </c>
      <c r="F841" s="4" t="s">
        <v>67</v>
      </c>
      <c r="G841" s="4" t="s">
        <v>35</v>
      </c>
      <c r="H841" s="4" t="s">
        <v>45</v>
      </c>
      <c r="I841" s="6">
        <v>3</v>
      </c>
      <c r="J841" s="6">
        <v>13350</v>
      </c>
      <c r="K841" s="6">
        <v>7565.73</v>
      </c>
      <c r="L841" s="6">
        <v>5784.27</v>
      </c>
    </row>
    <row r="842" spans="1:12" x14ac:dyDescent="0.3">
      <c r="A842" s="4" t="s">
        <v>1448</v>
      </c>
      <c r="B842" s="5">
        <v>45423</v>
      </c>
      <c r="C842" s="4" t="s">
        <v>591</v>
      </c>
      <c r="D842" s="4" t="s">
        <v>1165</v>
      </c>
      <c r="E842" s="4" t="s">
        <v>54</v>
      </c>
      <c r="F842" s="4" t="s">
        <v>55</v>
      </c>
      <c r="G842" s="4" t="s">
        <v>40</v>
      </c>
      <c r="H842" s="4" t="s">
        <v>41</v>
      </c>
      <c r="I842" s="6">
        <v>1</v>
      </c>
      <c r="J842" s="6">
        <v>530</v>
      </c>
      <c r="K842" s="6">
        <v>385.38</v>
      </c>
      <c r="L842" s="6">
        <v>144.62</v>
      </c>
    </row>
    <row r="843" spans="1:12" x14ac:dyDescent="0.3">
      <c r="A843" s="4" t="s">
        <v>1449</v>
      </c>
      <c r="B843" s="5">
        <v>45657</v>
      </c>
      <c r="C843" s="4" t="s">
        <v>165</v>
      </c>
      <c r="D843" s="4" t="s">
        <v>488</v>
      </c>
      <c r="E843" s="4" t="s">
        <v>15</v>
      </c>
      <c r="F843" s="4" t="s">
        <v>90</v>
      </c>
      <c r="G843" s="4" t="s">
        <v>40</v>
      </c>
      <c r="H843" s="4" t="s">
        <v>41</v>
      </c>
      <c r="I843" s="6">
        <v>7</v>
      </c>
      <c r="J843" s="6">
        <v>7679</v>
      </c>
      <c r="K843" s="6">
        <v>5209.7700000000004</v>
      </c>
      <c r="L843" s="6">
        <v>2469.23</v>
      </c>
    </row>
    <row r="844" spans="1:12" x14ac:dyDescent="0.3">
      <c r="A844" s="4" t="s">
        <v>1450</v>
      </c>
      <c r="B844" s="5">
        <v>45898</v>
      </c>
      <c r="C844" s="4" t="s">
        <v>263</v>
      </c>
      <c r="D844" s="4" t="s">
        <v>862</v>
      </c>
      <c r="E844" s="4" t="s">
        <v>15</v>
      </c>
      <c r="F844" s="4" t="s">
        <v>90</v>
      </c>
      <c r="G844" s="4" t="s">
        <v>40</v>
      </c>
      <c r="H844" s="4" t="s">
        <v>56</v>
      </c>
      <c r="I844" s="6">
        <v>4</v>
      </c>
      <c r="J844" s="6">
        <v>8888</v>
      </c>
      <c r="K844" s="6">
        <v>6616.45</v>
      </c>
      <c r="L844" s="6">
        <v>2271.5500000000002</v>
      </c>
    </row>
    <row r="845" spans="1:12" x14ac:dyDescent="0.3">
      <c r="A845" s="4" t="s">
        <v>1451</v>
      </c>
      <c r="B845" s="5">
        <v>45330</v>
      </c>
      <c r="C845" s="4" t="s">
        <v>458</v>
      </c>
      <c r="D845" s="4" t="s">
        <v>111</v>
      </c>
      <c r="E845" s="4" t="s">
        <v>54</v>
      </c>
      <c r="F845" s="4" t="s">
        <v>142</v>
      </c>
      <c r="G845" s="4" t="s">
        <v>40</v>
      </c>
      <c r="H845" s="4" t="s">
        <v>41</v>
      </c>
      <c r="I845" s="6">
        <v>3</v>
      </c>
      <c r="J845" s="6">
        <v>1383</v>
      </c>
      <c r="K845" s="6">
        <v>984.04</v>
      </c>
      <c r="L845" s="6">
        <v>398.96</v>
      </c>
    </row>
    <row r="846" spans="1:12" x14ac:dyDescent="0.3">
      <c r="A846" s="4" t="s">
        <v>1452</v>
      </c>
      <c r="B846" s="5">
        <v>45678</v>
      </c>
      <c r="C846" s="4" t="s">
        <v>912</v>
      </c>
      <c r="D846" s="4" t="s">
        <v>1016</v>
      </c>
      <c r="E846" s="4" t="s">
        <v>22</v>
      </c>
      <c r="F846" s="4" t="s">
        <v>67</v>
      </c>
      <c r="G846" s="4" t="s">
        <v>24</v>
      </c>
      <c r="H846" s="4" t="s">
        <v>25</v>
      </c>
      <c r="I846" s="6">
        <v>8</v>
      </c>
      <c r="J846" s="6">
        <v>3856</v>
      </c>
      <c r="K846" s="6">
        <v>3261.13</v>
      </c>
      <c r="L846" s="6">
        <v>594.87</v>
      </c>
    </row>
    <row r="847" spans="1:12" x14ac:dyDescent="0.3">
      <c r="A847" s="4" t="s">
        <v>1453</v>
      </c>
      <c r="B847" s="5">
        <v>45502</v>
      </c>
      <c r="C847" s="4" t="s">
        <v>225</v>
      </c>
      <c r="D847" s="4" t="s">
        <v>375</v>
      </c>
      <c r="E847" s="4" t="s">
        <v>54</v>
      </c>
      <c r="F847" s="4" t="s">
        <v>71</v>
      </c>
      <c r="G847" s="4" t="s">
        <v>24</v>
      </c>
      <c r="H847" s="4" t="s">
        <v>50</v>
      </c>
      <c r="I847" s="6">
        <v>8</v>
      </c>
      <c r="J847" s="6">
        <v>8952</v>
      </c>
      <c r="K847" s="6">
        <v>6778.98</v>
      </c>
      <c r="L847" s="6">
        <v>2173.02</v>
      </c>
    </row>
    <row r="848" spans="1:12" x14ac:dyDescent="0.3">
      <c r="A848" s="4" t="s">
        <v>1454</v>
      </c>
      <c r="B848" s="5">
        <v>45498</v>
      </c>
      <c r="C848" s="4" t="s">
        <v>865</v>
      </c>
      <c r="D848" s="4" t="s">
        <v>350</v>
      </c>
      <c r="E848" s="4" t="s">
        <v>54</v>
      </c>
      <c r="F848" s="4" t="s">
        <v>142</v>
      </c>
      <c r="G848" s="4" t="s">
        <v>17</v>
      </c>
      <c r="H848" s="4" t="s">
        <v>72</v>
      </c>
      <c r="I848" s="6">
        <v>5</v>
      </c>
      <c r="J848" s="6">
        <v>16380</v>
      </c>
      <c r="K848" s="6">
        <v>13772.77</v>
      </c>
      <c r="L848" s="6">
        <v>2607.23</v>
      </c>
    </row>
    <row r="849" spans="1:12" x14ac:dyDescent="0.3">
      <c r="A849" s="4" t="s">
        <v>1455</v>
      </c>
      <c r="B849" s="5">
        <v>45703</v>
      </c>
      <c r="C849" s="4" t="s">
        <v>802</v>
      </c>
      <c r="D849" s="4" t="s">
        <v>34</v>
      </c>
      <c r="E849" s="4" t="s">
        <v>29</v>
      </c>
      <c r="F849" s="4" t="s">
        <v>49</v>
      </c>
      <c r="G849" s="4" t="s">
        <v>40</v>
      </c>
      <c r="H849" s="4" t="s">
        <v>99</v>
      </c>
      <c r="I849" s="6">
        <v>1</v>
      </c>
      <c r="J849" s="6">
        <v>2735</v>
      </c>
      <c r="K849" s="6">
        <v>2321.65</v>
      </c>
      <c r="L849" s="6">
        <v>413.35</v>
      </c>
    </row>
    <row r="850" spans="1:12" x14ac:dyDescent="0.3">
      <c r="A850" s="4" t="s">
        <v>1456</v>
      </c>
      <c r="B850" s="5">
        <v>45835</v>
      </c>
      <c r="C850" s="4" t="s">
        <v>1102</v>
      </c>
      <c r="D850" s="4" t="s">
        <v>982</v>
      </c>
      <c r="E850" s="4" t="s">
        <v>15</v>
      </c>
      <c r="F850" s="4" t="s">
        <v>90</v>
      </c>
      <c r="G850" s="4" t="s">
        <v>40</v>
      </c>
      <c r="H850" s="4" t="s">
        <v>41</v>
      </c>
      <c r="I850" s="6">
        <v>5</v>
      </c>
      <c r="J850" s="6">
        <v>4255</v>
      </c>
      <c r="K850" s="6">
        <v>3063.3</v>
      </c>
      <c r="L850" s="6">
        <v>1191.7</v>
      </c>
    </row>
    <row r="851" spans="1:12" x14ac:dyDescent="0.3">
      <c r="A851" s="4" t="s">
        <v>1457</v>
      </c>
      <c r="B851" s="5">
        <v>45735</v>
      </c>
      <c r="C851" s="4" t="s">
        <v>214</v>
      </c>
      <c r="D851" s="4" t="s">
        <v>127</v>
      </c>
      <c r="E851" s="4" t="s">
        <v>29</v>
      </c>
      <c r="F851" s="4" t="s">
        <v>49</v>
      </c>
      <c r="G851" s="4" t="s">
        <v>24</v>
      </c>
      <c r="H851" s="4" t="s">
        <v>50</v>
      </c>
      <c r="I851" s="6">
        <v>5</v>
      </c>
      <c r="J851" s="6">
        <v>22170</v>
      </c>
      <c r="K851" s="6">
        <v>17541.75</v>
      </c>
      <c r="L851" s="6">
        <v>4628.25</v>
      </c>
    </row>
    <row r="852" spans="1:12" x14ac:dyDescent="0.3">
      <c r="A852" s="4" t="s">
        <v>1458</v>
      </c>
      <c r="B852" s="5">
        <v>45852</v>
      </c>
      <c r="C852" s="4" t="s">
        <v>361</v>
      </c>
      <c r="D852" s="4" t="s">
        <v>453</v>
      </c>
      <c r="E852" s="4" t="s">
        <v>29</v>
      </c>
      <c r="F852" s="4" t="s">
        <v>49</v>
      </c>
      <c r="G852" s="4" t="s">
        <v>35</v>
      </c>
      <c r="H852" s="4" t="s">
        <v>36</v>
      </c>
      <c r="I852" s="6">
        <v>5</v>
      </c>
      <c r="J852" s="6">
        <v>22605</v>
      </c>
      <c r="K852" s="6">
        <v>15506.32</v>
      </c>
      <c r="L852" s="6">
        <v>7098.68</v>
      </c>
    </row>
    <row r="853" spans="1:12" x14ac:dyDescent="0.3">
      <c r="A853" s="4" t="s">
        <v>1459</v>
      </c>
      <c r="B853" s="5">
        <v>45945</v>
      </c>
      <c r="C853" s="4" t="s">
        <v>92</v>
      </c>
      <c r="D853" s="4" t="s">
        <v>252</v>
      </c>
      <c r="E853" s="4" t="s">
        <v>29</v>
      </c>
      <c r="F853" s="4" t="s">
        <v>30</v>
      </c>
      <c r="G853" s="4" t="s">
        <v>35</v>
      </c>
      <c r="H853" s="4" t="s">
        <v>80</v>
      </c>
      <c r="I853" s="6">
        <v>4</v>
      </c>
      <c r="J853" s="6">
        <v>16512</v>
      </c>
      <c r="K853" s="6">
        <v>10408.85</v>
      </c>
      <c r="L853" s="6">
        <v>6103.15</v>
      </c>
    </row>
    <row r="854" spans="1:12" x14ac:dyDescent="0.3">
      <c r="A854" s="4" t="s">
        <v>1460</v>
      </c>
      <c r="B854" s="5">
        <v>45446</v>
      </c>
      <c r="C854" s="4" t="s">
        <v>137</v>
      </c>
      <c r="D854" s="4" t="s">
        <v>252</v>
      </c>
      <c r="E854" s="4" t="s">
        <v>15</v>
      </c>
      <c r="F854" s="4" t="s">
        <v>90</v>
      </c>
      <c r="G854" s="4" t="s">
        <v>40</v>
      </c>
      <c r="H854" s="4" t="s">
        <v>56</v>
      </c>
      <c r="I854" s="6">
        <v>6</v>
      </c>
      <c r="J854" s="6">
        <v>24528</v>
      </c>
      <c r="K854" s="6">
        <v>14577.56</v>
      </c>
      <c r="L854" s="6">
        <v>9950.44</v>
      </c>
    </row>
    <row r="855" spans="1:12" x14ac:dyDescent="0.3">
      <c r="A855" s="4" t="s">
        <v>1461</v>
      </c>
      <c r="B855" s="5">
        <v>45585</v>
      </c>
      <c r="C855" s="4" t="s">
        <v>154</v>
      </c>
      <c r="D855" s="4" t="s">
        <v>1462</v>
      </c>
      <c r="E855" s="4" t="s">
        <v>22</v>
      </c>
      <c r="F855" s="4" t="s">
        <v>67</v>
      </c>
      <c r="G855" s="4" t="s">
        <v>24</v>
      </c>
      <c r="H855" s="4" t="s">
        <v>50</v>
      </c>
      <c r="I855" s="6">
        <v>4</v>
      </c>
      <c r="J855" s="6">
        <v>14712</v>
      </c>
      <c r="K855" s="6">
        <v>9269.74</v>
      </c>
      <c r="L855" s="6">
        <v>5442.26</v>
      </c>
    </row>
    <row r="856" spans="1:12" x14ac:dyDescent="0.3">
      <c r="A856" s="4" t="s">
        <v>1463</v>
      </c>
      <c r="B856" s="5">
        <v>45543</v>
      </c>
      <c r="C856" s="4" t="s">
        <v>490</v>
      </c>
      <c r="D856" s="4" t="s">
        <v>389</v>
      </c>
      <c r="E856" s="4" t="s">
        <v>29</v>
      </c>
      <c r="F856" s="4" t="s">
        <v>49</v>
      </c>
      <c r="G856" s="4" t="s">
        <v>40</v>
      </c>
      <c r="H856" s="4" t="s">
        <v>56</v>
      </c>
      <c r="I856" s="6">
        <v>2</v>
      </c>
      <c r="J856" s="6">
        <v>3056</v>
      </c>
      <c r="K856" s="6">
        <v>1856.75</v>
      </c>
      <c r="L856" s="6">
        <v>1199.25</v>
      </c>
    </row>
    <row r="857" spans="1:12" x14ac:dyDescent="0.3">
      <c r="A857" s="4" t="s">
        <v>1464</v>
      </c>
      <c r="B857" s="5">
        <v>45571</v>
      </c>
      <c r="C857" s="4" t="s">
        <v>882</v>
      </c>
      <c r="D857" s="4" t="s">
        <v>174</v>
      </c>
      <c r="E857" s="4" t="s">
        <v>22</v>
      </c>
      <c r="F857" s="4" t="s">
        <v>79</v>
      </c>
      <c r="G857" s="4" t="s">
        <v>35</v>
      </c>
      <c r="H857" s="4" t="s">
        <v>36</v>
      </c>
      <c r="I857" s="6">
        <v>7</v>
      </c>
      <c r="J857" s="6">
        <v>4221</v>
      </c>
      <c r="K857" s="6">
        <v>2577.33</v>
      </c>
      <c r="L857" s="6">
        <v>1643.67</v>
      </c>
    </row>
    <row r="858" spans="1:12" x14ac:dyDescent="0.3">
      <c r="A858" s="4" t="s">
        <v>1465</v>
      </c>
      <c r="B858" s="5">
        <v>45335</v>
      </c>
      <c r="C858" s="4" t="s">
        <v>212</v>
      </c>
      <c r="D858" s="4" t="s">
        <v>524</v>
      </c>
      <c r="E858" s="4" t="s">
        <v>54</v>
      </c>
      <c r="F858" s="4" t="s">
        <v>55</v>
      </c>
      <c r="G858" s="4" t="s">
        <v>17</v>
      </c>
      <c r="H858" s="4" t="s">
        <v>31</v>
      </c>
      <c r="I858" s="6">
        <v>9</v>
      </c>
      <c r="J858" s="6">
        <v>15669</v>
      </c>
      <c r="K858" s="6">
        <v>11646.58</v>
      </c>
      <c r="L858" s="6">
        <v>4022.42</v>
      </c>
    </row>
    <row r="859" spans="1:12" x14ac:dyDescent="0.3">
      <c r="A859" s="4" t="s">
        <v>1466</v>
      </c>
      <c r="B859" s="5">
        <v>45708</v>
      </c>
      <c r="C859" s="4" t="s">
        <v>47</v>
      </c>
      <c r="D859" s="4" t="s">
        <v>439</v>
      </c>
      <c r="E859" s="4" t="s">
        <v>15</v>
      </c>
      <c r="F859" s="4" t="s">
        <v>16</v>
      </c>
      <c r="G859" s="4" t="s">
        <v>40</v>
      </c>
      <c r="H859" s="4" t="s">
        <v>41</v>
      </c>
      <c r="I859" s="6">
        <v>10</v>
      </c>
      <c r="J859" s="6">
        <v>27410</v>
      </c>
      <c r="K859" s="6">
        <v>22206.25</v>
      </c>
      <c r="L859" s="6">
        <v>5203.75</v>
      </c>
    </row>
    <row r="860" spans="1:12" x14ac:dyDescent="0.3">
      <c r="A860" s="4" t="s">
        <v>1467</v>
      </c>
      <c r="B860" s="5">
        <v>45804</v>
      </c>
      <c r="C860" s="4" t="s">
        <v>245</v>
      </c>
      <c r="D860" s="4" t="s">
        <v>135</v>
      </c>
      <c r="E860" s="4" t="s">
        <v>22</v>
      </c>
      <c r="F860" s="4" t="s">
        <v>79</v>
      </c>
      <c r="G860" s="4" t="s">
        <v>24</v>
      </c>
      <c r="H860" s="4" t="s">
        <v>166</v>
      </c>
      <c r="I860" s="6">
        <v>4</v>
      </c>
      <c r="J860" s="6">
        <v>4864</v>
      </c>
      <c r="K860" s="6">
        <v>3508.36</v>
      </c>
      <c r="L860" s="6">
        <v>1355.64</v>
      </c>
    </row>
    <row r="861" spans="1:12" x14ac:dyDescent="0.3">
      <c r="A861" s="4" t="s">
        <v>1468</v>
      </c>
      <c r="B861" s="5">
        <v>45612</v>
      </c>
      <c r="C861" s="4" t="s">
        <v>984</v>
      </c>
      <c r="D861" s="4" t="s">
        <v>221</v>
      </c>
      <c r="E861" s="4" t="s">
        <v>54</v>
      </c>
      <c r="F861" s="4" t="s">
        <v>55</v>
      </c>
      <c r="G861" s="4" t="s">
        <v>24</v>
      </c>
      <c r="H861" s="4" t="s">
        <v>50</v>
      </c>
      <c r="I861" s="6">
        <v>4</v>
      </c>
      <c r="J861" s="6">
        <v>5204</v>
      </c>
      <c r="K861" s="6">
        <v>4069.31</v>
      </c>
      <c r="L861" s="6">
        <v>1134.69</v>
      </c>
    </row>
    <row r="862" spans="1:12" x14ac:dyDescent="0.3">
      <c r="A862" s="4" t="s">
        <v>1469</v>
      </c>
      <c r="B862" s="5">
        <v>45401</v>
      </c>
      <c r="C862" s="4" t="s">
        <v>556</v>
      </c>
      <c r="D862" s="4" t="s">
        <v>141</v>
      </c>
      <c r="E862" s="4" t="s">
        <v>22</v>
      </c>
      <c r="F862" s="4" t="s">
        <v>79</v>
      </c>
      <c r="G862" s="4" t="s">
        <v>17</v>
      </c>
      <c r="H862" s="4" t="s">
        <v>18</v>
      </c>
      <c r="I862" s="6">
        <v>4</v>
      </c>
      <c r="J862" s="6">
        <v>15056</v>
      </c>
      <c r="K862" s="6">
        <v>9265.5</v>
      </c>
      <c r="L862" s="6">
        <v>5790.5</v>
      </c>
    </row>
    <row r="863" spans="1:12" x14ac:dyDescent="0.3">
      <c r="A863" s="4" t="s">
        <v>1470</v>
      </c>
      <c r="B863" s="5">
        <v>45675</v>
      </c>
      <c r="C863" s="4" t="s">
        <v>1430</v>
      </c>
      <c r="D863" s="4" t="s">
        <v>1471</v>
      </c>
      <c r="E863" s="4" t="s">
        <v>54</v>
      </c>
      <c r="F863" s="4" t="s">
        <v>55</v>
      </c>
      <c r="G863" s="4" t="s">
        <v>35</v>
      </c>
      <c r="H863" s="4" t="s">
        <v>36</v>
      </c>
      <c r="I863" s="6">
        <v>5</v>
      </c>
      <c r="J863" s="6">
        <v>3790</v>
      </c>
      <c r="K863" s="6">
        <v>2642.04</v>
      </c>
      <c r="L863" s="6">
        <v>1147.96</v>
      </c>
    </row>
    <row r="864" spans="1:12" x14ac:dyDescent="0.3">
      <c r="A864" s="4" t="s">
        <v>1472</v>
      </c>
      <c r="B864" s="5">
        <v>45440</v>
      </c>
      <c r="C864" s="4" t="s">
        <v>649</v>
      </c>
      <c r="D864" s="4" t="s">
        <v>198</v>
      </c>
      <c r="E864" s="4" t="s">
        <v>22</v>
      </c>
      <c r="F864" s="4" t="s">
        <v>67</v>
      </c>
      <c r="G864" s="4" t="s">
        <v>17</v>
      </c>
      <c r="H864" s="4" t="s">
        <v>31</v>
      </c>
      <c r="I864" s="6">
        <v>4</v>
      </c>
      <c r="J864" s="6">
        <v>10300</v>
      </c>
      <c r="K864" s="6">
        <v>8382.4500000000007</v>
      </c>
      <c r="L864" s="6">
        <v>1917.55</v>
      </c>
    </row>
    <row r="865" spans="1:12" x14ac:dyDescent="0.3">
      <c r="A865" s="4" t="s">
        <v>1473</v>
      </c>
      <c r="B865" s="5">
        <v>45970</v>
      </c>
      <c r="C865" s="4" t="s">
        <v>771</v>
      </c>
      <c r="D865" s="4" t="s">
        <v>89</v>
      </c>
      <c r="E865" s="4" t="s">
        <v>54</v>
      </c>
      <c r="F865" s="4" t="s">
        <v>55</v>
      </c>
      <c r="G865" s="4" t="s">
        <v>24</v>
      </c>
      <c r="H865" s="4" t="s">
        <v>25</v>
      </c>
      <c r="I865" s="6">
        <v>10</v>
      </c>
      <c r="J865" s="6">
        <v>5850</v>
      </c>
      <c r="K865" s="6">
        <v>4694.29</v>
      </c>
      <c r="L865" s="6">
        <v>1155.71</v>
      </c>
    </row>
    <row r="866" spans="1:12" x14ac:dyDescent="0.3">
      <c r="A866" s="4" t="s">
        <v>1474</v>
      </c>
      <c r="B866" s="5">
        <v>45993</v>
      </c>
      <c r="C866" s="4" t="s">
        <v>427</v>
      </c>
      <c r="D866" s="4" t="s">
        <v>946</v>
      </c>
      <c r="E866" s="4" t="s">
        <v>54</v>
      </c>
      <c r="F866" s="4" t="s">
        <v>71</v>
      </c>
      <c r="G866" s="4" t="s">
        <v>35</v>
      </c>
      <c r="H866" s="4" t="s">
        <v>36</v>
      </c>
      <c r="I866" s="6">
        <v>5</v>
      </c>
      <c r="J866" s="6">
        <v>16360</v>
      </c>
      <c r="K866" s="6">
        <v>13430.7</v>
      </c>
      <c r="L866" s="6">
        <v>2929.3</v>
      </c>
    </row>
    <row r="867" spans="1:12" x14ac:dyDescent="0.3">
      <c r="A867" s="4" t="s">
        <v>1475</v>
      </c>
      <c r="B867" s="5">
        <v>45553</v>
      </c>
      <c r="C867" s="4" t="s">
        <v>1414</v>
      </c>
      <c r="D867" s="4" t="s">
        <v>439</v>
      </c>
      <c r="E867" s="4" t="s">
        <v>29</v>
      </c>
      <c r="F867" s="4" t="s">
        <v>49</v>
      </c>
      <c r="G867" s="4" t="s">
        <v>35</v>
      </c>
      <c r="H867" s="4" t="s">
        <v>36</v>
      </c>
      <c r="I867" s="6">
        <v>1</v>
      </c>
      <c r="J867" s="6">
        <v>3519</v>
      </c>
      <c r="K867" s="6">
        <v>2914.62</v>
      </c>
      <c r="L867" s="6">
        <v>604.38</v>
      </c>
    </row>
    <row r="868" spans="1:12" x14ac:dyDescent="0.3">
      <c r="A868" s="4" t="s">
        <v>1476</v>
      </c>
      <c r="B868" s="5">
        <v>45951</v>
      </c>
      <c r="C868" s="4" t="s">
        <v>162</v>
      </c>
      <c r="D868" s="4" t="s">
        <v>1153</v>
      </c>
      <c r="E868" s="4" t="s">
        <v>29</v>
      </c>
      <c r="F868" s="4" t="s">
        <v>49</v>
      </c>
      <c r="G868" s="4" t="s">
        <v>40</v>
      </c>
      <c r="H868" s="4" t="s">
        <v>56</v>
      </c>
      <c r="I868" s="6">
        <v>3</v>
      </c>
      <c r="J868" s="6">
        <v>11685</v>
      </c>
      <c r="K868" s="6">
        <v>8639.9599999999991</v>
      </c>
      <c r="L868" s="6">
        <v>3045.04</v>
      </c>
    </row>
    <row r="869" spans="1:12" x14ac:dyDescent="0.3">
      <c r="A869" s="4" t="s">
        <v>1477</v>
      </c>
      <c r="B869" s="5">
        <v>45632</v>
      </c>
      <c r="C869" s="4" t="s">
        <v>95</v>
      </c>
      <c r="D869" s="4" t="s">
        <v>1117</v>
      </c>
      <c r="E869" s="4" t="s">
        <v>54</v>
      </c>
      <c r="F869" s="4" t="s">
        <v>142</v>
      </c>
      <c r="G869" s="4" t="s">
        <v>35</v>
      </c>
      <c r="H869" s="4" t="s">
        <v>80</v>
      </c>
      <c r="I869" s="6">
        <v>8</v>
      </c>
      <c r="J869" s="6">
        <v>29456</v>
      </c>
      <c r="K869" s="6">
        <v>24388.07</v>
      </c>
      <c r="L869" s="6">
        <v>5067.93</v>
      </c>
    </row>
    <row r="870" spans="1:12" x14ac:dyDescent="0.3">
      <c r="A870" s="4" t="s">
        <v>1478</v>
      </c>
      <c r="B870" s="5">
        <v>45908</v>
      </c>
      <c r="C870" s="4" t="s">
        <v>969</v>
      </c>
      <c r="D870" s="4" t="s">
        <v>232</v>
      </c>
      <c r="E870" s="4" t="s">
        <v>29</v>
      </c>
      <c r="F870" s="4" t="s">
        <v>30</v>
      </c>
      <c r="G870" s="4" t="s">
        <v>40</v>
      </c>
      <c r="H870" s="4" t="s">
        <v>99</v>
      </c>
      <c r="I870" s="6">
        <v>9</v>
      </c>
      <c r="J870" s="6">
        <v>7587</v>
      </c>
      <c r="K870" s="6">
        <v>4973.71</v>
      </c>
      <c r="L870" s="6">
        <v>2613.29</v>
      </c>
    </row>
    <row r="871" spans="1:12" x14ac:dyDescent="0.3">
      <c r="A871" s="4" t="s">
        <v>1479</v>
      </c>
      <c r="B871" s="5">
        <v>45948</v>
      </c>
      <c r="C871" s="4" t="s">
        <v>882</v>
      </c>
      <c r="D871" s="4" t="s">
        <v>338</v>
      </c>
      <c r="E871" s="4" t="s">
        <v>22</v>
      </c>
      <c r="F871" s="4" t="s">
        <v>79</v>
      </c>
      <c r="G871" s="4" t="s">
        <v>24</v>
      </c>
      <c r="H871" s="4" t="s">
        <v>25</v>
      </c>
      <c r="I871" s="6">
        <v>1</v>
      </c>
      <c r="J871" s="6">
        <v>1805</v>
      </c>
      <c r="K871" s="6">
        <v>1333.98</v>
      </c>
      <c r="L871" s="6">
        <v>471.02</v>
      </c>
    </row>
    <row r="872" spans="1:12" x14ac:dyDescent="0.3">
      <c r="A872" s="4" t="s">
        <v>1480</v>
      </c>
      <c r="B872" s="5">
        <v>45405</v>
      </c>
      <c r="C872" s="4" t="s">
        <v>129</v>
      </c>
      <c r="D872" s="4" t="s">
        <v>114</v>
      </c>
      <c r="E872" s="4" t="s">
        <v>22</v>
      </c>
      <c r="F872" s="4" t="s">
        <v>23</v>
      </c>
      <c r="G872" s="4" t="s">
        <v>17</v>
      </c>
      <c r="H872" s="4" t="s">
        <v>31</v>
      </c>
      <c r="I872" s="6">
        <v>5</v>
      </c>
      <c r="J872" s="6">
        <v>14350</v>
      </c>
      <c r="K872" s="6">
        <v>10371.36</v>
      </c>
      <c r="L872" s="6">
        <v>3978.64</v>
      </c>
    </row>
    <row r="873" spans="1:12" x14ac:dyDescent="0.3">
      <c r="A873" s="4" t="s">
        <v>1481</v>
      </c>
      <c r="B873" s="5">
        <v>45428</v>
      </c>
      <c r="C873" s="4" t="s">
        <v>940</v>
      </c>
      <c r="D873" s="4" t="s">
        <v>466</v>
      </c>
      <c r="E873" s="4" t="s">
        <v>29</v>
      </c>
      <c r="F873" s="4" t="s">
        <v>30</v>
      </c>
      <c r="G873" s="4" t="s">
        <v>17</v>
      </c>
      <c r="H873" s="4" t="s">
        <v>31</v>
      </c>
      <c r="I873" s="6">
        <v>7</v>
      </c>
      <c r="J873" s="6">
        <v>20412</v>
      </c>
      <c r="K873" s="6">
        <v>13991.34</v>
      </c>
      <c r="L873" s="6">
        <v>6420.66</v>
      </c>
    </row>
    <row r="874" spans="1:12" x14ac:dyDescent="0.3">
      <c r="A874" s="4" t="s">
        <v>1482</v>
      </c>
      <c r="B874" s="5">
        <v>45694</v>
      </c>
      <c r="C874" s="4" t="s">
        <v>705</v>
      </c>
      <c r="D874" s="4" t="s">
        <v>931</v>
      </c>
      <c r="E874" s="4" t="s">
        <v>54</v>
      </c>
      <c r="F874" s="4" t="s">
        <v>55</v>
      </c>
      <c r="G874" s="4" t="s">
        <v>40</v>
      </c>
      <c r="H874" s="4" t="s">
        <v>56</v>
      </c>
      <c r="I874" s="6">
        <v>2</v>
      </c>
      <c r="J874" s="6">
        <v>7390</v>
      </c>
      <c r="K874" s="6">
        <v>4879.47</v>
      </c>
      <c r="L874" s="6">
        <v>2510.5300000000002</v>
      </c>
    </row>
    <row r="875" spans="1:12" x14ac:dyDescent="0.3">
      <c r="A875" s="4" t="s">
        <v>1483</v>
      </c>
      <c r="B875" s="5">
        <v>45765</v>
      </c>
      <c r="C875" s="4" t="s">
        <v>301</v>
      </c>
      <c r="D875" s="4" t="s">
        <v>83</v>
      </c>
      <c r="E875" s="4" t="s">
        <v>29</v>
      </c>
      <c r="F875" s="4" t="s">
        <v>102</v>
      </c>
      <c r="G875" s="4" t="s">
        <v>24</v>
      </c>
      <c r="H875" s="4" t="s">
        <v>25</v>
      </c>
      <c r="I875" s="6">
        <v>9</v>
      </c>
      <c r="J875" s="6">
        <v>19557</v>
      </c>
      <c r="K875" s="6">
        <v>16076.9</v>
      </c>
      <c r="L875" s="6">
        <v>3480.1</v>
      </c>
    </row>
    <row r="876" spans="1:12" x14ac:dyDescent="0.3">
      <c r="A876" s="4" t="s">
        <v>1484</v>
      </c>
      <c r="B876" s="5">
        <v>45444</v>
      </c>
      <c r="C876" s="4" t="s">
        <v>890</v>
      </c>
      <c r="D876" s="4" t="s">
        <v>431</v>
      </c>
      <c r="E876" s="4" t="s">
        <v>29</v>
      </c>
      <c r="F876" s="4" t="s">
        <v>102</v>
      </c>
      <c r="G876" s="4" t="s">
        <v>35</v>
      </c>
      <c r="H876" s="4" t="s">
        <v>36</v>
      </c>
      <c r="I876" s="6">
        <v>10</v>
      </c>
      <c r="J876" s="6">
        <v>38130</v>
      </c>
      <c r="K876" s="6">
        <v>27839.39</v>
      </c>
      <c r="L876" s="6">
        <v>10290.61</v>
      </c>
    </row>
    <row r="877" spans="1:12" x14ac:dyDescent="0.3">
      <c r="A877" s="4" t="s">
        <v>1485</v>
      </c>
      <c r="B877" s="5">
        <v>45756</v>
      </c>
      <c r="C877" s="4" t="s">
        <v>200</v>
      </c>
      <c r="D877" s="4" t="s">
        <v>973</v>
      </c>
      <c r="E877" s="4" t="s">
        <v>29</v>
      </c>
      <c r="F877" s="4" t="s">
        <v>30</v>
      </c>
      <c r="G877" s="4" t="s">
        <v>24</v>
      </c>
      <c r="H877" s="4" t="s">
        <v>50</v>
      </c>
      <c r="I877" s="6">
        <v>1</v>
      </c>
      <c r="J877" s="6">
        <v>4607</v>
      </c>
      <c r="K877" s="6">
        <v>3135.28</v>
      </c>
      <c r="L877" s="6">
        <v>1471.72</v>
      </c>
    </row>
    <row r="878" spans="1:12" x14ac:dyDescent="0.3">
      <c r="A878" s="4" t="s">
        <v>1486</v>
      </c>
      <c r="B878" s="5">
        <v>45798</v>
      </c>
      <c r="C878" s="4" t="s">
        <v>344</v>
      </c>
      <c r="D878" s="4" t="s">
        <v>566</v>
      </c>
      <c r="E878" s="4" t="s">
        <v>29</v>
      </c>
      <c r="F878" s="4" t="s">
        <v>30</v>
      </c>
      <c r="G878" s="4" t="s">
        <v>40</v>
      </c>
      <c r="H878" s="4" t="s">
        <v>56</v>
      </c>
      <c r="I878" s="6">
        <v>4</v>
      </c>
      <c r="J878" s="6">
        <v>9920</v>
      </c>
      <c r="K878" s="6">
        <v>6312.97</v>
      </c>
      <c r="L878" s="6">
        <v>3607.03</v>
      </c>
    </row>
    <row r="879" spans="1:12" x14ac:dyDescent="0.3">
      <c r="A879" s="4" t="s">
        <v>1487</v>
      </c>
      <c r="B879" s="5">
        <v>45485</v>
      </c>
      <c r="C879" s="4" t="s">
        <v>584</v>
      </c>
      <c r="D879" s="4" t="s">
        <v>436</v>
      </c>
      <c r="E879" s="4" t="s">
        <v>22</v>
      </c>
      <c r="F879" s="4" t="s">
        <v>23</v>
      </c>
      <c r="G879" s="4" t="s">
        <v>17</v>
      </c>
      <c r="H879" s="4" t="s">
        <v>72</v>
      </c>
      <c r="I879" s="6">
        <v>4</v>
      </c>
      <c r="J879" s="6">
        <v>10472</v>
      </c>
      <c r="K879" s="6">
        <v>8042.63</v>
      </c>
      <c r="L879" s="6">
        <v>2429.37</v>
      </c>
    </row>
    <row r="880" spans="1:12" x14ac:dyDescent="0.3">
      <c r="A880" s="4" t="s">
        <v>1488</v>
      </c>
      <c r="B880" s="5">
        <v>45753</v>
      </c>
      <c r="C880" s="4" t="s">
        <v>959</v>
      </c>
      <c r="D880" s="4" t="s">
        <v>394</v>
      </c>
      <c r="E880" s="4" t="s">
        <v>22</v>
      </c>
      <c r="F880" s="4" t="s">
        <v>23</v>
      </c>
      <c r="G880" s="4" t="s">
        <v>24</v>
      </c>
      <c r="H880" s="4" t="s">
        <v>25</v>
      </c>
      <c r="I880" s="6">
        <v>5</v>
      </c>
      <c r="J880" s="6">
        <v>12220</v>
      </c>
      <c r="K880" s="6">
        <v>7584.29</v>
      </c>
      <c r="L880" s="6">
        <v>4635.71</v>
      </c>
    </row>
    <row r="881" spans="1:12" x14ac:dyDescent="0.3">
      <c r="A881" s="4" t="s">
        <v>1489</v>
      </c>
      <c r="B881" s="5">
        <v>46001</v>
      </c>
      <c r="C881" s="4" t="s">
        <v>242</v>
      </c>
      <c r="D881" s="4" t="s">
        <v>62</v>
      </c>
      <c r="E881" s="4" t="s">
        <v>22</v>
      </c>
      <c r="F881" s="4" t="s">
        <v>23</v>
      </c>
      <c r="G881" s="4" t="s">
        <v>24</v>
      </c>
      <c r="H881" s="4" t="s">
        <v>25</v>
      </c>
      <c r="I881" s="6">
        <v>8</v>
      </c>
      <c r="J881" s="6">
        <v>11128</v>
      </c>
      <c r="K881" s="6">
        <v>9029.6299999999992</v>
      </c>
      <c r="L881" s="6">
        <v>2098.37</v>
      </c>
    </row>
    <row r="882" spans="1:12" x14ac:dyDescent="0.3">
      <c r="A882" s="4" t="s">
        <v>1490</v>
      </c>
      <c r="B882" s="5">
        <v>45862</v>
      </c>
      <c r="C882" s="4" t="s">
        <v>120</v>
      </c>
      <c r="D882" s="4" t="s">
        <v>325</v>
      </c>
      <c r="E882" s="4" t="s">
        <v>22</v>
      </c>
      <c r="F882" s="4" t="s">
        <v>79</v>
      </c>
      <c r="G882" s="4" t="s">
        <v>35</v>
      </c>
      <c r="H882" s="4" t="s">
        <v>36</v>
      </c>
      <c r="I882" s="6">
        <v>10</v>
      </c>
      <c r="J882" s="6">
        <v>23990</v>
      </c>
      <c r="K882" s="6">
        <v>13720.28</v>
      </c>
      <c r="L882" s="6">
        <v>10269.719999999999</v>
      </c>
    </row>
    <row r="883" spans="1:12" x14ac:dyDescent="0.3">
      <c r="A883" s="4" t="s">
        <v>1491</v>
      </c>
      <c r="B883" s="5">
        <v>45808</v>
      </c>
      <c r="C883" s="4" t="s">
        <v>344</v>
      </c>
      <c r="D883" s="4" t="s">
        <v>1350</v>
      </c>
      <c r="E883" s="4" t="s">
        <v>54</v>
      </c>
      <c r="F883" s="4" t="s">
        <v>142</v>
      </c>
      <c r="G883" s="4" t="s">
        <v>35</v>
      </c>
      <c r="H883" s="4" t="s">
        <v>80</v>
      </c>
      <c r="I883" s="6">
        <v>6</v>
      </c>
      <c r="J883" s="6">
        <v>4032</v>
      </c>
      <c r="K883" s="6">
        <v>2224.08</v>
      </c>
      <c r="L883" s="6">
        <v>1807.92</v>
      </c>
    </row>
    <row r="884" spans="1:12" x14ac:dyDescent="0.3">
      <c r="A884" s="4" t="s">
        <v>1492</v>
      </c>
      <c r="B884" s="5">
        <v>45475</v>
      </c>
      <c r="C884" s="4" t="s">
        <v>940</v>
      </c>
      <c r="D884" s="4" t="s">
        <v>730</v>
      </c>
      <c r="E884" s="4" t="s">
        <v>22</v>
      </c>
      <c r="F884" s="4" t="s">
        <v>79</v>
      </c>
      <c r="G884" s="4" t="s">
        <v>40</v>
      </c>
      <c r="H884" s="4" t="s">
        <v>41</v>
      </c>
      <c r="I884" s="6">
        <v>3</v>
      </c>
      <c r="J884" s="6">
        <v>14649</v>
      </c>
      <c r="K884" s="6">
        <v>8237.68</v>
      </c>
      <c r="L884" s="6">
        <v>6411.32</v>
      </c>
    </row>
    <row r="885" spans="1:12" x14ac:dyDescent="0.3">
      <c r="A885" s="4" t="s">
        <v>1493</v>
      </c>
      <c r="B885" s="5">
        <v>45835</v>
      </c>
      <c r="C885" s="4" t="s">
        <v>307</v>
      </c>
      <c r="D885" s="4" t="s">
        <v>888</v>
      </c>
      <c r="E885" s="4" t="s">
        <v>22</v>
      </c>
      <c r="F885" s="4" t="s">
        <v>67</v>
      </c>
      <c r="G885" s="4" t="s">
        <v>35</v>
      </c>
      <c r="H885" s="4" t="s">
        <v>80</v>
      </c>
      <c r="I885" s="6">
        <v>3</v>
      </c>
      <c r="J885" s="6">
        <v>3102</v>
      </c>
      <c r="K885" s="6">
        <v>2001.4</v>
      </c>
      <c r="L885" s="6">
        <v>1100.5999999999999</v>
      </c>
    </row>
    <row r="886" spans="1:12" x14ac:dyDescent="0.3">
      <c r="A886" s="4" t="s">
        <v>1494</v>
      </c>
      <c r="B886" s="5">
        <v>45579</v>
      </c>
      <c r="C886" s="4" t="s">
        <v>558</v>
      </c>
      <c r="D886" s="4" t="s">
        <v>1445</v>
      </c>
      <c r="E886" s="4" t="s">
        <v>54</v>
      </c>
      <c r="F886" s="4" t="s">
        <v>142</v>
      </c>
      <c r="G886" s="4" t="s">
        <v>40</v>
      </c>
      <c r="H886" s="4" t="s">
        <v>41</v>
      </c>
      <c r="I886" s="6">
        <v>1</v>
      </c>
      <c r="J886" s="6">
        <v>1347</v>
      </c>
      <c r="K886" s="6">
        <v>942.58</v>
      </c>
      <c r="L886" s="6">
        <v>404.42</v>
      </c>
    </row>
    <row r="887" spans="1:12" x14ac:dyDescent="0.3">
      <c r="A887" s="4" t="s">
        <v>1495</v>
      </c>
      <c r="B887" s="5">
        <v>45460</v>
      </c>
      <c r="C887" s="4" t="s">
        <v>61</v>
      </c>
      <c r="D887" s="4" t="s">
        <v>846</v>
      </c>
      <c r="E887" s="4" t="s">
        <v>54</v>
      </c>
      <c r="F887" s="4" t="s">
        <v>55</v>
      </c>
      <c r="G887" s="4" t="s">
        <v>17</v>
      </c>
      <c r="H887" s="4" t="s">
        <v>72</v>
      </c>
      <c r="I887" s="6">
        <v>5</v>
      </c>
      <c r="J887" s="6">
        <v>22675</v>
      </c>
      <c r="K887" s="6">
        <v>14600.5</v>
      </c>
      <c r="L887" s="6">
        <v>8074.5</v>
      </c>
    </row>
    <row r="888" spans="1:12" x14ac:dyDescent="0.3">
      <c r="A888" s="4" t="s">
        <v>1496</v>
      </c>
      <c r="B888" s="5">
        <v>45347</v>
      </c>
      <c r="C888" s="4" t="s">
        <v>1074</v>
      </c>
      <c r="D888" s="4" t="s">
        <v>1497</v>
      </c>
      <c r="E888" s="4" t="s">
        <v>29</v>
      </c>
      <c r="F888" s="4" t="s">
        <v>30</v>
      </c>
      <c r="G888" s="4" t="s">
        <v>17</v>
      </c>
      <c r="H888" s="4" t="s">
        <v>31</v>
      </c>
      <c r="I888" s="6">
        <v>8</v>
      </c>
      <c r="J888" s="6">
        <v>5880</v>
      </c>
      <c r="K888" s="6">
        <v>3567.25</v>
      </c>
      <c r="L888" s="6">
        <v>2312.75</v>
      </c>
    </row>
    <row r="889" spans="1:12" x14ac:dyDescent="0.3">
      <c r="A889" s="4" t="s">
        <v>1498</v>
      </c>
      <c r="B889" s="5">
        <v>45798</v>
      </c>
      <c r="C889" s="4" t="s">
        <v>680</v>
      </c>
      <c r="D889" s="4" t="s">
        <v>155</v>
      </c>
      <c r="E889" s="4" t="s">
        <v>15</v>
      </c>
      <c r="F889" s="4" t="s">
        <v>63</v>
      </c>
      <c r="G889" s="4" t="s">
        <v>40</v>
      </c>
      <c r="H889" s="4" t="s">
        <v>99</v>
      </c>
      <c r="I889" s="6">
        <v>3</v>
      </c>
      <c r="J889" s="6">
        <v>12378</v>
      </c>
      <c r="K889" s="6">
        <v>8428.5400000000009</v>
      </c>
      <c r="L889" s="6">
        <v>3949.46</v>
      </c>
    </row>
    <row r="890" spans="1:12" x14ac:dyDescent="0.3">
      <c r="A890" s="4" t="s">
        <v>1499</v>
      </c>
      <c r="B890" s="5">
        <v>45443</v>
      </c>
      <c r="C890" s="4" t="s">
        <v>966</v>
      </c>
      <c r="D890" s="4" t="s">
        <v>1165</v>
      </c>
      <c r="E890" s="4" t="s">
        <v>54</v>
      </c>
      <c r="F890" s="4" t="s">
        <v>71</v>
      </c>
      <c r="G890" s="4" t="s">
        <v>35</v>
      </c>
      <c r="H890" s="4" t="s">
        <v>45</v>
      </c>
      <c r="I890" s="6">
        <v>8</v>
      </c>
      <c r="J890" s="6">
        <v>32392</v>
      </c>
      <c r="K890" s="6">
        <v>22606.27</v>
      </c>
      <c r="L890" s="6">
        <v>9785.73</v>
      </c>
    </row>
    <row r="891" spans="1:12" x14ac:dyDescent="0.3">
      <c r="A891" s="4" t="s">
        <v>1500</v>
      </c>
      <c r="B891" s="5">
        <v>45571</v>
      </c>
      <c r="C891" s="4" t="s">
        <v>228</v>
      </c>
      <c r="D891" s="4" t="s">
        <v>221</v>
      </c>
      <c r="E891" s="4" t="s">
        <v>15</v>
      </c>
      <c r="F891" s="4" t="s">
        <v>16</v>
      </c>
      <c r="G891" s="4" t="s">
        <v>40</v>
      </c>
      <c r="H891" s="4" t="s">
        <v>99</v>
      </c>
      <c r="I891" s="6">
        <v>3</v>
      </c>
      <c r="J891" s="6">
        <v>5034</v>
      </c>
      <c r="K891" s="6">
        <v>3901.25</v>
      </c>
      <c r="L891" s="6">
        <v>1132.75</v>
      </c>
    </row>
    <row r="892" spans="1:12" x14ac:dyDescent="0.3">
      <c r="A892" s="4" t="s">
        <v>1501</v>
      </c>
      <c r="B892" s="5">
        <v>45370</v>
      </c>
      <c r="C892" s="4" t="s">
        <v>480</v>
      </c>
      <c r="D892" s="4" t="s">
        <v>691</v>
      </c>
      <c r="E892" s="4" t="s">
        <v>29</v>
      </c>
      <c r="F892" s="4" t="s">
        <v>30</v>
      </c>
      <c r="G892" s="4" t="s">
        <v>24</v>
      </c>
      <c r="H892" s="4" t="s">
        <v>25</v>
      </c>
      <c r="I892" s="6">
        <v>9</v>
      </c>
      <c r="J892" s="6">
        <v>44775</v>
      </c>
      <c r="K892" s="6">
        <v>27051.74</v>
      </c>
      <c r="L892" s="6">
        <v>17723.259999999998</v>
      </c>
    </row>
    <row r="893" spans="1:12" x14ac:dyDescent="0.3">
      <c r="A893" s="4" t="s">
        <v>1502</v>
      </c>
      <c r="B893" s="5">
        <v>45896</v>
      </c>
      <c r="C893" s="4" t="s">
        <v>745</v>
      </c>
      <c r="D893" s="4" t="s">
        <v>308</v>
      </c>
      <c r="E893" s="4" t="s">
        <v>15</v>
      </c>
      <c r="F893" s="4" t="s">
        <v>63</v>
      </c>
      <c r="G893" s="4" t="s">
        <v>24</v>
      </c>
      <c r="H893" s="4" t="s">
        <v>25</v>
      </c>
      <c r="I893" s="6">
        <v>5</v>
      </c>
      <c r="J893" s="6">
        <v>6495</v>
      </c>
      <c r="K893" s="6">
        <v>4340.29</v>
      </c>
      <c r="L893" s="6">
        <v>2154.71</v>
      </c>
    </row>
    <row r="894" spans="1:12" x14ac:dyDescent="0.3">
      <c r="A894" s="4" t="s">
        <v>1503</v>
      </c>
      <c r="B894" s="5">
        <v>45567</v>
      </c>
      <c r="C894" s="4" t="s">
        <v>955</v>
      </c>
      <c r="D894" s="4" t="s">
        <v>172</v>
      </c>
      <c r="E894" s="4" t="s">
        <v>29</v>
      </c>
      <c r="F894" s="4" t="s">
        <v>102</v>
      </c>
      <c r="G894" s="4" t="s">
        <v>24</v>
      </c>
      <c r="H894" s="4" t="s">
        <v>50</v>
      </c>
      <c r="I894" s="6">
        <v>8</v>
      </c>
      <c r="J894" s="6">
        <v>33840</v>
      </c>
      <c r="K894" s="6">
        <v>23221.57</v>
      </c>
      <c r="L894" s="6">
        <v>10618.43</v>
      </c>
    </row>
    <row r="895" spans="1:12" x14ac:dyDescent="0.3">
      <c r="A895" s="4" t="s">
        <v>1504</v>
      </c>
      <c r="B895" s="5">
        <v>45874</v>
      </c>
      <c r="C895" s="4" t="s">
        <v>451</v>
      </c>
      <c r="D895" s="4" t="s">
        <v>62</v>
      </c>
      <c r="E895" s="4" t="s">
        <v>15</v>
      </c>
      <c r="F895" s="4" t="s">
        <v>90</v>
      </c>
      <c r="G895" s="4" t="s">
        <v>17</v>
      </c>
      <c r="H895" s="4" t="s">
        <v>72</v>
      </c>
      <c r="I895" s="6">
        <v>8</v>
      </c>
      <c r="J895" s="6">
        <v>23688</v>
      </c>
      <c r="K895" s="6">
        <v>19761.13</v>
      </c>
      <c r="L895" s="6">
        <v>3926.87</v>
      </c>
    </row>
    <row r="896" spans="1:12" x14ac:dyDescent="0.3">
      <c r="A896" s="4" t="s">
        <v>1505</v>
      </c>
      <c r="B896" s="5">
        <v>45852</v>
      </c>
      <c r="C896" s="4" t="s">
        <v>344</v>
      </c>
      <c r="D896" s="4" t="s">
        <v>34</v>
      </c>
      <c r="E896" s="4" t="s">
        <v>15</v>
      </c>
      <c r="F896" s="4" t="s">
        <v>90</v>
      </c>
      <c r="G896" s="4" t="s">
        <v>40</v>
      </c>
      <c r="H896" s="4" t="s">
        <v>99</v>
      </c>
      <c r="I896" s="6">
        <v>6</v>
      </c>
      <c r="J896" s="6">
        <v>4524</v>
      </c>
      <c r="K896" s="6">
        <v>3497.69</v>
      </c>
      <c r="L896" s="6">
        <v>1026.31</v>
      </c>
    </row>
    <row r="897" spans="1:12" x14ac:dyDescent="0.3">
      <c r="A897" s="4" t="s">
        <v>1506</v>
      </c>
      <c r="B897" s="5">
        <v>45505</v>
      </c>
      <c r="C897" s="4" t="s">
        <v>498</v>
      </c>
      <c r="D897" s="4" t="s">
        <v>944</v>
      </c>
      <c r="E897" s="4" t="s">
        <v>22</v>
      </c>
      <c r="F897" s="4" t="s">
        <v>67</v>
      </c>
      <c r="G897" s="4" t="s">
        <v>24</v>
      </c>
      <c r="H897" s="4" t="s">
        <v>166</v>
      </c>
      <c r="I897" s="6">
        <v>4</v>
      </c>
      <c r="J897" s="6">
        <v>14268</v>
      </c>
      <c r="K897" s="6">
        <v>8229.16</v>
      </c>
      <c r="L897" s="6">
        <v>6038.84</v>
      </c>
    </row>
    <row r="898" spans="1:12" x14ac:dyDescent="0.3">
      <c r="A898" s="4" t="s">
        <v>1507</v>
      </c>
      <c r="B898" s="5">
        <v>45734</v>
      </c>
      <c r="C898" s="4" t="s">
        <v>490</v>
      </c>
      <c r="D898" s="4" t="s">
        <v>1218</v>
      </c>
      <c r="E898" s="4" t="s">
        <v>22</v>
      </c>
      <c r="F898" s="4" t="s">
        <v>67</v>
      </c>
      <c r="G898" s="4" t="s">
        <v>17</v>
      </c>
      <c r="H898" s="4" t="s">
        <v>31</v>
      </c>
      <c r="I898" s="6">
        <v>3</v>
      </c>
      <c r="J898" s="6">
        <v>3861</v>
      </c>
      <c r="K898" s="6">
        <v>2469.36</v>
      </c>
      <c r="L898" s="6">
        <v>1391.64</v>
      </c>
    </row>
    <row r="899" spans="1:12" x14ac:dyDescent="0.3">
      <c r="A899" s="4" t="s">
        <v>1508</v>
      </c>
      <c r="B899" s="5">
        <v>45748</v>
      </c>
      <c r="C899" s="4" t="s">
        <v>483</v>
      </c>
      <c r="D899" s="4" t="s">
        <v>198</v>
      </c>
      <c r="E899" s="4" t="s">
        <v>54</v>
      </c>
      <c r="F899" s="4" t="s">
        <v>71</v>
      </c>
      <c r="G899" s="4" t="s">
        <v>24</v>
      </c>
      <c r="H899" s="4" t="s">
        <v>50</v>
      </c>
      <c r="I899" s="6">
        <v>6</v>
      </c>
      <c r="J899" s="6">
        <v>26994</v>
      </c>
      <c r="K899" s="6">
        <v>16465.3</v>
      </c>
      <c r="L899" s="6">
        <v>10528.7</v>
      </c>
    </row>
    <row r="900" spans="1:12" x14ac:dyDescent="0.3">
      <c r="A900" s="4" t="s">
        <v>1509</v>
      </c>
      <c r="B900" s="5">
        <v>45669</v>
      </c>
      <c r="C900" s="4" t="s">
        <v>522</v>
      </c>
      <c r="D900" s="4" t="s">
        <v>252</v>
      </c>
      <c r="E900" s="4" t="s">
        <v>54</v>
      </c>
      <c r="F900" s="4" t="s">
        <v>71</v>
      </c>
      <c r="G900" s="4" t="s">
        <v>17</v>
      </c>
      <c r="H900" s="4" t="s">
        <v>72</v>
      </c>
      <c r="I900" s="6">
        <v>7</v>
      </c>
      <c r="J900" s="6">
        <v>7273</v>
      </c>
      <c r="K900" s="6">
        <v>5650.74</v>
      </c>
      <c r="L900" s="6">
        <v>1622.26</v>
      </c>
    </row>
    <row r="901" spans="1:12" x14ac:dyDescent="0.3">
      <c r="A901" s="4" t="s">
        <v>1510</v>
      </c>
      <c r="B901" s="5">
        <v>45984</v>
      </c>
      <c r="C901" s="4" t="s">
        <v>236</v>
      </c>
      <c r="D901" s="4" t="s">
        <v>163</v>
      </c>
      <c r="E901" s="4" t="s">
        <v>22</v>
      </c>
      <c r="F901" s="4" t="s">
        <v>23</v>
      </c>
      <c r="G901" s="4" t="s">
        <v>24</v>
      </c>
      <c r="H901" s="4" t="s">
        <v>25</v>
      </c>
      <c r="I901" s="6">
        <v>9</v>
      </c>
      <c r="J901" s="6">
        <v>27891</v>
      </c>
      <c r="K901" s="6">
        <v>23483.71</v>
      </c>
      <c r="L901" s="6">
        <v>4407.29</v>
      </c>
    </row>
    <row r="902" spans="1:12" x14ac:dyDescent="0.3">
      <c r="A902" s="4" t="s">
        <v>1511</v>
      </c>
      <c r="B902" s="5">
        <v>45739</v>
      </c>
      <c r="C902" s="4" t="s">
        <v>461</v>
      </c>
      <c r="D902" s="4" t="s">
        <v>804</v>
      </c>
      <c r="E902" s="4" t="s">
        <v>22</v>
      </c>
      <c r="F902" s="4" t="s">
        <v>79</v>
      </c>
      <c r="G902" s="4" t="s">
        <v>17</v>
      </c>
      <c r="H902" s="4" t="s">
        <v>31</v>
      </c>
      <c r="I902" s="6">
        <v>9</v>
      </c>
      <c r="J902" s="6">
        <v>8883</v>
      </c>
      <c r="K902" s="6">
        <v>5660.34</v>
      </c>
      <c r="L902" s="6">
        <v>3222.66</v>
      </c>
    </row>
    <row r="903" spans="1:12" x14ac:dyDescent="0.3">
      <c r="A903" s="4" t="s">
        <v>1512</v>
      </c>
      <c r="B903" s="5">
        <v>45594</v>
      </c>
      <c r="C903" s="4" t="s">
        <v>257</v>
      </c>
      <c r="D903" s="4" t="s">
        <v>793</v>
      </c>
      <c r="E903" s="4" t="s">
        <v>54</v>
      </c>
      <c r="F903" s="4" t="s">
        <v>142</v>
      </c>
      <c r="G903" s="4" t="s">
        <v>24</v>
      </c>
      <c r="H903" s="4" t="s">
        <v>166</v>
      </c>
      <c r="I903" s="6">
        <v>5</v>
      </c>
      <c r="J903" s="6">
        <v>11680</v>
      </c>
      <c r="K903" s="6">
        <v>8256.91</v>
      </c>
      <c r="L903" s="6">
        <v>3423.09</v>
      </c>
    </row>
    <row r="904" spans="1:12" x14ac:dyDescent="0.3">
      <c r="A904" s="4" t="s">
        <v>1513</v>
      </c>
      <c r="B904" s="5">
        <v>45388</v>
      </c>
      <c r="C904" s="4" t="s">
        <v>579</v>
      </c>
      <c r="D904" s="4" t="s">
        <v>989</v>
      </c>
      <c r="E904" s="4" t="s">
        <v>15</v>
      </c>
      <c r="F904" s="4" t="s">
        <v>16</v>
      </c>
      <c r="G904" s="4" t="s">
        <v>35</v>
      </c>
      <c r="H904" s="4" t="s">
        <v>45</v>
      </c>
      <c r="I904" s="6">
        <v>2</v>
      </c>
      <c r="J904" s="6">
        <v>8966</v>
      </c>
      <c r="K904" s="6">
        <v>6074.23</v>
      </c>
      <c r="L904" s="6">
        <v>2891.77</v>
      </c>
    </row>
    <row r="905" spans="1:12" x14ac:dyDescent="0.3">
      <c r="A905" s="4" t="s">
        <v>1514</v>
      </c>
      <c r="B905" s="5">
        <v>45308</v>
      </c>
      <c r="C905" s="4" t="s">
        <v>77</v>
      </c>
      <c r="D905" s="4" t="s">
        <v>1282</v>
      </c>
      <c r="E905" s="4" t="s">
        <v>54</v>
      </c>
      <c r="F905" s="4" t="s">
        <v>55</v>
      </c>
      <c r="G905" s="4" t="s">
        <v>40</v>
      </c>
      <c r="H905" s="4" t="s">
        <v>99</v>
      </c>
      <c r="I905" s="6">
        <v>10</v>
      </c>
      <c r="J905" s="6">
        <v>9690</v>
      </c>
      <c r="K905" s="6">
        <v>7563.96</v>
      </c>
      <c r="L905" s="6">
        <v>2126.04</v>
      </c>
    </row>
    <row r="906" spans="1:12" x14ac:dyDescent="0.3">
      <c r="A906" s="4" t="s">
        <v>1515</v>
      </c>
      <c r="B906" s="5">
        <v>46013</v>
      </c>
      <c r="C906" s="4" t="s">
        <v>900</v>
      </c>
      <c r="D906" s="4" t="s">
        <v>127</v>
      </c>
      <c r="E906" s="4" t="s">
        <v>29</v>
      </c>
      <c r="F906" s="4" t="s">
        <v>102</v>
      </c>
      <c r="G906" s="4" t="s">
        <v>35</v>
      </c>
      <c r="H906" s="4" t="s">
        <v>36</v>
      </c>
      <c r="I906" s="6">
        <v>1</v>
      </c>
      <c r="J906" s="6">
        <v>982</v>
      </c>
      <c r="K906" s="6">
        <v>662.73</v>
      </c>
      <c r="L906" s="6">
        <v>319.27</v>
      </c>
    </row>
    <row r="907" spans="1:12" x14ac:dyDescent="0.3">
      <c r="A907" s="4" t="s">
        <v>1516</v>
      </c>
      <c r="B907" s="5">
        <v>45483</v>
      </c>
      <c r="C907" s="4" t="s">
        <v>1252</v>
      </c>
      <c r="D907" s="4" t="s">
        <v>1131</v>
      </c>
      <c r="E907" s="4" t="s">
        <v>22</v>
      </c>
      <c r="F907" s="4" t="s">
        <v>79</v>
      </c>
      <c r="G907" s="4" t="s">
        <v>35</v>
      </c>
      <c r="H907" s="4" t="s">
        <v>80</v>
      </c>
      <c r="I907" s="6">
        <v>10</v>
      </c>
      <c r="J907" s="6">
        <v>24710</v>
      </c>
      <c r="K907" s="6">
        <v>16120.81</v>
      </c>
      <c r="L907" s="6">
        <v>8589.19</v>
      </c>
    </row>
    <row r="908" spans="1:12" x14ac:dyDescent="0.3">
      <c r="A908" s="4" t="s">
        <v>1517</v>
      </c>
      <c r="B908" s="5">
        <v>45310</v>
      </c>
      <c r="C908" s="4" t="s">
        <v>955</v>
      </c>
      <c r="D908" s="4" t="s">
        <v>462</v>
      </c>
      <c r="E908" s="4" t="s">
        <v>15</v>
      </c>
      <c r="F908" s="4" t="s">
        <v>90</v>
      </c>
      <c r="G908" s="4" t="s">
        <v>17</v>
      </c>
      <c r="H908" s="4" t="s">
        <v>72</v>
      </c>
      <c r="I908" s="6">
        <v>5</v>
      </c>
      <c r="J908" s="6">
        <v>5855</v>
      </c>
      <c r="K908" s="6">
        <v>3982.22</v>
      </c>
      <c r="L908" s="6">
        <v>1872.78</v>
      </c>
    </row>
    <row r="909" spans="1:12" x14ac:dyDescent="0.3">
      <c r="A909" s="4" t="s">
        <v>1518</v>
      </c>
      <c r="B909" s="5">
        <v>45965</v>
      </c>
      <c r="C909" s="4" t="s">
        <v>1120</v>
      </c>
      <c r="D909" s="4" t="s">
        <v>190</v>
      </c>
      <c r="E909" s="4" t="s">
        <v>15</v>
      </c>
      <c r="F909" s="4" t="s">
        <v>16</v>
      </c>
      <c r="G909" s="4" t="s">
        <v>24</v>
      </c>
      <c r="H909" s="4" t="s">
        <v>166</v>
      </c>
      <c r="I909" s="6">
        <v>8</v>
      </c>
      <c r="J909" s="6">
        <v>32552</v>
      </c>
      <c r="K909" s="6">
        <v>24659.5</v>
      </c>
      <c r="L909" s="6">
        <v>7892.5</v>
      </c>
    </row>
    <row r="910" spans="1:12" x14ac:dyDescent="0.3">
      <c r="A910" s="4" t="s">
        <v>1519</v>
      </c>
      <c r="B910" s="5">
        <v>45430</v>
      </c>
      <c r="C910" s="4" t="s">
        <v>118</v>
      </c>
      <c r="D910" s="4" t="s">
        <v>335</v>
      </c>
      <c r="E910" s="4" t="s">
        <v>54</v>
      </c>
      <c r="F910" s="4" t="s">
        <v>71</v>
      </c>
      <c r="G910" s="4" t="s">
        <v>17</v>
      </c>
      <c r="H910" s="4" t="s">
        <v>31</v>
      </c>
      <c r="I910" s="6">
        <v>7</v>
      </c>
      <c r="J910" s="6">
        <v>19453</v>
      </c>
      <c r="K910" s="6">
        <v>11210.58</v>
      </c>
      <c r="L910" s="6">
        <v>8242.42</v>
      </c>
    </row>
    <row r="911" spans="1:12" x14ac:dyDescent="0.3">
      <c r="A911" s="4" t="s">
        <v>1520</v>
      </c>
      <c r="B911" s="5">
        <v>45956</v>
      </c>
      <c r="C911" s="4" t="s">
        <v>1059</v>
      </c>
      <c r="D911" s="4" t="s">
        <v>264</v>
      </c>
      <c r="E911" s="4" t="s">
        <v>15</v>
      </c>
      <c r="F911" s="4" t="s">
        <v>16</v>
      </c>
      <c r="G911" s="4" t="s">
        <v>17</v>
      </c>
      <c r="H911" s="4" t="s">
        <v>18</v>
      </c>
      <c r="I911" s="6">
        <v>4</v>
      </c>
      <c r="J911" s="6">
        <v>2076</v>
      </c>
      <c r="K911" s="6">
        <v>1272.1099999999999</v>
      </c>
      <c r="L911" s="6">
        <v>803.89</v>
      </c>
    </row>
    <row r="912" spans="1:12" x14ac:dyDescent="0.3">
      <c r="A912" s="4" t="s">
        <v>1521</v>
      </c>
      <c r="B912" s="5">
        <v>45766</v>
      </c>
      <c r="C912" s="4" t="s">
        <v>1202</v>
      </c>
      <c r="D912" s="4" t="s">
        <v>108</v>
      </c>
      <c r="E912" s="4" t="s">
        <v>22</v>
      </c>
      <c r="F912" s="4" t="s">
        <v>79</v>
      </c>
      <c r="G912" s="4" t="s">
        <v>35</v>
      </c>
      <c r="H912" s="4" t="s">
        <v>45</v>
      </c>
      <c r="I912" s="6">
        <v>4</v>
      </c>
      <c r="J912" s="6">
        <v>4020</v>
      </c>
      <c r="K912" s="6">
        <v>2573.91</v>
      </c>
      <c r="L912" s="6">
        <v>1446.09</v>
      </c>
    </row>
    <row r="913" spans="1:12" x14ac:dyDescent="0.3">
      <c r="A913" s="4" t="s">
        <v>1522</v>
      </c>
      <c r="B913" s="5">
        <v>45747</v>
      </c>
      <c r="C913" s="4" t="s">
        <v>212</v>
      </c>
      <c r="D913" s="4" t="s">
        <v>1304</v>
      </c>
      <c r="E913" s="4" t="s">
        <v>22</v>
      </c>
      <c r="F913" s="4" t="s">
        <v>23</v>
      </c>
      <c r="G913" s="4" t="s">
        <v>24</v>
      </c>
      <c r="H913" s="4" t="s">
        <v>50</v>
      </c>
      <c r="I913" s="6">
        <v>3</v>
      </c>
      <c r="J913" s="6">
        <v>4644</v>
      </c>
      <c r="K913" s="6">
        <v>3583.47</v>
      </c>
      <c r="L913" s="6">
        <v>1060.53</v>
      </c>
    </row>
    <row r="914" spans="1:12" x14ac:dyDescent="0.3">
      <c r="A914" s="4" t="s">
        <v>1523</v>
      </c>
      <c r="B914" s="5">
        <v>45693</v>
      </c>
      <c r="C914" s="4" t="s">
        <v>1524</v>
      </c>
      <c r="D914" s="4" t="s">
        <v>1525</v>
      </c>
      <c r="E914" s="4" t="s">
        <v>15</v>
      </c>
      <c r="F914" s="4" t="s">
        <v>63</v>
      </c>
      <c r="G914" s="4" t="s">
        <v>17</v>
      </c>
      <c r="H914" s="4" t="s">
        <v>72</v>
      </c>
      <c r="I914" s="6">
        <v>4</v>
      </c>
      <c r="J914" s="6">
        <v>7796</v>
      </c>
      <c r="K914" s="6">
        <v>4977.3500000000004</v>
      </c>
      <c r="L914" s="6">
        <v>2818.65</v>
      </c>
    </row>
    <row r="915" spans="1:12" x14ac:dyDescent="0.3">
      <c r="A915" s="4" t="s">
        <v>1526</v>
      </c>
      <c r="B915" s="5">
        <v>45884</v>
      </c>
      <c r="C915" s="4" t="s">
        <v>474</v>
      </c>
      <c r="D915" s="4" t="s">
        <v>456</v>
      </c>
      <c r="E915" s="4" t="s">
        <v>15</v>
      </c>
      <c r="F915" s="4" t="s">
        <v>16</v>
      </c>
      <c r="G915" s="4" t="s">
        <v>17</v>
      </c>
      <c r="H915" s="4" t="s">
        <v>31</v>
      </c>
      <c r="I915" s="6">
        <v>7</v>
      </c>
      <c r="J915" s="6">
        <v>25935</v>
      </c>
      <c r="K915" s="6">
        <v>20866.91</v>
      </c>
      <c r="L915" s="6">
        <v>5068.09</v>
      </c>
    </row>
    <row r="916" spans="1:12" x14ac:dyDescent="0.3">
      <c r="A916" s="4" t="s">
        <v>1527</v>
      </c>
      <c r="B916" s="5">
        <v>45918</v>
      </c>
      <c r="C916" s="4" t="s">
        <v>1120</v>
      </c>
      <c r="D916" s="4" t="s">
        <v>365</v>
      </c>
      <c r="E916" s="4" t="s">
        <v>15</v>
      </c>
      <c r="F916" s="4" t="s">
        <v>63</v>
      </c>
      <c r="G916" s="4" t="s">
        <v>35</v>
      </c>
      <c r="H916" s="4" t="s">
        <v>36</v>
      </c>
      <c r="I916" s="6">
        <v>8</v>
      </c>
      <c r="J916" s="6">
        <v>36040</v>
      </c>
      <c r="K916" s="6">
        <v>26212.32</v>
      </c>
      <c r="L916" s="6">
        <v>9827.68</v>
      </c>
    </row>
    <row r="917" spans="1:12" x14ac:dyDescent="0.3">
      <c r="A917" s="4" t="s">
        <v>1528</v>
      </c>
      <c r="B917" s="5">
        <v>45566</v>
      </c>
      <c r="C917" s="4" t="s">
        <v>455</v>
      </c>
      <c r="D917" s="4" t="s">
        <v>108</v>
      </c>
      <c r="E917" s="4" t="s">
        <v>15</v>
      </c>
      <c r="F917" s="4" t="s">
        <v>90</v>
      </c>
      <c r="G917" s="4" t="s">
        <v>24</v>
      </c>
      <c r="H917" s="4" t="s">
        <v>25</v>
      </c>
      <c r="I917" s="6">
        <v>7</v>
      </c>
      <c r="J917" s="6">
        <v>20209</v>
      </c>
      <c r="K917" s="6">
        <v>14469.17</v>
      </c>
      <c r="L917" s="6">
        <v>5739.83</v>
      </c>
    </row>
    <row r="918" spans="1:12" x14ac:dyDescent="0.3">
      <c r="A918" s="4" t="s">
        <v>1529</v>
      </c>
      <c r="B918" s="5">
        <v>45313</v>
      </c>
      <c r="C918" s="4" t="s">
        <v>154</v>
      </c>
      <c r="D918" s="4" t="s">
        <v>354</v>
      </c>
      <c r="E918" s="4" t="s">
        <v>15</v>
      </c>
      <c r="F918" s="4" t="s">
        <v>63</v>
      </c>
      <c r="G918" s="4" t="s">
        <v>17</v>
      </c>
      <c r="H918" s="4" t="s">
        <v>72</v>
      </c>
      <c r="I918" s="6">
        <v>6</v>
      </c>
      <c r="J918" s="6">
        <v>23832</v>
      </c>
      <c r="K918" s="6">
        <v>18094.55</v>
      </c>
      <c r="L918" s="6">
        <v>5737.45</v>
      </c>
    </row>
    <row r="919" spans="1:12" x14ac:dyDescent="0.3">
      <c r="A919" s="4" t="s">
        <v>1530</v>
      </c>
      <c r="B919" s="5">
        <v>45893</v>
      </c>
      <c r="C919" s="4" t="s">
        <v>535</v>
      </c>
      <c r="D919" s="4" t="s">
        <v>383</v>
      </c>
      <c r="E919" s="4" t="s">
        <v>29</v>
      </c>
      <c r="F919" s="4" t="s">
        <v>49</v>
      </c>
      <c r="G919" s="4" t="s">
        <v>40</v>
      </c>
      <c r="H919" s="4" t="s">
        <v>41</v>
      </c>
      <c r="I919" s="6">
        <v>8</v>
      </c>
      <c r="J919" s="6">
        <v>17608</v>
      </c>
      <c r="K919" s="6">
        <v>12365.94</v>
      </c>
      <c r="L919" s="6">
        <v>5242.0600000000004</v>
      </c>
    </row>
    <row r="920" spans="1:12" x14ac:dyDescent="0.3">
      <c r="A920" s="4" t="s">
        <v>1531</v>
      </c>
      <c r="B920" s="5">
        <v>45981</v>
      </c>
      <c r="C920" s="4" t="s">
        <v>558</v>
      </c>
      <c r="D920" s="4" t="s">
        <v>1304</v>
      </c>
      <c r="E920" s="4" t="s">
        <v>29</v>
      </c>
      <c r="F920" s="4" t="s">
        <v>49</v>
      </c>
      <c r="G920" s="4" t="s">
        <v>17</v>
      </c>
      <c r="H920" s="4" t="s">
        <v>18</v>
      </c>
      <c r="I920" s="6">
        <v>7</v>
      </c>
      <c r="J920" s="6">
        <v>25998</v>
      </c>
      <c r="K920" s="6">
        <v>20796.43</v>
      </c>
      <c r="L920" s="6">
        <v>5201.57</v>
      </c>
    </row>
    <row r="921" spans="1:12" x14ac:dyDescent="0.3">
      <c r="A921" s="4" t="s">
        <v>1532</v>
      </c>
      <c r="B921" s="5">
        <v>45424</v>
      </c>
      <c r="C921" s="4" t="s">
        <v>768</v>
      </c>
      <c r="D921" s="4" t="s">
        <v>169</v>
      </c>
      <c r="E921" s="4" t="s">
        <v>29</v>
      </c>
      <c r="F921" s="4" t="s">
        <v>30</v>
      </c>
      <c r="G921" s="4" t="s">
        <v>40</v>
      </c>
      <c r="H921" s="4" t="s">
        <v>56</v>
      </c>
      <c r="I921" s="6">
        <v>5</v>
      </c>
      <c r="J921" s="6">
        <v>5030</v>
      </c>
      <c r="K921" s="6">
        <v>3773.09</v>
      </c>
      <c r="L921" s="6">
        <v>1256.9100000000001</v>
      </c>
    </row>
    <row r="922" spans="1:12" x14ac:dyDescent="0.3">
      <c r="A922" s="4" t="s">
        <v>1533</v>
      </c>
      <c r="B922" s="5">
        <v>45797</v>
      </c>
      <c r="C922" s="4" t="s">
        <v>287</v>
      </c>
      <c r="D922" s="4" t="s">
        <v>508</v>
      </c>
      <c r="E922" s="4" t="s">
        <v>29</v>
      </c>
      <c r="F922" s="4" t="s">
        <v>30</v>
      </c>
      <c r="G922" s="4" t="s">
        <v>35</v>
      </c>
      <c r="H922" s="4" t="s">
        <v>80</v>
      </c>
      <c r="I922" s="6">
        <v>2</v>
      </c>
      <c r="J922" s="6">
        <v>7414</v>
      </c>
      <c r="K922" s="6">
        <v>6175.24</v>
      </c>
      <c r="L922" s="6">
        <v>1238.76</v>
      </c>
    </row>
    <row r="923" spans="1:12" x14ac:dyDescent="0.3">
      <c r="A923" s="4" t="s">
        <v>1534</v>
      </c>
      <c r="B923" s="5">
        <v>45657</v>
      </c>
      <c r="C923" s="4" t="s">
        <v>1535</v>
      </c>
      <c r="D923" s="4" t="s">
        <v>1256</v>
      </c>
      <c r="E923" s="4" t="s">
        <v>29</v>
      </c>
      <c r="F923" s="4" t="s">
        <v>30</v>
      </c>
      <c r="G923" s="4" t="s">
        <v>24</v>
      </c>
      <c r="H923" s="4" t="s">
        <v>25</v>
      </c>
      <c r="I923" s="6">
        <v>1</v>
      </c>
      <c r="J923" s="6">
        <v>3239</v>
      </c>
      <c r="K923" s="6">
        <v>2637.43</v>
      </c>
      <c r="L923" s="6">
        <v>601.57000000000005</v>
      </c>
    </row>
    <row r="924" spans="1:12" x14ac:dyDescent="0.3">
      <c r="A924" s="4" t="s">
        <v>1536</v>
      </c>
      <c r="B924" s="5">
        <v>45415</v>
      </c>
      <c r="C924" s="4" t="s">
        <v>65</v>
      </c>
      <c r="D924" s="4" t="s">
        <v>884</v>
      </c>
      <c r="E924" s="4" t="s">
        <v>15</v>
      </c>
      <c r="F924" s="4" t="s">
        <v>16</v>
      </c>
      <c r="G924" s="4" t="s">
        <v>40</v>
      </c>
      <c r="H924" s="4" t="s">
        <v>41</v>
      </c>
      <c r="I924" s="6">
        <v>7</v>
      </c>
      <c r="J924" s="6">
        <v>8631</v>
      </c>
      <c r="K924" s="6">
        <v>6346.11</v>
      </c>
      <c r="L924" s="6">
        <v>2284.89</v>
      </c>
    </row>
    <row r="925" spans="1:12" x14ac:dyDescent="0.3">
      <c r="A925" s="4" t="s">
        <v>1537</v>
      </c>
      <c r="B925" s="5">
        <v>45862</v>
      </c>
      <c r="C925" s="4" t="s">
        <v>337</v>
      </c>
      <c r="D925" s="4" t="s">
        <v>607</v>
      </c>
      <c r="E925" s="4" t="s">
        <v>22</v>
      </c>
      <c r="F925" s="4" t="s">
        <v>67</v>
      </c>
      <c r="G925" s="4" t="s">
        <v>40</v>
      </c>
      <c r="H925" s="4" t="s">
        <v>41</v>
      </c>
      <c r="I925" s="6">
        <v>6</v>
      </c>
      <c r="J925" s="6">
        <v>4092</v>
      </c>
      <c r="K925" s="6">
        <v>3195.97</v>
      </c>
      <c r="L925" s="6">
        <v>896.03</v>
      </c>
    </row>
    <row r="926" spans="1:12" x14ac:dyDescent="0.3">
      <c r="A926" s="4" t="s">
        <v>1538</v>
      </c>
      <c r="B926" s="5">
        <v>45405</v>
      </c>
      <c r="C926" s="4" t="s">
        <v>745</v>
      </c>
      <c r="D926" s="4" t="s">
        <v>1539</v>
      </c>
      <c r="E926" s="4" t="s">
        <v>15</v>
      </c>
      <c r="F926" s="4" t="s">
        <v>90</v>
      </c>
      <c r="G926" s="4" t="s">
        <v>24</v>
      </c>
      <c r="H926" s="4" t="s">
        <v>25</v>
      </c>
      <c r="I926" s="6">
        <v>8</v>
      </c>
      <c r="J926" s="6">
        <v>32352</v>
      </c>
      <c r="K926" s="6">
        <v>27136.67</v>
      </c>
      <c r="L926" s="6">
        <v>5215.33</v>
      </c>
    </row>
    <row r="927" spans="1:12" x14ac:dyDescent="0.3">
      <c r="A927" s="4" t="s">
        <v>1540</v>
      </c>
      <c r="B927" s="5">
        <v>45662</v>
      </c>
      <c r="C927" s="4" t="s">
        <v>129</v>
      </c>
      <c r="D927" s="4" t="s">
        <v>332</v>
      </c>
      <c r="E927" s="4" t="s">
        <v>15</v>
      </c>
      <c r="F927" s="4" t="s">
        <v>90</v>
      </c>
      <c r="G927" s="4" t="s">
        <v>24</v>
      </c>
      <c r="H927" s="4" t="s">
        <v>50</v>
      </c>
      <c r="I927" s="6">
        <v>3</v>
      </c>
      <c r="J927" s="6">
        <v>3801</v>
      </c>
      <c r="K927" s="6">
        <v>3083.6</v>
      </c>
      <c r="L927" s="6">
        <v>717.4</v>
      </c>
    </row>
    <row r="928" spans="1:12" x14ac:dyDescent="0.3">
      <c r="A928" s="4" t="s">
        <v>1541</v>
      </c>
      <c r="B928" s="5">
        <v>45634</v>
      </c>
      <c r="C928" s="4" t="s">
        <v>449</v>
      </c>
      <c r="D928" s="4" t="s">
        <v>327</v>
      </c>
      <c r="E928" s="4" t="s">
        <v>22</v>
      </c>
      <c r="F928" s="4" t="s">
        <v>79</v>
      </c>
      <c r="G928" s="4" t="s">
        <v>35</v>
      </c>
      <c r="H928" s="4" t="s">
        <v>80</v>
      </c>
      <c r="I928" s="6">
        <v>2</v>
      </c>
      <c r="J928" s="6">
        <v>3126</v>
      </c>
      <c r="K928" s="6">
        <v>2326.14</v>
      </c>
      <c r="L928" s="6">
        <v>799.86</v>
      </c>
    </row>
    <row r="929" spans="1:12" x14ac:dyDescent="0.3">
      <c r="A929" s="4" t="s">
        <v>1542</v>
      </c>
      <c r="B929" s="5">
        <v>45777</v>
      </c>
      <c r="C929" s="4" t="s">
        <v>248</v>
      </c>
      <c r="D929" s="4" t="s">
        <v>589</v>
      </c>
      <c r="E929" s="4" t="s">
        <v>29</v>
      </c>
      <c r="F929" s="4" t="s">
        <v>49</v>
      </c>
      <c r="G929" s="4" t="s">
        <v>35</v>
      </c>
      <c r="H929" s="4" t="s">
        <v>36</v>
      </c>
      <c r="I929" s="6">
        <v>1</v>
      </c>
      <c r="J929" s="6">
        <v>2309</v>
      </c>
      <c r="K929" s="6">
        <v>1848.23</v>
      </c>
      <c r="L929" s="6">
        <v>460.77</v>
      </c>
    </row>
    <row r="930" spans="1:12" x14ac:dyDescent="0.3">
      <c r="A930" s="4" t="s">
        <v>1543</v>
      </c>
      <c r="B930" s="5">
        <v>45972</v>
      </c>
      <c r="C930" s="4" t="s">
        <v>197</v>
      </c>
      <c r="D930" s="4" t="s">
        <v>607</v>
      </c>
      <c r="E930" s="4" t="s">
        <v>29</v>
      </c>
      <c r="F930" s="4" t="s">
        <v>102</v>
      </c>
      <c r="G930" s="4" t="s">
        <v>40</v>
      </c>
      <c r="H930" s="4" t="s">
        <v>99</v>
      </c>
      <c r="I930" s="6">
        <v>6</v>
      </c>
      <c r="J930" s="6">
        <v>22194</v>
      </c>
      <c r="K930" s="6">
        <v>14607.94</v>
      </c>
      <c r="L930" s="6">
        <v>7586.06</v>
      </c>
    </row>
    <row r="931" spans="1:12" x14ac:dyDescent="0.3">
      <c r="A931" s="4" t="s">
        <v>1544</v>
      </c>
      <c r="B931" s="5">
        <v>45761</v>
      </c>
      <c r="C931" s="4" t="s">
        <v>505</v>
      </c>
      <c r="D931" s="4" t="s">
        <v>459</v>
      </c>
      <c r="E931" s="4" t="s">
        <v>22</v>
      </c>
      <c r="F931" s="4" t="s">
        <v>23</v>
      </c>
      <c r="G931" s="4" t="s">
        <v>24</v>
      </c>
      <c r="H931" s="4" t="s">
        <v>166</v>
      </c>
      <c r="I931" s="6">
        <v>7</v>
      </c>
      <c r="J931" s="6">
        <v>25802</v>
      </c>
      <c r="K931" s="6">
        <v>21297.13</v>
      </c>
      <c r="L931" s="6">
        <v>4504.87</v>
      </c>
    </row>
    <row r="932" spans="1:12" x14ac:dyDescent="0.3">
      <c r="A932" s="4" t="s">
        <v>1545</v>
      </c>
      <c r="B932" s="5">
        <v>45378</v>
      </c>
      <c r="C932" s="4" t="s">
        <v>535</v>
      </c>
      <c r="D932" s="4" t="s">
        <v>711</v>
      </c>
      <c r="E932" s="4" t="s">
        <v>15</v>
      </c>
      <c r="F932" s="4" t="s">
        <v>63</v>
      </c>
      <c r="G932" s="4" t="s">
        <v>24</v>
      </c>
      <c r="H932" s="4" t="s">
        <v>166</v>
      </c>
      <c r="I932" s="6">
        <v>1</v>
      </c>
      <c r="J932" s="6">
        <v>4538</v>
      </c>
      <c r="K932" s="6">
        <v>3780.58</v>
      </c>
      <c r="L932" s="6">
        <v>757.42</v>
      </c>
    </row>
    <row r="933" spans="1:12" x14ac:dyDescent="0.3">
      <c r="A933" s="4" t="s">
        <v>1546</v>
      </c>
      <c r="B933" s="5">
        <v>45968</v>
      </c>
      <c r="C933" s="4" t="s">
        <v>477</v>
      </c>
      <c r="D933" s="4" t="s">
        <v>372</v>
      </c>
      <c r="E933" s="4" t="s">
        <v>22</v>
      </c>
      <c r="F933" s="4" t="s">
        <v>23</v>
      </c>
      <c r="G933" s="4" t="s">
        <v>35</v>
      </c>
      <c r="H933" s="4" t="s">
        <v>36</v>
      </c>
      <c r="I933" s="6">
        <v>1</v>
      </c>
      <c r="J933" s="6">
        <v>3521</v>
      </c>
      <c r="K933" s="6">
        <v>2738.48</v>
      </c>
      <c r="L933" s="6">
        <v>782.52</v>
      </c>
    </row>
    <row r="934" spans="1:12" x14ac:dyDescent="0.3">
      <c r="A934" s="4" t="s">
        <v>1547</v>
      </c>
      <c r="B934" s="5">
        <v>45989</v>
      </c>
      <c r="C934" s="4" t="s">
        <v>474</v>
      </c>
      <c r="D934" s="4" t="s">
        <v>190</v>
      </c>
      <c r="E934" s="4" t="s">
        <v>15</v>
      </c>
      <c r="F934" s="4" t="s">
        <v>90</v>
      </c>
      <c r="G934" s="4" t="s">
        <v>17</v>
      </c>
      <c r="H934" s="4" t="s">
        <v>18</v>
      </c>
      <c r="I934" s="6">
        <v>9</v>
      </c>
      <c r="J934" s="6">
        <v>24498</v>
      </c>
      <c r="K934" s="6">
        <v>16555.54</v>
      </c>
      <c r="L934" s="6">
        <v>7942.46</v>
      </c>
    </row>
    <row r="935" spans="1:12" x14ac:dyDescent="0.3">
      <c r="A935" s="4" t="s">
        <v>1548</v>
      </c>
      <c r="B935" s="5">
        <v>45442</v>
      </c>
      <c r="C935" s="4" t="s">
        <v>132</v>
      </c>
      <c r="D935" s="4" t="s">
        <v>639</v>
      </c>
      <c r="E935" s="4" t="s">
        <v>54</v>
      </c>
      <c r="F935" s="4" t="s">
        <v>55</v>
      </c>
      <c r="G935" s="4" t="s">
        <v>24</v>
      </c>
      <c r="H935" s="4" t="s">
        <v>25</v>
      </c>
      <c r="I935" s="6">
        <v>5</v>
      </c>
      <c r="J935" s="6">
        <v>23115</v>
      </c>
      <c r="K935" s="6">
        <v>16946.080000000002</v>
      </c>
      <c r="L935" s="6">
        <v>6168.92</v>
      </c>
    </row>
    <row r="936" spans="1:12" x14ac:dyDescent="0.3">
      <c r="A936" s="4" t="s">
        <v>1549</v>
      </c>
      <c r="B936" s="5">
        <v>45956</v>
      </c>
      <c r="C936" s="4" t="s">
        <v>544</v>
      </c>
      <c r="D936" s="4" t="s">
        <v>243</v>
      </c>
      <c r="E936" s="4" t="s">
        <v>29</v>
      </c>
      <c r="F936" s="4" t="s">
        <v>30</v>
      </c>
      <c r="G936" s="4" t="s">
        <v>17</v>
      </c>
      <c r="H936" s="4" t="s">
        <v>72</v>
      </c>
      <c r="I936" s="6">
        <v>10</v>
      </c>
      <c r="J936" s="6">
        <v>39220</v>
      </c>
      <c r="K936" s="6">
        <v>29777.439999999999</v>
      </c>
      <c r="L936" s="6">
        <v>9442.56</v>
      </c>
    </row>
    <row r="937" spans="1:12" x14ac:dyDescent="0.3">
      <c r="A937" s="4" t="s">
        <v>1550</v>
      </c>
      <c r="B937" s="5">
        <v>45421</v>
      </c>
      <c r="C937" s="4" t="s">
        <v>848</v>
      </c>
      <c r="D937" s="4" t="s">
        <v>496</v>
      </c>
      <c r="E937" s="4" t="s">
        <v>54</v>
      </c>
      <c r="F937" s="4" t="s">
        <v>142</v>
      </c>
      <c r="G937" s="4" t="s">
        <v>24</v>
      </c>
      <c r="H937" s="4" t="s">
        <v>25</v>
      </c>
      <c r="I937" s="6">
        <v>9</v>
      </c>
      <c r="J937" s="6">
        <v>27360</v>
      </c>
      <c r="K937" s="6">
        <v>18249.07</v>
      </c>
      <c r="L937" s="6">
        <v>9110.93</v>
      </c>
    </row>
    <row r="938" spans="1:12" x14ac:dyDescent="0.3">
      <c r="A938" s="4" t="s">
        <v>1551</v>
      </c>
      <c r="B938" s="5">
        <v>45640</v>
      </c>
      <c r="C938" s="4" t="s">
        <v>1535</v>
      </c>
      <c r="D938" s="4" t="s">
        <v>663</v>
      </c>
      <c r="E938" s="4" t="s">
        <v>54</v>
      </c>
      <c r="F938" s="4" t="s">
        <v>142</v>
      </c>
      <c r="G938" s="4" t="s">
        <v>24</v>
      </c>
      <c r="H938" s="4" t="s">
        <v>50</v>
      </c>
      <c r="I938" s="6">
        <v>9</v>
      </c>
      <c r="J938" s="6">
        <v>43380</v>
      </c>
      <c r="K938" s="6">
        <v>27922.65</v>
      </c>
      <c r="L938" s="6">
        <v>15457.35</v>
      </c>
    </row>
    <row r="939" spans="1:12" x14ac:dyDescent="0.3">
      <c r="A939" s="4" t="s">
        <v>1552</v>
      </c>
      <c r="B939" s="5">
        <v>45603</v>
      </c>
      <c r="C939" s="4" t="s">
        <v>95</v>
      </c>
      <c r="D939" s="4" t="s">
        <v>696</v>
      </c>
      <c r="E939" s="4" t="s">
        <v>15</v>
      </c>
      <c r="F939" s="4" t="s">
        <v>90</v>
      </c>
      <c r="G939" s="4" t="s">
        <v>17</v>
      </c>
      <c r="H939" s="4" t="s">
        <v>72</v>
      </c>
      <c r="I939" s="6">
        <v>5</v>
      </c>
      <c r="J939" s="6">
        <v>11385</v>
      </c>
      <c r="K939" s="6">
        <v>9104.23</v>
      </c>
      <c r="L939" s="6">
        <v>2280.77</v>
      </c>
    </row>
    <row r="940" spans="1:12" x14ac:dyDescent="0.3">
      <c r="A940" s="4" t="s">
        <v>1553</v>
      </c>
      <c r="B940" s="5">
        <v>45654</v>
      </c>
      <c r="C940" s="4" t="s">
        <v>966</v>
      </c>
      <c r="D940" s="4" t="s">
        <v>793</v>
      </c>
      <c r="E940" s="4" t="s">
        <v>15</v>
      </c>
      <c r="F940" s="4" t="s">
        <v>90</v>
      </c>
      <c r="G940" s="4" t="s">
        <v>24</v>
      </c>
      <c r="H940" s="4" t="s">
        <v>25</v>
      </c>
      <c r="I940" s="6">
        <v>6</v>
      </c>
      <c r="J940" s="6">
        <v>14562</v>
      </c>
      <c r="K940" s="6">
        <v>10748.17</v>
      </c>
      <c r="L940" s="6">
        <v>3813.83</v>
      </c>
    </row>
    <row r="941" spans="1:12" x14ac:dyDescent="0.3">
      <c r="A941" s="4" t="s">
        <v>1554</v>
      </c>
      <c r="B941" s="5">
        <v>45533</v>
      </c>
      <c r="C941" s="4" t="s">
        <v>951</v>
      </c>
      <c r="D941" s="4" t="s">
        <v>246</v>
      </c>
      <c r="E941" s="4" t="s">
        <v>15</v>
      </c>
      <c r="F941" s="4" t="s">
        <v>63</v>
      </c>
      <c r="G941" s="4" t="s">
        <v>40</v>
      </c>
      <c r="H941" s="4" t="s">
        <v>99</v>
      </c>
      <c r="I941" s="6">
        <v>10</v>
      </c>
      <c r="J941" s="6">
        <v>3420</v>
      </c>
      <c r="K941" s="6">
        <v>2345.9299999999998</v>
      </c>
      <c r="L941" s="6">
        <v>1074.07</v>
      </c>
    </row>
    <row r="942" spans="1:12" x14ac:dyDescent="0.3">
      <c r="A942" s="4" t="s">
        <v>1555</v>
      </c>
      <c r="B942" s="5">
        <v>45678</v>
      </c>
      <c r="C942" s="4" t="s">
        <v>848</v>
      </c>
      <c r="D942" s="4" t="s">
        <v>1556</v>
      </c>
      <c r="E942" s="4" t="s">
        <v>29</v>
      </c>
      <c r="F942" s="4" t="s">
        <v>49</v>
      </c>
      <c r="G942" s="4" t="s">
        <v>40</v>
      </c>
      <c r="H942" s="4" t="s">
        <v>99</v>
      </c>
      <c r="I942" s="6">
        <v>5</v>
      </c>
      <c r="J942" s="6">
        <v>24960</v>
      </c>
      <c r="K942" s="6">
        <v>18763.18</v>
      </c>
      <c r="L942" s="6">
        <v>6196.82</v>
      </c>
    </row>
    <row r="943" spans="1:12" x14ac:dyDescent="0.3">
      <c r="A943" s="4" t="s">
        <v>1557</v>
      </c>
      <c r="B943" s="5">
        <v>45661</v>
      </c>
      <c r="C943" s="4" t="s">
        <v>1240</v>
      </c>
      <c r="D943" s="4" t="s">
        <v>417</v>
      </c>
      <c r="E943" s="4" t="s">
        <v>15</v>
      </c>
      <c r="F943" s="4" t="s">
        <v>63</v>
      </c>
      <c r="G943" s="4" t="s">
        <v>35</v>
      </c>
      <c r="H943" s="4" t="s">
        <v>45</v>
      </c>
      <c r="I943" s="6">
        <v>10</v>
      </c>
      <c r="J943" s="6">
        <v>18770</v>
      </c>
      <c r="K943" s="6">
        <v>14956.93</v>
      </c>
      <c r="L943" s="6">
        <v>3813.07</v>
      </c>
    </row>
    <row r="944" spans="1:12" x14ac:dyDescent="0.3">
      <c r="A944" s="4" t="s">
        <v>1558</v>
      </c>
      <c r="B944" s="5">
        <v>45727</v>
      </c>
      <c r="C944" s="4" t="s">
        <v>451</v>
      </c>
      <c r="D944" s="4" t="s">
        <v>198</v>
      </c>
      <c r="E944" s="4" t="s">
        <v>29</v>
      </c>
      <c r="F944" s="4" t="s">
        <v>30</v>
      </c>
      <c r="G944" s="4" t="s">
        <v>35</v>
      </c>
      <c r="H944" s="4" t="s">
        <v>36</v>
      </c>
      <c r="I944" s="6">
        <v>7</v>
      </c>
      <c r="J944" s="6">
        <v>6797</v>
      </c>
      <c r="K944" s="6">
        <v>3926.45</v>
      </c>
      <c r="L944" s="6">
        <v>2870.55</v>
      </c>
    </row>
    <row r="945" spans="1:12" x14ac:dyDescent="0.3">
      <c r="A945" s="4" t="s">
        <v>1559</v>
      </c>
      <c r="B945" s="5">
        <v>45864</v>
      </c>
      <c r="C945" s="4" t="s">
        <v>1112</v>
      </c>
      <c r="D945" s="4" t="s">
        <v>462</v>
      </c>
      <c r="E945" s="4" t="s">
        <v>29</v>
      </c>
      <c r="F945" s="4" t="s">
        <v>49</v>
      </c>
      <c r="G945" s="4" t="s">
        <v>24</v>
      </c>
      <c r="H945" s="4" t="s">
        <v>50</v>
      </c>
      <c r="I945" s="6">
        <v>6</v>
      </c>
      <c r="J945" s="6">
        <v>27666</v>
      </c>
      <c r="K945" s="6">
        <v>18559.080000000002</v>
      </c>
      <c r="L945" s="6">
        <v>9106.92</v>
      </c>
    </row>
    <row r="946" spans="1:12" x14ac:dyDescent="0.3">
      <c r="A946" s="4" t="s">
        <v>1560</v>
      </c>
      <c r="B946" s="5">
        <v>45793</v>
      </c>
      <c r="C946" s="4" t="s">
        <v>455</v>
      </c>
      <c r="D946" s="4" t="s">
        <v>48</v>
      </c>
      <c r="E946" s="4" t="s">
        <v>54</v>
      </c>
      <c r="F946" s="4" t="s">
        <v>71</v>
      </c>
      <c r="G946" s="4" t="s">
        <v>35</v>
      </c>
      <c r="H946" s="4" t="s">
        <v>80</v>
      </c>
      <c r="I946" s="6">
        <v>7</v>
      </c>
      <c r="J946" s="6">
        <v>27335</v>
      </c>
      <c r="K946" s="6">
        <v>20684.54</v>
      </c>
      <c r="L946" s="6">
        <v>6650.46</v>
      </c>
    </row>
    <row r="947" spans="1:12" x14ac:dyDescent="0.3">
      <c r="A947" s="4" t="s">
        <v>1561</v>
      </c>
      <c r="B947" s="5">
        <v>46013</v>
      </c>
      <c r="C947" s="4" t="s">
        <v>933</v>
      </c>
      <c r="D947" s="4" t="s">
        <v>816</v>
      </c>
      <c r="E947" s="4" t="s">
        <v>29</v>
      </c>
      <c r="F947" s="4" t="s">
        <v>30</v>
      </c>
      <c r="G947" s="4" t="s">
        <v>24</v>
      </c>
      <c r="H947" s="4" t="s">
        <v>166</v>
      </c>
      <c r="I947" s="6">
        <v>8</v>
      </c>
      <c r="J947" s="6">
        <v>32392</v>
      </c>
      <c r="K947" s="6">
        <v>19072.91</v>
      </c>
      <c r="L947" s="6">
        <v>13319.09</v>
      </c>
    </row>
    <row r="948" spans="1:12" x14ac:dyDescent="0.3">
      <c r="A948" s="4" t="s">
        <v>1562</v>
      </c>
      <c r="B948" s="5">
        <v>45452</v>
      </c>
      <c r="C948" s="4" t="s">
        <v>1294</v>
      </c>
      <c r="D948" s="4" t="s">
        <v>394</v>
      </c>
      <c r="E948" s="4" t="s">
        <v>15</v>
      </c>
      <c r="F948" s="4" t="s">
        <v>90</v>
      </c>
      <c r="G948" s="4" t="s">
        <v>40</v>
      </c>
      <c r="H948" s="4" t="s">
        <v>56</v>
      </c>
      <c r="I948" s="6">
        <v>8</v>
      </c>
      <c r="J948" s="6">
        <v>33416</v>
      </c>
      <c r="K948" s="6">
        <v>18705.68</v>
      </c>
      <c r="L948" s="6">
        <v>14710.32</v>
      </c>
    </row>
    <row r="949" spans="1:12" x14ac:dyDescent="0.3">
      <c r="A949" s="4" t="s">
        <v>1563</v>
      </c>
      <c r="B949" s="5">
        <v>45588</v>
      </c>
      <c r="C949" s="4" t="s">
        <v>680</v>
      </c>
      <c r="D949" s="4" t="s">
        <v>135</v>
      </c>
      <c r="E949" s="4" t="s">
        <v>15</v>
      </c>
      <c r="F949" s="4" t="s">
        <v>90</v>
      </c>
      <c r="G949" s="4" t="s">
        <v>35</v>
      </c>
      <c r="H949" s="4" t="s">
        <v>36</v>
      </c>
      <c r="I949" s="6">
        <v>2</v>
      </c>
      <c r="J949" s="6">
        <v>2580</v>
      </c>
      <c r="K949" s="6">
        <v>1705.06</v>
      </c>
      <c r="L949" s="6">
        <v>874.94</v>
      </c>
    </row>
    <row r="950" spans="1:12" x14ac:dyDescent="0.3">
      <c r="A950" s="4" t="s">
        <v>1564</v>
      </c>
      <c r="B950" s="5">
        <v>45789</v>
      </c>
      <c r="C950" s="4" t="s">
        <v>1255</v>
      </c>
      <c r="D950" s="4" t="s">
        <v>520</v>
      </c>
      <c r="E950" s="4" t="s">
        <v>29</v>
      </c>
      <c r="F950" s="4" t="s">
        <v>102</v>
      </c>
      <c r="G950" s="4" t="s">
        <v>40</v>
      </c>
      <c r="H950" s="4" t="s">
        <v>41</v>
      </c>
      <c r="I950" s="6">
        <v>5</v>
      </c>
      <c r="J950" s="6">
        <v>16835</v>
      </c>
      <c r="K950" s="6">
        <v>10790.87</v>
      </c>
      <c r="L950" s="6">
        <v>6044.13</v>
      </c>
    </row>
    <row r="951" spans="1:12" x14ac:dyDescent="0.3">
      <c r="A951" s="4" t="s">
        <v>1565</v>
      </c>
      <c r="B951" s="5">
        <v>45512</v>
      </c>
      <c r="C951" s="4" t="s">
        <v>565</v>
      </c>
      <c r="D951" s="4" t="s">
        <v>762</v>
      </c>
      <c r="E951" s="4" t="s">
        <v>29</v>
      </c>
      <c r="F951" s="4" t="s">
        <v>30</v>
      </c>
      <c r="G951" s="4" t="s">
        <v>35</v>
      </c>
      <c r="H951" s="4" t="s">
        <v>36</v>
      </c>
      <c r="I951" s="6">
        <v>1</v>
      </c>
      <c r="J951" s="6">
        <v>2799</v>
      </c>
      <c r="K951" s="6">
        <v>2285.9899999999998</v>
      </c>
      <c r="L951" s="6">
        <v>513.01</v>
      </c>
    </row>
    <row r="952" spans="1:12" x14ac:dyDescent="0.3">
      <c r="A952" s="4" t="s">
        <v>1566</v>
      </c>
      <c r="B952" s="5">
        <v>45719</v>
      </c>
      <c r="C952" s="4" t="s">
        <v>1156</v>
      </c>
      <c r="D952" s="4" t="s">
        <v>1274</v>
      </c>
      <c r="E952" s="4" t="s">
        <v>15</v>
      </c>
      <c r="F952" s="4" t="s">
        <v>16</v>
      </c>
      <c r="G952" s="4" t="s">
        <v>35</v>
      </c>
      <c r="H952" s="4" t="s">
        <v>45</v>
      </c>
      <c r="I952" s="6">
        <v>6</v>
      </c>
      <c r="J952" s="6">
        <v>5118</v>
      </c>
      <c r="K952" s="6">
        <v>4151.3500000000004</v>
      </c>
      <c r="L952" s="6">
        <v>966.65</v>
      </c>
    </row>
    <row r="953" spans="1:12" x14ac:dyDescent="0.3">
      <c r="A953" s="4" t="s">
        <v>1567</v>
      </c>
      <c r="B953" s="5">
        <v>45912</v>
      </c>
      <c r="C953" s="4" t="s">
        <v>403</v>
      </c>
      <c r="D953" s="4" t="s">
        <v>377</v>
      </c>
      <c r="E953" s="4" t="s">
        <v>54</v>
      </c>
      <c r="F953" s="4" t="s">
        <v>71</v>
      </c>
      <c r="G953" s="4" t="s">
        <v>35</v>
      </c>
      <c r="H953" s="4" t="s">
        <v>80</v>
      </c>
      <c r="I953" s="6">
        <v>6</v>
      </c>
      <c r="J953" s="6">
        <v>20340</v>
      </c>
      <c r="K953" s="6">
        <v>14086.84</v>
      </c>
      <c r="L953" s="6">
        <v>6253.16</v>
      </c>
    </row>
    <row r="954" spans="1:12" x14ac:dyDescent="0.3">
      <c r="A954" s="4" t="s">
        <v>1568</v>
      </c>
      <c r="B954" s="5">
        <v>45625</v>
      </c>
      <c r="C954" s="4" t="s">
        <v>890</v>
      </c>
      <c r="D954" s="4" t="s">
        <v>484</v>
      </c>
      <c r="E954" s="4" t="s">
        <v>22</v>
      </c>
      <c r="F954" s="4" t="s">
        <v>67</v>
      </c>
      <c r="G954" s="4" t="s">
        <v>17</v>
      </c>
      <c r="H954" s="4" t="s">
        <v>31</v>
      </c>
      <c r="I954" s="6">
        <v>8</v>
      </c>
      <c r="J954" s="6">
        <v>12160</v>
      </c>
      <c r="K954" s="6">
        <v>9848.43</v>
      </c>
      <c r="L954" s="6">
        <v>2311.5700000000002</v>
      </c>
    </row>
    <row r="955" spans="1:12" x14ac:dyDescent="0.3">
      <c r="A955" s="4" t="s">
        <v>1569</v>
      </c>
      <c r="B955" s="5">
        <v>45978</v>
      </c>
      <c r="C955" s="4" t="s">
        <v>324</v>
      </c>
      <c r="D955" s="4" t="s">
        <v>1437</v>
      </c>
      <c r="E955" s="4" t="s">
        <v>22</v>
      </c>
      <c r="F955" s="4" t="s">
        <v>23</v>
      </c>
      <c r="G955" s="4" t="s">
        <v>35</v>
      </c>
      <c r="H955" s="4" t="s">
        <v>36</v>
      </c>
      <c r="I955" s="6">
        <v>6</v>
      </c>
      <c r="J955" s="6">
        <v>28386</v>
      </c>
      <c r="K955" s="6">
        <v>16002.49</v>
      </c>
      <c r="L955" s="6">
        <v>12383.51</v>
      </c>
    </row>
    <row r="956" spans="1:12" x14ac:dyDescent="0.3">
      <c r="A956" s="4" t="s">
        <v>1570</v>
      </c>
      <c r="B956" s="5">
        <v>46016</v>
      </c>
      <c r="C956" s="4" t="s">
        <v>490</v>
      </c>
      <c r="D956" s="4" t="s">
        <v>21</v>
      </c>
      <c r="E956" s="4" t="s">
        <v>15</v>
      </c>
      <c r="F956" s="4" t="s">
        <v>16</v>
      </c>
      <c r="G956" s="4" t="s">
        <v>17</v>
      </c>
      <c r="H956" s="4" t="s">
        <v>18</v>
      </c>
      <c r="I956" s="6">
        <v>1</v>
      </c>
      <c r="J956" s="6">
        <v>4985</v>
      </c>
      <c r="K956" s="6">
        <v>3684.08</v>
      </c>
      <c r="L956" s="6">
        <v>1300.92</v>
      </c>
    </row>
    <row r="957" spans="1:12" x14ac:dyDescent="0.3">
      <c r="A957" s="4" t="s">
        <v>1571</v>
      </c>
      <c r="B957" s="5">
        <v>45846</v>
      </c>
      <c r="C957" s="4" t="s">
        <v>107</v>
      </c>
      <c r="D957" s="4" t="s">
        <v>813</v>
      </c>
      <c r="E957" s="4" t="s">
        <v>15</v>
      </c>
      <c r="F957" s="4" t="s">
        <v>90</v>
      </c>
      <c r="G957" s="4" t="s">
        <v>35</v>
      </c>
      <c r="H957" s="4" t="s">
        <v>45</v>
      </c>
      <c r="I957" s="6">
        <v>2</v>
      </c>
      <c r="J957" s="6">
        <v>3752</v>
      </c>
      <c r="K957" s="6">
        <v>3138.74</v>
      </c>
      <c r="L957" s="6">
        <v>613.26</v>
      </c>
    </row>
    <row r="958" spans="1:12" x14ac:dyDescent="0.3">
      <c r="A958" s="4" t="s">
        <v>1572</v>
      </c>
      <c r="B958" s="5">
        <v>45836</v>
      </c>
      <c r="C958" s="4" t="s">
        <v>361</v>
      </c>
      <c r="D958" s="4" t="s">
        <v>453</v>
      </c>
      <c r="E958" s="4" t="s">
        <v>29</v>
      </c>
      <c r="F958" s="4" t="s">
        <v>49</v>
      </c>
      <c r="G958" s="4" t="s">
        <v>35</v>
      </c>
      <c r="H958" s="4" t="s">
        <v>45</v>
      </c>
      <c r="I958" s="6">
        <v>1</v>
      </c>
      <c r="J958" s="6">
        <v>1285</v>
      </c>
      <c r="K958" s="6">
        <v>960.51</v>
      </c>
      <c r="L958" s="6">
        <v>324.49</v>
      </c>
    </row>
    <row r="959" spans="1:12" x14ac:dyDescent="0.3">
      <c r="A959" s="4" t="s">
        <v>1573</v>
      </c>
      <c r="B959" s="5">
        <v>45838</v>
      </c>
      <c r="C959" s="4" t="s">
        <v>624</v>
      </c>
      <c r="D959" s="4" t="s">
        <v>839</v>
      </c>
      <c r="E959" s="4" t="s">
        <v>54</v>
      </c>
      <c r="F959" s="4" t="s">
        <v>142</v>
      </c>
      <c r="G959" s="4" t="s">
        <v>40</v>
      </c>
      <c r="H959" s="4" t="s">
        <v>56</v>
      </c>
      <c r="I959" s="6">
        <v>10</v>
      </c>
      <c r="J959" s="6">
        <v>39390</v>
      </c>
      <c r="K959" s="6">
        <v>22664.78</v>
      </c>
      <c r="L959" s="6">
        <v>16725.22</v>
      </c>
    </row>
    <row r="960" spans="1:12" x14ac:dyDescent="0.3">
      <c r="A960" s="4" t="s">
        <v>1574</v>
      </c>
      <c r="B960" s="5">
        <v>45316</v>
      </c>
      <c r="C960" s="4" t="s">
        <v>514</v>
      </c>
      <c r="D960" s="4" t="s">
        <v>1471</v>
      </c>
      <c r="E960" s="4" t="s">
        <v>15</v>
      </c>
      <c r="F960" s="4" t="s">
        <v>63</v>
      </c>
      <c r="G960" s="4" t="s">
        <v>24</v>
      </c>
      <c r="H960" s="4" t="s">
        <v>25</v>
      </c>
      <c r="I960" s="6">
        <v>6</v>
      </c>
      <c r="J960" s="6">
        <v>23280</v>
      </c>
      <c r="K960" s="6">
        <v>14064.67</v>
      </c>
      <c r="L960" s="6">
        <v>9215.33</v>
      </c>
    </row>
    <row r="961" spans="1:12" x14ac:dyDescent="0.3">
      <c r="A961" s="4" t="s">
        <v>1575</v>
      </c>
      <c r="B961" s="5">
        <v>45584</v>
      </c>
      <c r="C961" s="4" t="s">
        <v>364</v>
      </c>
      <c r="D961" s="4" t="s">
        <v>1497</v>
      </c>
      <c r="E961" s="4" t="s">
        <v>22</v>
      </c>
      <c r="F961" s="4" t="s">
        <v>67</v>
      </c>
      <c r="G961" s="4" t="s">
        <v>24</v>
      </c>
      <c r="H961" s="4" t="s">
        <v>50</v>
      </c>
      <c r="I961" s="6">
        <v>2</v>
      </c>
      <c r="J961" s="6">
        <v>2226</v>
      </c>
      <c r="K961" s="6">
        <v>1586.1</v>
      </c>
      <c r="L961" s="6">
        <v>639.9</v>
      </c>
    </row>
    <row r="962" spans="1:12" x14ac:dyDescent="0.3">
      <c r="A962" s="4" t="s">
        <v>1576</v>
      </c>
      <c r="B962" s="5">
        <v>45352</v>
      </c>
      <c r="C962" s="4" t="s">
        <v>441</v>
      </c>
      <c r="D962" s="4" t="s">
        <v>436</v>
      </c>
      <c r="E962" s="4" t="s">
        <v>54</v>
      </c>
      <c r="F962" s="4" t="s">
        <v>142</v>
      </c>
      <c r="G962" s="4" t="s">
        <v>24</v>
      </c>
      <c r="H962" s="4" t="s">
        <v>166</v>
      </c>
      <c r="I962" s="6">
        <v>5</v>
      </c>
      <c r="J962" s="6">
        <v>18180</v>
      </c>
      <c r="K962" s="6">
        <v>13700.13</v>
      </c>
      <c r="L962" s="6">
        <v>4479.87</v>
      </c>
    </row>
    <row r="963" spans="1:12" x14ac:dyDescent="0.3">
      <c r="A963" s="4" t="s">
        <v>1577</v>
      </c>
      <c r="B963" s="5">
        <v>45437</v>
      </c>
      <c r="C963" s="4" t="s">
        <v>419</v>
      </c>
      <c r="D963" s="4" t="s">
        <v>308</v>
      </c>
      <c r="E963" s="4" t="s">
        <v>15</v>
      </c>
      <c r="F963" s="4" t="s">
        <v>90</v>
      </c>
      <c r="G963" s="4" t="s">
        <v>24</v>
      </c>
      <c r="H963" s="4" t="s">
        <v>25</v>
      </c>
      <c r="I963" s="6">
        <v>5</v>
      </c>
      <c r="J963" s="6">
        <v>17470</v>
      </c>
      <c r="K963" s="6">
        <v>10126.02</v>
      </c>
      <c r="L963" s="6">
        <v>7343.98</v>
      </c>
    </row>
    <row r="964" spans="1:12" x14ac:dyDescent="0.3">
      <c r="A964" s="4" t="s">
        <v>1578</v>
      </c>
      <c r="B964" s="5">
        <v>45903</v>
      </c>
      <c r="C964" s="4" t="s">
        <v>780</v>
      </c>
      <c r="D964" s="4" t="s">
        <v>70</v>
      </c>
      <c r="E964" s="4" t="s">
        <v>54</v>
      </c>
      <c r="F964" s="4" t="s">
        <v>55</v>
      </c>
      <c r="G964" s="4" t="s">
        <v>24</v>
      </c>
      <c r="H964" s="4" t="s">
        <v>50</v>
      </c>
      <c r="I964" s="6">
        <v>1</v>
      </c>
      <c r="J964" s="6">
        <v>1959</v>
      </c>
      <c r="K964" s="6">
        <v>1218.28</v>
      </c>
      <c r="L964" s="6">
        <v>740.72</v>
      </c>
    </row>
    <row r="965" spans="1:12" x14ac:dyDescent="0.3">
      <c r="A965" s="4" t="s">
        <v>1579</v>
      </c>
      <c r="B965" s="5">
        <v>45708</v>
      </c>
      <c r="C965" s="4" t="s">
        <v>1382</v>
      </c>
      <c r="D965" s="4" t="s">
        <v>340</v>
      </c>
      <c r="E965" s="4" t="s">
        <v>22</v>
      </c>
      <c r="F965" s="4" t="s">
        <v>23</v>
      </c>
      <c r="G965" s="4" t="s">
        <v>40</v>
      </c>
      <c r="H965" s="4" t="s">
        <v>99</v>
      </c>
      <c r="I965" s="6">
        <v>1</v>
      </c>
      <c r="J965" s="6">
        <v>2907</v>
      </c>
      <c r="K965" s="6">
        <v>2004.22</v>
      </c>
      <c r="L965" s="6">
        <v>902.78</v>
      </c>
    </row>
    <row r="966" spans="1:12" x14ac:dyDescent="0.3">
      <c r="A966" s="4" t="s">
        <v>1580</v>
      </c>
      <c r="B966" s="5">
        <v>45892</v>
      </c>
      <c r="C966" s="4" t="s">
        <v>346</v>
      </c>
      <c r="D966" s="4" t="s">
        <v>1556</v>
      </c>
      <c r="E966" s="4" t="s">
        <v>15</v>
      </c>
      <c r="F966" s="4" t="s">
        <v>63</v>
      </c>
      <c r="G966" s="4" t="s">
        <v>17</v>
      </c>
      <c r="H966" s="4" t="s">
        <v>31</v>
      </c>
      <c r="I966" s="6">
        <v>4</v>
      </c>
      <c r="J966" s="6">
        <v>1808</v>
      </c>
      <c r="K966" s="6">
        <v>1140.3900000000001</v>
      </c>
      <c r="L966" s="6">
        <v>667.61</v>
      </c>
    </row>
    <row r="967" spans="1:12" x14ac:dyDescent="0.3">
      <c r="A967" s="4" t="s">
        <v>1581</v>
      </c>
      <c r="B967" s="5">
        <v>45943</v>
      </c>
      <c r="C967" s="4" t="s">
        <v>596</v>
      </c>
      <c r="D967" s="4" t="s">
        <v>580</v>
      </c>
      <c r="E967" s="4" t="s">
        <v>29</v>
      </c>
      <c r="F967" s="4" t="s">
        <v>49</v>
      </c>
      <c r="G967" s="4" t="s">
        <v>17</v>
      </c>
      <c r="H967" s="4" t="s">
        <v>72</v>
      </c>
      <c r="I967" s="6">
        <v>7</v>
      </c>
      <c r="J967" s="6">
        <v>27671</v>
      </c>
      <c r="K967" s="6">
        <v>15915.6</v>
      </c>
      <c r="L967" s="6">
        <v>11755.4</v>
      </c>
    </row>
    <row r="968" spans="1:12" x14ac:dyDescent="0.3">
      <c r="A968" s="4" t="s">
        <v>1582</v>
      </c>
      <c r="B968" s="5">
        <v>45725</v>
      </c>
      <c r="C968" s="4" t="s">
        <v>123</v>
      </c>
      <c r="D968" s="4" t="s">
        <v>408</v>
      </c>
      <c r="E968" s="4" t="s">
        <v>29</v>
      </c>
      <c r="F968" s="4" t="s">
        <v>49</v>
      </c>
      <c r="G968" s="4" t="s">
        <v>35</v>
      </c>
      <c r="H968" s="4" t="s">
        <v>45</v>
      </c>
      <c r="I968" s="6">
        <v>3</v>
      </c>
      <c r="J968" s="6">
        <v>6924</v>
      </c>
      <c r="K968" s="6">
        <v>4924.7700000000004</v>
      </c>
      <c r="L968" s="6">
        <v>1999.23</v>
      </c>
    </row>
    <row r="969" spans="1:12" x14ac:dyDescent="0.3">
      <c r="A969" s="4" t="s">
        <v>1583</v>
      </c>
      <c r="B969" s="5">
        <v>45463</v>
      </c>
      <c r="C969" s="4" t="s">
        <v>189</v>
      </c>
      <c r="D969" s="4" t="s">
        <v>784</v>
      </c>
      <c r="E969" s="4" t="s">
        <v>15</v>
      </c>
      <c r="F969" s="4" t="s">
        <v>16</v>
      </c>
      <c r="G969" s="4" t="s">
        <v>35</v>
      </c>
      <c r="H969" s="4" t="s">
        <v>80</v>
      </c>
      <c r="I969" s="6">
        <v>10</v>
      </c>
      <c r="J969" s="6">
        <v>26690</v>
      </c>
      <c r="K969" s="6">
        <v>19908.54</v>
      </c>
      <c r="L969" s="6">
        <v>6781.46</v>
      </c>
    </row>
    <row r="970" spans="1:12" x14ac:dyDescent="0.3">
      <c r="A970" s="4" t="s">
        <v>1584</v>
      </c>
      <c r="B970" s="5">
        <v>45939</v>
      </c>
      <c r="C970" s="4" t="s">
        <v>1252</v>
      </c>
      <c r="D970" s="4" t="s">
        <v>221</v>
      </c>
      <c r="E970" s="4" t="s">
        <v>22</v>
      </c>
      <c r="F970" s="4" t="s">
        <v>67</v>
      </c>
      <c r="G970" s="4" t="s">
        <v>17</v>
      </c>
      <c r="H970" s="4" t="s">
        <v>72</v>
      </c>
      <c r="I970" s="6">
        <v>5</v>
      </c>
      <c r="J970" s="6">
        <v>17070</v>
      </c>
      <c r="K970" s="6">
        <v>14505.62</v>
      </c>
      <c r="L970" s="6">
        <v>2564.38</v>
      </c>
    </row>
    <row r="971" spans="1:12" x14ac:dyDescent="0.3">
      <c r="A971" s="4" t="s">
        <v>1585</v>
      </c>
      <c r="B971" s="5">
        <v>45383</v>
      </c>
      <c r="C971" s="4" t="s">
        <v>856</v>
      </c>
      <c r="D971" s="4" t="s">
        <v>327</v>
      </c>
      <c r="E971" s="4" t="s">
        <v>54</v>
      </c>
      <c r="F971" s="4" t="s">
        <v>142</v>
      </c>
      <c r="G971" s="4" t="s">
        <v>24</v>
      </c>
      <c r="H971" s="4" t="s">
        <v>166</v>
      </c>
      <c r="I971" s="6">
        <v>9</v>
      </c>
      <c r="J971" s="6">
        <v>44208</v>
      </c>
      <c r="K971" s="6">
        <v>25241.91</v>
      </c>
      <c r="L971" s="6">
        <v>18966.09</v>
      </c>
    </row>
    <row r="972" spans="1:12" x14ac:dyDescent="0.3">
      <c r="A972" s="4" t="s">
        <v>1586</v>
      </c>
      <c r="B972" s="5">
        <v>45808</v>
      </c>
      <c r="C972" s="4" t="s">
        <v>614</v>
      </c>
      <c r="D972" s="4" t="s">
        <v>150</v>
      </c>
      <c r="E972" s="4" t="s">
        <v>29</v>
      </c>
      <c r="F972" s="4" t="s">
        <v>30</v>
      </c>
      <c r="G972" s="4" t="s">
        <v>35</v>
      </c>
      <c r="H972" s="4" t="s">
        <v>45</v>
      </c>
      <c r="I972" s="6">
        <v>5</v>
      </c>
      <c r="J972" s="6">
        <v>19190</v>
      </c>
      <c r="K972" s="6">
        <v>11768.36</v>
      </c>
      <c r="L972" s="6">
        <v>7421.64</v>
      </c>
    </row>
    <row r="973" spans="1:12" x14ac:dyDescent="0.3">
      <c r="A973" s="4" t="s">
        <v>1587</v>
      </c>
      <c r="B973" s="5">
        <v>45621</v>
      </c>
      <c r="C973" s="4" t="s">
        <v>248</v>
      </c>
      <c r="D973" s="4" t="s">
        <v>781</v>
      </c>
      <c r="E973" s="4" t="s">
        <v>54</v>
      </c>
      <c r="F973" s="4" t="s">
        <v>71</v>
      </c>
      <c r="G973" s="4" t="s">
        <v>35</v>
      </c>
      <c r="H973" s="4" t="s">
        <v>80</v>
      </c>
      <c r="I973" s="6">
        <v>5</v>
      </c>
      <c r="J973" s="6">
        <v>11570</v>
      </c>
      <c r="K973" s="6">
        <v>8662.26</v>
      </c>
      <c r="L973" s="6">
        <v>2907.74</v>
      </c>
    </row>
    <row r="974" spans="1:12" x14ac:dyDescent="0.3">
      <c r="A974" s="4" t="s">
        <v>1588</v>
      </c>
      <c r="B974" s="5">
        <v>45294</v>
      </c>
      <c r="C974" s="4" t="s">
        <v>1102</v>
      </c>
      <c r="D974" s="4" t="s">
        <v>512</v>
      </c>
      <c r="E974" s="4" t="s">
        <v>22</v>
      </c>
      <c r="F974" s="4" t="s">
        <v>79</v>
      </c>
      <c r="G974" s="4" t="s">
        <v>40</v>
      </c>
      <c r="H974" s="4" t="s">
        <v>41</v>
      </c>
      <c r="I974" s="6">
        <v>1</v>
      </c>
      <c r="J974" s="6">
        <v>1395</v>
      </c>
      <c r="K974" s="6">
        <v>1037.79</v>
      </c>
      <c r="L974" s="6">
        <v>357.21</v>
      </c>
    </row>
    <row r="975" spans="1:12" x14ac:dyDescent="0.3">
      <c r="A975" s="4" t="s">
        <v>1589</v>
      </c>
      <c r="B975" s="5">
        <v>46012</v>
      </c>
      <c r="C975" s="4" t="s">
        <v>904</v>
      </c>
      <c r="D975" s="4" t="s">
        <v>1226</v>
      </c>
      <c r="E975" s="4" t="s">
        <v>15</v>
      </c>
      <c r="F975" s="4" t="s">
        <v>90</v>
      </c>
      <c r="G975" s="4" t="s">
        <v>24</v>
      </c>
      <c r="H975" s="4" t="s">
        <v>166</v>
      </c>
      <c r="I975" s="6">
        <v>7</v>
      </c>
      <c r="J975" s="6">
        <v>33971</v>
      </c>
      <c r="K975" s="6">
        <v>27808</v>
      </c>
      <c r="L975" s="6">
        <v>6163</v>
      </c>
    </row>
    <row r="976" spans="1:12" x14ac:dyDescent="0.3">
      <c r="A976" s="4" t="s">
        <v>1590</v>
      </c>
      <c r="B976" s="5">
        <v>45979</v>
      </c>
      <c r="C976" s="4" t="s">
        <v>500</v>
      </c>
      <c r="D976" s="4" t="s">
        <v>39</v>
      </c>
      <c r="E976" s="4" t="s">
        <v>15</v>
      </c>
      <c r="F976" s="4" t="s">
        <v>90</v>
      </c>
      <c r="G976" s="4" t="s">
        <v>17</v>
      </c>
      <c r="H976" s="4" t="s">
        <v>31</v>
      </c>
      <c r="I976" s="6">
        <v>2</v>
      </c>
      <c r="J976" s="6">
        <v>9424</v>
      </c>
      <c r="K976" s="6">
        <v>5270.69</v>
      </c>
      <c r="L976" s="6">
        <v>4153.3100000000004</v>
      </c>
    </row>
    <row r="977" spans="1:12" x14ac:dyDescent="0.3">
      <c r="A977" s="4" t="s">
        <v>1591</v>
      </c>
      <c r="B977" s="5">
        <v>46005</v>
      </c>
      <c r="C977" s="4" t="s">
        <v>841</v>
      </c>
      <c r="D977" s="4" t="s">
        <v>39</v>
      </c>
      <c r="E977" s="4" t="s">
        <v>54</v>
      </c>
      <c r="F977" s="4" t="s">
        <v>55</v>
      </c>
      <c r="G977" s="4" t="s">
        <v>17</v>
      </c>
      <c r="H977" s="4" t="s">
        <v>72</v>
      </c>
      <c r="I977" s="6">
        <v>6</v>
      </c>
      <c r="J977" s="6">
        <v>20808</v>
      </c>
      <c r="K977" s="6">
        <v>12550.47</v>
      </c>
      <c r="L977" s="6">
        <v>8257.5300000000007</v>
      </c>
    </row>
    <row r="978" spans="1:12" x14ac:dyDescent="0.3">
      <c r="A978" s="4" t="s">
        <v>1592</v>
      </c>
      <c r="B978" s="5">
        <v>45312</v>
      </c>
      <c r="C978" s="4" t="s">
        <v>1108</v>
      </c>
      <c r="D978" s="4" t="s">
        <v>359</v>
      </c>
      <c r="E978" s="4" t="s">
        <v>22</v>
      </c>
      <c r="F978" s="4" t="s">
        <v>67</v>
      </c>
      <c r="G978" s="4" t="s">
        <v>40</v>
      </c>
      <c r="H978" s="4" t="s">
        <v>56</v>
      </c>
      <c r="I978" s="6">
        <v>8</v>
      </c>
      <c r="J978" s="6">
        <v>3008</v>
      </c>
      <c r="K978" s="6">
        <v>1854.3</v>
      </c>
      <c r="L978" s="6">
        <v>1153.7</v>
      </c>
    </row>
    <row r="979" spans="1:12" x14ac:dyDescent="0.3">
      <c r="A979" s="4" t="s">
        <v>1593</v>
      </c>
      <c r="B979" s="5">
        <v>45797</v>
      </c>
      <c r="C979" s="4" t="s">
        <v>649</v>
      </c>
      <c r="D979" s="4" t="s">
        <v>319</v>
      </c>
      <c r="E979" s="4" t="s">
        <v>29</v>
      </c>
      <c r="F979" s="4" t="s">
        <v>102</v>
      </c>
      <c r="G979" s="4" t="s">
        <v>17</v>
      </c>
      <c r="H979" s="4" t="s">
        <v>72</v>
      </c>
      <c r="I979" s="6">
        <v>5</v>
      </c>
      <c r="J979" s="6">
        <v>10555</v>
      </c>
      <c r="K979" s="6">
        <v>6547.03</v>
      </c>
      <c r="L979" s="6">
        <v>4007.97</v>
      </c>
    </row>
    <row r="980" spans="1:12" x14ac:dyDescent="0.3">
      <c r="A980" s="4" t="s">
        <v>1594</v>
      </c>
      <c r="B980" s="5">
        <v>45945</v>
      </c>
      <c r="C980" s="4" t="s">
        <v>856</v>
      </c>
      <c r="D980" s="4" t="s">
        <v>602</v>
      </c>
      <c r="E980" s="4" t="s">
        <v>54</v>
      </c>
      <c r="F980" s="4" t="s">
        <v>55</v>
      </c>
      <c r="G980" s="4" t="s">
        <v>17</v>
      </c>
      <c r="H980" s="4" t="s">
        <v>18</v>
      </c>
      <c r="I980" s="6">
        <v>10</v>
      </c>
      <c r="J980" s="6">
        <v>20120</v>
      </c>
      <c r="K980" s="6">
        <v>11109.07</v>
      </c>
      <c r="L980" s="6">
        <v>9010.93</v>
      </c>
    </row>
    <row r="981" spans="1:12" x14ac:dyDescent="0.3">
      <c r="A981" s="4" t="s">
        <v>1595</v>
      </c>
      <c r="B981" s="5">
        <v>45967</v>
      </c>
      <c r="C981" s="4" t="s">
        <v>134</v>
      </c>
      <c r="D981" s="4" t="s">
        <v>246</v>
      </c>
      <c r="E981" s="4" t="s">
        <v>54</v>
      </c>
      <c r="F981" s="4" t="s">
        <v>71</v>
      </c>
      <c r="G981" s="4" t="s">
        <v>35</v>
      </c>
      <c r="H981" s="4" t="s">
        <v>45</v>
      </c>
      <c r="I981" s="6">
        <v>8</v>
      </c>
      <c r="J981" s="6">
        <v>13568</v>
      </c>
      <c r="K981" s="6">
        <v>9708.39</v>
      </c>
      <c r="L981" s="6">
        <v>3859.61</v>
      </c>
    </row>
    <row r="982" spans="1:12" x14ac:dyDescent="0.3">
      <c r="A982" s="4" t="s">
        <v>1596</v>
      </c>
      <c r="B982" s="5">
        <v>45875</v>
      </c>
      <c r="C982" s="4" t="s">
        <v>1357</v>
      </c>
      <c r="D982" s="4" t="s">
        <v>135</v>
      </c>
      <c r="E982" s="4" t="s">
        <v>29</v>
      </c>
      <c r="F982" s="4" t="s">
        <v>102</v>
      </c>
      <c r="G982" s="4" t="s">
        <v>17</v>
      </c>
      <c r="H982" s="4" t="s">
        <v>72</v>
      </c>
      <c r="I982" s="6">
        <v>3</v>
      </c>
      <c r="J982" s="6">
        <v>2496</v>
      </c>
      <c r="K982" s="6">
        <v>1468.22</v>
      </c>
      <c r="L982" s="6">
        <v>1027.78</v>
      </c>
    </row>
    <row r="983" spans="1:12" x14ac:dyDescent="0.3">
      <c r="A983" s="4" t="s">
        <v>1597</v>
      </c>
      <c r="B983" s="5">
        <v>45989</v>
      </c>
      <c r="C983" s="4" t="s">
        <v>1294</v>
      </c>
      <c r="D983" s="4" t="s">
        <v>1233</v>
      </c>
      <c r="E983" s="4" t="s">
        <v>54</v>
      </c>
      <c r="F983" s="4" t="s">
        <v>142</v>
      </c>
      <c r="G983" s="4" t="s">
        <v>17</v>
      </c>
      <c r="H983" s="4" t="s">
        <v>31</v>
      </c>
      <c r="I983" s="6">
        <v>1</v>
      </c>
      <c r="J983" s="6">
        <v>4665</v>
      </c>
      <c r="K983" s="6">
        <v>3425.68</v>
      </c>
      <c r="L983" s="6">
        <v>1239.32</v>
      </c>
    </row>
    <row r="984" spans="1:12" x14ac:dyDescent="0.3">
      <c r="A984" s="4" t="s">
        <v>1598</v>
      </c>
      <c r="B984" s="5">
        <v>45708</v>
      </c>
      <c r="C984" s="4" t="s">
        <v>279</v>
      </c>
      <c r="D984" s="4" t="s">
        <v>327</v>
      </c>
      <c r="E984" s="4" t="s">
        <v>15</v>
      </c>
      <c r="F984" s="4" t="s">
        <v>63</v>
      </c>
      <c r="G984" s="4" t="s">
        <v>17</v>
      </c>
      <c r="H984" s="4" t="s">
        <v>31</v>
      </c>
      <c r="I984" s="6">
        <v>1</v>
      </c>
      <c r="J984" s="6">
        <v>2946</v>
      </c>
      <c r="K984" s="6">
        <v>2002.59</v>
      </c>
      <c r="L984" s="6">
        <v>943.41</v>
      </c>
    </row>
    <row r="985" spans="1:12" x14ac:dyDescent="0.3">
      <c r="A985" s="4" t="s">
        <v>1599</v>
      </c>
      <c r="B985" s="5">
        <v>45521</v>
      </c>
      <c r="C985" s="4" t="s">
        <v>668</v>
      </c>
      <c r="D985" s="4" t="s">
        <v>1437</v>
      </c>
      <c r="E985" s="4" t="s">
        <v>22</v>
      </c>
      <c r="F985" s="4" t="s">
        <v>67</v>
      </c>
      <c r="G985" s="4" t="s">
        <v>40</v>
      </c>
      <c r="H985" s="4" t="s">
        <v>41</v>
      </c>
      <c r="I985" s="6">
        <v>9</v>
      </c>
      <c r="J985" s="6">
        <v>5904</v>
      </c>
      <c r="K985" s="6">
        <v>4812.59</v>
      </c>
      <c r="L985" s="6">
        <v>1091.4100000000001</v>
      </c>
    </row>
    <row r="986" spans="1:12" x14ac:dyDescent="0.3">
      <c r="A986" s="4" t="s">
        <v>1600</v>
      </c>
      <c r="B986" s="5">
        <v>45634</v>
      </c>
      <c r="C986" s="4" t="s">
        <v>1601</v>
      </c>
      <c r="D986" s="4" t="s">
        <v>931</v>
      </c>
      <c r="E986" s="4" t="s">
        <v>22</v>
      </c>
      <c r="F986" s="4" t="s">
        <v>79</v>
      </c>
      <c r="G986" s="4" t="s">
        <v>35</v>
      </c>
      <c r="H986" s="4" t="s">
        <v>80</v>
      </c>
      <c r="I986" s="6">
        <v>6</v>
      </c>
      <c r="J986" s="6">
        <v>2052</v>
      </c>
      <c r="K986" s="6">
        <v>1369.83</v>
      </c>
      <c r="L986" s="6">
        <v>682.17</v>
      </c>
    </row>
    <row r="987" spans="1:12" x14ac:dyDescent="0.3">
      <c r="A987" s="4" t="s">
        <v>1602</v>
      </c>
      <c r="B987" s="5">
        <v>45493</v>
      </c>
      <c r="C987" s="4" t="s">
        <v>652</v>
      </c>
      <c r="D987" s="4" t="s">
        <v>172</v>
      </c>
      <c r="E987" s="4" t="s">
        <v>15</v>
      </c>
      <c r="F987" s="4" t="s">
        <v>90</v>
      </c>
      <c r="G987" s="4" t="s">
        <v>40</v>
      </c>
      <c r="H987" s="4" t="s">
        <v>56</v>
      </c>
      <c r="I987" s="6">
        <v>7</v>
      </c>
      <c r="J987" s="6">
        <v>6363</v>
      </c>
      <c r="K987" s="6">
        <v>5250.1</v>
      </c>
      <c r="L987" s="6">
        <v>1112.9000000000001</v>
      </c>
    </row>
    <row r="988" spans="1:12" x14ac:dyDescent="0.3">
      <c r="A988" s="4" t="s">
        <v>1603</v>
      </c>
      <c r="B988" s="5">
        <v>45316</v>
      </c>
      <c r="C988" s="4" t="s">
        <v>195</v>
      </c>
      <c r="D988" s="4" t="s">
        <v>1151</v>
      </c>
      <c r="E988" s="4" t="s">
        <v>54</v>
      </c>
      <c r="F988" s="4" t="s">
        <v>142</v>
      </c>
      <c r="G988" s="4" t="s">
        <v>17</v>
      </c>
      <c r="H988" s="4" t="s">
        <v>31</v>
      </c>
      <c r="I988" s="6">
        <v>2</v>
      </c>
      <c r="J988" s="6">
        <v>1056</v>
      </c>
      <c r="K988" s="6">
        <v>732.85</v>
      </c>
      <c r="L988" s="6">
        <v>323.14999999999998</v>
      </c>
    </row>
    <row r="989" spans="1:12" x14ac:dyDescent="0.3">
      <c r="A989" s="4" t="s">
        <v>1604</v>
      </c>
      <c r="B989" s="5">
        <v>45633</v>
      </c>
      <c r="C989" s="4" t="s">
        <v>848</v>
      </c>
      <c r="D989" s="4" t="s">
        <v>673</v>
      </c>
      <c r="E989" s="4" t="s">
        <v>29</v>
      </c>
      <c r="F989" s="4" t="s">
        <v>102</v>
      </c>
      <c r="G989" s="4" t="s">
        <v>35</v>
      </c>
      <c r="H989" s="4" t="s">
        <v>80</v>
      </c>
      <c r="I989" s="6">
        <v>4</v>
      </c>
      <c r="J989" s="6">
        <v>12364</v>
      </c>
      <c r="K989" s="6">
        <v>9888.17</v>
      </c>
      <c r="L989" s="6">
        <v>2475.83</v>
      </c>
    </row>
    <row r="990" spans="1:12" x14ac:dyDescent="0.3">
      <c r="A990" s="4" t="s">
        <v>1605</v>
      </c>
      <c r="B990" s="5">
        <v>45884</v>
      </c>
      <c r="C990" s="4" t="s">
        <v>966</v>
      </c>
      <c r="D990" s="4" t="s">
        <v>288</v>
      </c>
      <c r="E990" s="4" t="s">
        <v>15</v>
      </c>
      <c r="F990" s="4" t="s">
        <v>90</v>
      </c>
      <c r="G990" s="4" t="s">
        <v>17</v>
      </c>
      <c r="H990" s="4" t="s">
        <v>72</v>
      </c>
      <c r="I990" s="6">
        <v>8</v>
      </c>
      <c r="J990" s="6">
        <v>8664</v>
      </c>
      <c r="K990" s="6">
        <v>6390.61</v>
      </c>
      <c r="L990" s="6">
        <v>2273.39</v>
      </c>
    </row>
    <row r="991" spans="1:12" x14ac:dyDescent="0.3">
      <c r="A991" s="4" t="s">
        <v>1606</v>
      </c>
      <c r="B991" s="5">
        <v>45355</v>
      </c>
      <c r="C991" s="4" t="s">
        <v>324</v>
      </c>
      <c r="D991" s="4" t="s">
        <v>654</v>
      </c>
      <c r="E991" s="4" t="s">
        <v>15</v>
      </c>
      <c r="F991" s="4" t="s">
        <v>16</v>
      </c>
      <c r="G991" s="4" t="s">
        <v>35</v>
      </c>
      <c r="H991" s="4" t="s">
        <v>36</v>
      </c>
      <c r="I991" s="6">
        <v>6</v>
      </c>
      <c r="J991" s="6">
        <v>4992</v>
      </c>
      <c r="K991" s="6">
        <v>3917.69</v>
      </c>
      <c r="L991" s="6">
        <v>1074.31</v>
      </c>
    </row>
    <row r="992" spans="1:12" x14ac:dyDescent="0.3">
      <c r="A992" s="4" t="s">
        <v>1607</v>
      </c>
      <c r="B992" s="5">
        <v>45349</v>
      </c>
      <c r="C992" s="4" t="s">
        <v>1294</v>
      </c>
      <c r="D992" s="4" t="s">
        <v>325</v>
      </c>
      <c r="E992" s="4" t="s">
        <v>54</v>
      </c>
      <c r="F992" s="4" t="s">
        <v>71</v>
      </c>
      <c r="G992" s="4" t="s">
        <v>17</v>
      </c>
      <c r="H992" s="4" t="s">
        <v>31</v>
      </c>
      <c r="I992" s="6">
        <v>7</v>
      </c>
      <c r="J992" s="6">
        <v>5866</v>
      </c>
      <c r="K992" s="6">
        <v>3405.5</v>
      </c>
      <c r="L992" s="6">
        <v>2460.5</v>
      </c>
    </row>
    <row r="993" spans="1:12" x14ac:dyDescent="0.3">
      <c r="A993" s="4" t="s">
        <v>1608</v>
      </c>
      <c r="B993" s="5">
        <v>45905</v>
      </c>
      <c r="C993" s="4" t="s">
        <v>1090</v>
      </c>
      <c r="D993" s="4" t="s">
        <v>1233</v>
      </c>
      <c r="E993" s="4" t="s">
        <v>54</v>
      </c>
      <c r="F993" s="4" t="s">
        <v>55</v>
      </c>
      <c r="G993" s="4" t="s">
        <v>35</v>
      </c>
      <c r="H993" s="4" t="s">
        <v>36</v>
      </c>
      <c r="I993" s="6">
        <v>2</v>
      </c>
      <c r="J993" s="6">
        <v>7334</v>
      </c>
      <c r="K993" s="6">
        <v>4546.59</v>
      </c>
      <c r="L993" s="6">
        <v>2787.41</v>
      </c>
    </row>
    <row r="994" spans="1:12" x14ac:dyDescent="0.3">
      <c r="A994" s="4" t="s">
        <v>1609</v>
      </c>
      <c r="B994" s="5">
        <v>45983</v>
      </c>
      <c r="C994" s="4" t="s">
        <v>20</v>
      </c>
      <c r="D994" s="4" t="s">
        <v>1233</v>
      </c>
      <c r="E994" s="4" t="s">
        <v>22</v>
      </c>
      <c r="F994" s="4" t="s">
        <v>67</v>
      </c>
      <c r="G994" s="4" t="s">
        <v>35</v>
      </c>
      <c r="H994" s="4" t="s">
        <v>36</v>
      </c>
      <c r="I994" s="6">
        <v>10</v>
      </c>
      <c r="J994" s="6">
        <v>11290</v>
      </c>
      <c r="K994" s="6">
        <v>7359.78</v>
      </c>
      <c r="L994" s="6">
        <v>3930.22</v>
      </c>
    </row>
    <row r="995" spans="1:12" x14ac:dyDescent="0.3">
      <c r="A995" s="4" t="s">
        <v>1610</v>
      </c>
      <c r="B995" s="5">
        <v>46022</v>
      </c>
      <c r="C995" s="4" t="s">
        <v>1024</v>
      </c>
      <c r="D995" s="4" t="s">
        <v>1048</v>
      </c>
      <c r="E995" s="4" t="s">
        <v>54</v>
      </c>
      <c r="F995" s="4" t="s">
        <v>71</v>
      </c>
      <c r="G995" s="4" t="s">
        <v>40</v>
      </c>
      <c r="H995" s="4" t="s">
        <v>56</v>
      </c>
      <c r="I995" s="6">
        <v>2</v>
      </c>
      <c r="J995" s="6">
        <v>2282</v>
      </c>
      <c r="K995" s="6">
        <v>1263.51</v>
      </c>
      <c r="L995" s="6">
        <v>1018.49</v>
      </c>
    </row>
    <row r="996" spans="1:12" x14ac:dyDescent="0.3">
      <c r="A996" s="4" t="s">
        <v>1611</v>
      </c>
      <c r="B996" s="5">
        <v>45927</v>
      </c>
      <c r="C996" s="4" t="s">
        <v>500</v>
      </c>
      <c r="D996" s="4" t="s">
        <v>536</v>
      </c>
      <c r="E996" s="4" t="s">
        <v>29</v>
      </c>
      <c r="F996" s="4" t="s">
        <v>30</v>
      </c>
      <c r="G996" s="4" t="s">
        <v>35</v>
      </c>
      <c r="H996" s="4" t="s">
        <v>45</v>
      </c>
      <c r="I996" s="6">
        <v>5</v>
      </c>
      <c r="J996" s="6">
        <v>16055</v>
      </c>
      <c r="K996" s="6">
        <v>10858.03</v>
      </c>
      <c r="L996" s="6">
        <v>5196.97</v>
      </c>
    </row>
    <row r="997" spans="1:12" x14ac:dyDescent="0.3">
      <c r="A997" s="4" t="s">
        <v>1612</v>
      </c>
      <c r="B997" s="5">
        <v>45738</v>
      </c>
      <c r="C997" s="4" t="s">
        <v>933</v>
      </c>
      <c r="D997" s="4" t="s">
        <v>359</v>
      </c>
      <c r="E997" s="4" t="s">
        <v>29</v>
      </c>
      <c r="F997" s="4" t="s">
        <v>102</v>
      </c>
      <c r="G997" s="4" t="s">
        <v>24</v>
      </c>
      <c r="H997" s="4" t="s">
        <v>25</v>
      </c>
      <c r="I997" s="6">
        <v>1</v>
      </c>
      <c r="J997" s="6">
        <v>1345</v>
      </c>
      <c r="K997" s="6">
        <v>865.51</v>
      </c>
      <c r="L997" s="6">
        <v>479.49</v>
      </c>
    </row>
    <row r="998" spans="1:12" x14ac:dyDescent="0.3">
      <c r="A998" s="4" t="s">
        <v>1613</v>
      </c>
      <c r="B998" s="5">
        <v>45909</v>
      </c>
      <c r="C998" s="4" t="s">
        <v>792</v>
      </c>
      <c r="D998" s="4" t="s">
        <v>332</v>
      </c>
      <c r="E998" s="4" t="s">
        <v>54</v>
      </c>
      <c r="F998" s="4" t="s">
        <v>71</v>
      </c>
      <c r="G998" s="4" t="s">
        <v>35</v>
      </c>
      <c r="H998" s="4" t="s">
        <v>45</v>
      </c>
      <c r="I998" s="6">
        <v>3</v>
      </c>
      <c r="J998" s="6">
        <v>4521</v>
      </c>
      <c r="K998" s="6">
        <v>3123.37</v>
      </c>
      <c r="L998" s="6">
        <v>1397.63</v>
      </c>
    </row>
    <row r="999" spans="1:12" x14ac:dyDescent="0.3">
      <c r="A999" s="4" t="s">
        <v>1614</v>
      </c>
      <c r="B999" s="5">
        <v>45811</v>
      </c>
      <c r="C999" s="4" t="s">
        <v>1294</v>
      </c>
      <c r="D999" s="4" t="s">
        <v>813</v>
      </c>
      <c r="E999" s="4" t="s">
        <v>54</v>
      </c>
      <c r="F999" s="4" t="s">
        <v>142</v>
      </c>
      <c r="G999" s="4" t="s">
        <v>35</v>
      </c>
      <c r="H999" s="4" t="s">
        <v>45</v>
      </c>
      <c r="I999" s="6">
        <v>10</v>
      </c>
      <c r="J999" s="6">
        <v>14840</v>
      </c>
      <c r="K999" s="6">
        <v>8417.18</v>
      </c>
      <c r="L999" s="6">
        <v>6422.82</v>
      </c>
    </row>
    <row r="1000" spans="1:12" x14ac:dyDescent="0.3">
      <c r="A1000" s="4" t="s">
        <v>1615</v>
      </c>
      <c r="B1000" s="5">
        <v>45641</v>
      </c>
      <c r="C1000" s="4" t="s">
        <v>342</v>
      </c>
      <c r="D1000" s="4" t="s">
        <v>198</v>
      </c>
      <c r="E1000" s="4" t="s">
        <v>22</v>
      </c>
      <c r="F1000" s="4" t="s">
        <v>67</v>
      </c>
      <c r="G1000" s="4" t="s">
        <v>40</v>
      </c>
      <c r="H1000" s="4" t="s">
        <v>56</v>
      </c>
      <c r="I1000" s="6">
        <v>4</v>
      </c>
      <c r="J1000" s="6">
        <v>7792</v>
      </c>
      <c r="K1000" s="6">
        <v>6121.23</v>
      </c>
      <c r="L1000" s="6">
        <v>1670.77</v>
      </c>
    </row>
    <row r="1001" spans="1:12" x14ac:dyDescent="0.3">
      <c r="A1001" s="4" t="s">
        <v>1616</v>
      </c>
      <c r="B1001" s="5">
        <v>45922</v>
      </c>
      <c r="C1001" s="4" t="s">
        <v>137</v>
      </c>
      <c r="D1001" s="4" t="s">
        <v>223</v>
      </c>
      <c r="E1001" s="4" t="s">
        <v>22</v>
      </c>
      <c r="F1001" s="4" t="s">
        <v>79</v>
      </c>
      <c r="G1001" s="4" t="s">
        <v>17</v>
      </c>
      <c r="H1001" s="4" t="s">
        <v>18</v>
      </c>
      <c r="I1001" s="6">
        <v>6</v>
      </c>
      <c r="J1001" s="6">
        <v>29622</v>
      </c>
      <c r="K1001" s="6">
        <v>24850.47</v>
      </c>
      <c r="L1001" s="6">
        <v>4771.53</v>
      </c>
    </row>
    <row r="1002" spans="1:12" x14ac:dyDescent="0.3">
      <c r="A1002" s="4" t="s">
        <v>1617</v>
      </c>
      <c r="B1002" s="5">
        <v>45295</v>
      </c>
      <c r="C1002" s="4" t="s">
        <v>236</v>
      </c>
      <c r="D1002" s="4" t="s">
        <v>59</v>
      </c>
      <c r="E1002" s="4" t="s">
        <v>54</v>
      </c>
      <c r="F1002" s="4" t="s">
        <v>142</v>
      </c>
      <c r="G1002" s="4" t="s">
        <v>24</v>
      </c>
      <c r="H1002" s="4" t="s">
        <v>50</v>
      </c>
      <c r="I1002" s="6">
        <v>8</v>
      </c>
      <c r="J1002" s="6">
        <v>5160</v>
      </c>
      <c r="K1002" s="6">
        <v>3605.7</v>
      </c>
      <c r="L1002" s="6">
        <v>1554.3</v>
      </c>
    </row>
    <row r="1003" spans="1:12" x14ac:dyDescent="0.3">
      <c r="A1003" s="4" t="s">
        <v>1618</v>
      </c>
      <c r="B1003" s="5">
        <v>45631</v>
      </c>
      <c r="C1003" s="4" t="s">
        <v>718</v>
      </c>
      <c r="D1003" s="4" t="s">
        <v>754</v>
      </c>
      <c r="E1003" s="4" t="s">
        <v>22</v>
      </c>
      <c r="F1003" s="4" t="s">
        <v>79</v>
      </c>
      <c r="G1003" s="4" t="s">
        <v>40</v>
      </c>
      <c r="H1003" s="4" t="s">
        <v>56</v>
      </c>
      <c r="I1003" s="6">
        <v>4</v>
      </c>
      <c r="J1003" s="6">
        <v>16952</v>
      </c>
      <c r="K1003" s="6">
        <v>13059.41</v>
      </c>
      <c r="L1003" s="6">
        <v>3892.59</v>
      </c>
    </row>
    <row r="1004" spans="1:12" x14ac:dyDescent="0.3">
      <c r="A1004" s="4" t="s">
        <v>1619</v>
      </c>
      <c r="B1004" s="5">
        <v>45322</v>
      </c>
      <c r="C1004" s="4" t="s">
        <v>123</v>
      </c>
      <c r="D1004" s="4" t="s">
        <v>285</v>
      </c>
      <c r="E1004" s="4" t="s">
        <v>22</v>
      </c>
      <c r="F1004" s="4" t="s">
        <v>23</v>
      </c>
      <c r="G1004" s="4" t="s">
        <v>24</v>
      </c>
      <c r="H1004" s="4" t="s">
        <v>25</v>
      </c>
      <c r="I1004" s="6">
        <v>6</v>
      </c>
      <c r="J1004" s="6">
        <v>2286</v>
      </c>
      <c r="K1004" s="6">
        <v>1307.8599999999999</v>
      </c>
      <c r="L1004" s="6">
        <v>978.14</v>
      </c>
    </row>
    <row r="1005" spans="1:12" x14ac:dyDescent="0.3">
      <c r="A1005" s="4" t="s">
        <v>1620</v>
      </c>
      <c r="B1005" s="5">
        <v>45322</v>
      </c>
      <c r="C1005" s="4" t="s">
        <v>301</v>
      </c>
      <c r="D1005" s="4" t="s">
        <v>243</v>
      </c>
      <c r="E1005" s="4" t="s">
        <v>29</v>
      </c>
      <c r="F1005" s="4" t="s">
        <v>49</v>
      </c>
      <c r="G1005" s="4" t="s">
        <v>35</v>
      </c>
      <c r="H1005" s="4" t="s">
        <v>80</v>
      </c>
      <c r="I1005" s="6">
        <v>4</v>
      </c>
      <c r="J1005" s="6">
        <v>12992</v>
      </c>
      <c r="K1005" s="6">
        <v>7316.72</v>
      </c>
      <c r="L1005" s="6">
        <v>5675.28</v>
      </c>
    </row>
    <row r="1006" spans="1:12" x14ac:dyDescent="0.3">
      <c r="A1006" s="4" t="s">
        <v>1621</v>
      </c>
      <c r="B1006" s="5">
        <v>45859</v>
      </c>
      <c r="C1006" s="4" t="s">
        <v>197</v>
      </c>
      <c r="D1006" s="4" t="s">
        <v>1011</v>
      </c>
      <c r="E1006" s="4" t="s">
        <v>54</v>
      </c>
      <c r="F1006" s="4" t="s">
        <v>142</v>
      </c>
      <c r="G1006" s="4" t="s">
        <v>40</v>
      </c>
      <c r="H1006" s="4" t="s">
        <v>56</v>
      </c>
      <c r="I1006" s="6">
        <v>5</v>
      </c>
      <c r="J1006" s="6">
        <v>8635</v>
      </c>
      <c r="K1006" s="6">
        <v>5629.55</v>
      </c>
      <c r="L1006" s="6">
        <v>3005.45</v>
      </c>
    </row>
    <row r="1007" spans="1:12" x14ac:dyDescent="0.3">
      <c r="A1007" s="4" t="s">
        <v>1622</v>
      </c>
      <c r="B1007" s="5">
        <v>45985</v>
      </c>
      <c r="C1007" s="4" t="s">
        <v>449</v>
      </c>
      <c r="D1007" s="4" t="s">
        <v>258</v>
      </c>
      <c r="E1007" s="4" t="s">
        <v>29</v>
      </c>
      <c r="F1007" s="4" t="s">
        <v>102</v>
      </c>
      <c r="G1007" s="4" t="s">
        <v>24</v>
      </c>
      <c r="H1007" s="4" t="s">
        <v>166</v>
      </c>
      <c r="I1007" s="6">
        <v>5</v>
      </c>
      <c r="J1007" s="6">
        <v>5640</v>
      </c>
      <c r="K1007" s="6">
        <v>3137.52</v>
      </c>
      <c r="L1007" s="6">
        <v>2502.48</v>
      </c>
    </row>
    <row r="1008" spans="1:12" x14ac:dyDescent="0.3">
      <c r="A1008" s="4" t="s">
        <v>1623</v>
      </c>
      <c r="B1008" s="5">
        <v>45673</v>
      </c>
      <c r="C1008" s="4" t="s">
        <v>1364</v>
      </c>
      <c r="D1008" s="4" t="s">
        <v>561</v>
      </c>
      <c r="E1008" s="4" t="s">
        <v>15</v>
      </c>
      <c r="F1008" s="4" t="s">
        <v>63</v>
      </c>
      <c r="G1008" s="4" t="s">
        <v>40</v>
      </c>
      <c r="H1008" s="4" t="s">
        <v>56</v>
      </c>
      <c r="I1008" s="6">
        <v>5</v>
      </c>
      <c r="J1008" s="6">
        <v>20185</v>
      </c>
      <c r="K1008" s="6">
        <v>12555.98</v>
      </c>
      <c r="L1008" s="6">
        <v>7629.02</v>
      </c>
    </row>
    <row r="1009" spans="1:12" x14ac:dyDescent="0.3">
      <c r="A1009" s="4" t="s">
        <v>1624</v>
      </c>
      <c r="B1009" s="5">
        <v>45425</v>
      </c>
      <c r="C1009" s="4" t="s">
        <v>179</v>
      </c>
      <c r="D1009" s="4" t="s">
        <v>187</v>
      </c>
      <c r="E1009" s="4" t="s">
        <v>22</v>
      </c>
      <c r="F1009" s="4" t="s">
        <v>79</v>
      </c>
      <c r="G1009" s="4" t="s">
        <v>24</v>
      </c>
      <c r="H1009" s="4" t="s">
        <v>50</v>
      </c>
      <c r="I1009" s="6">
        <v>2</v>
      </c>
      <c r="J1009" s="6">
        <v>2966</v>
      </c>
      <c r="K1009" s="6">
        <v>2416.75</v>
      </c>
      <c r="L1009" s="6">
        <v>549.25</v>
      </c>
    </row>
    <row r="1010" spans="1:12" x14ac:dyDescent="0.3">
      <c r="A1010" s="4" t="s">
        <v>1625</v>
      </c>
      <c r="B1010" s="5">
        <v>45542</v>
      </c>
      <c r="C1010" s="4" t="s">
        <v>446</v>
      </c>
      <c r="D1010" s="4" t="s">
        <v>1145</v>
      </c>
      <c r="E1010" s="4" t="s">
        <v>22</v>
      </c>
      <c r="F1010" s="4" t="s">
        <v>79</v>
      </c>
      <c r="G1010" s="4" t="s">
        <v>40</v>
      </c>
      <c r="H1010" s="4" t="s">
        <v>41</v>
      </c>
      <c r="I1010" s="6">
        <v>6</v>
      </c>
      <c r="J1010" s="6">
        <v>22908</v>
      </c>
      <c r="K1010" s="6">
        <v>19313.61</v>
      </c>
      <c r="L1010" s="6">
        <v>3594.39</v>
      </c>
    </row>
    <row r="1011" spans="1:12" x14ac:dyDescent="0.3">
      <c r="A1011" s="4" t="s">
        <v>1626</v>
      </c>
      <c r="B1011" s="5">
        <v>45578</v>
      </c>
      <c r="C1011" s="4" t="s">
        <v>239</v>
      </c>
      <c r="D1011" s="4" t="s">
        <v>492</v>
      </c>
      <c r="E1011" s="4" t="s">
        <v>54</v>
      </c>
      <c r="F1011" s="4" t="s">
        <v>142</v>
      </c>
      <c r="G1011" s="4" t="s">
        <v>40</v>
      </c>
      <c r="H1011" s="4" t="s">
        <v>41</v>
      </c>
      <c r="I1011" s="6">
        <v>4</v>
      </c>
      <c r="J1011" s="6">
        <v>2944</v>
      </c>
      <c r="K1011" s="6">
        <v>2175.14</v>
      </c>
      <c r="L1011" s="6">
        <v>768.86</v>
      </c>
    </row>
    <row r="1012" spans="1:12" x14ac:dyDescent="0.3">
      <c r="A1012" s="4" t="s">
        <v>1627</v>
      </c>
      <c r="B1012" s="5">
        <v>45921</v>
      </c>
      <c r="C1012" s="4" t="s">
        <v>1382</v>
      </c>
      <c r="D1012" s="4" t="s">
        <v>743</v>
      </c>
      <c r="E1012" s="4" t="s">
        <v>22</v>
      </c>
      <c r="F1012" s="4" t="s">
        <v>23</v>
      </c>
      <c r="G1012" s="4" t="s">
        <v>17</v>
      </c>
      <c r="H1012" s="4" t="s">
        <v>18</v>
      </c>
      <c r="I1012" s="6">
        <v>2</v>
      </c>
      <c r="J1012" s="6">
        <v>8310</v>
      </c>
      <c r="K1012" s="6">
        <v>6542.46</v>
      </c>
      <c r="L1012" s="6">
        <v>1767.54</v>
      </c>
    </row>
    <row r="1013" spans="1:12" x14ac:dyDescent="0.3">
      <c r="A1013" s="4" t="s">
        <v>1628</v>
      </c>
      <c r="B1013" s="5">
        <v>45475</v>
      </c>
      <c r="C1013" s="4" t="s">
        <v>624</v>
      </c>
      <c r="D1013" s="4" t="s">
        <v>423</v>
      </c>
      <c r="E1013" s="4" t="s">
        <v>22</v>
      </c>
      <c r="F1013" s="4" t="s">
        <v>79</v>
      </c>
      <c r="G1013" s="4" t="s">
        <v>35</v>
      </c>
      <c r="H1013" s="4" t="s">
        <v>45</v>
      </c>
      <c r="I1013" s="6">
        <v>6</v>
      </c>
      <c r="J1013" s="6">
        <v>26304</v>
      </c>
      <c r="K1013" s="6">
        <v>18561.88</v>
      </c>
      <c r="L1013" s="6">
        <v>7742.12</v>
      </c>
    </row>
    <row r="1014" spans="1:12" x14ac:dyDescent="0.3">
      <c r="A1014" s="4" t="s">
        <v>1629</v>
      </c>
      <c r="B1014" s="5">
        <v>45945</v>
      </c>
      <c r="C1014" s="4" t="s">
        <v>1371</v>
      </c>
      <c r="D1014" s="4" t="s">
        <v>319</v>
      </c>
      <c r="E1014" s="4" t="s">
        <v>22</v>
      </c>
      <c r="F1014" s="4" t="s">
        <v>79</v>
      </c>
      <c r="G1014" s="4" t="s">
        <v>35</v>
      </c>
      <c r="H1014" s="4" t="s">
        <v>80</v>
      </c>
      <c r="I1014" s="6">
        <v>8</v>
      </c>
      <c r="J1014" s="6">
        <v>19984</v>
      </c>
      <c r="K1014" s="6">
        <v>14475.53</v>
      </c>
      <c r="L1014" s="6">
        <v>5508.47</v>
      </c>
    </row>
    <row r="1015" spans="1:12" x14ac:dyDescent="0.3">
      <c r="A1015" s="4" t="s">
        <v>1630</v>
      </c>
      <c r="B1015" s="5">
        <v>45605</v>
      </c>
      <c r="C1015" s="4" t="s">
        <v>538</v>
      </c>
      <c r="D1015" s="4" t="s">
        <v>894</v>
      </c>
      <c r="E1015" s="4" t="s">
        <v>29</v>
      </c>
      <c r="F1015" s="4" t="s">
        <v>102</v>
      </c>
      <c r="G1015" s="4" t="s">
        <v>40</v>
      </c>
      <c r="H1015" s="4" t="s">
        <v>56</v>
      </c>
      <c r="I1015" s="6">
        <v>8</v>
      </c>
      <c r="J1015" s="6">
        <v>17760</v>
      </c>
      <c r="K1015" s="6">
        <v>11877.36</v>
      </c>
      <c r="L1015" s="6">
        <v>5882.64</v>
      </c>
    </row>
    <row r="1016" spans="1:12" x14ac:dyDescent="0.3">
      <c r="A1016" s="4" t="s">
        <v>1631</v>
      </c>
      <c r="B1016" s="5">
        <v>45378</v>
      </c>
      <c r="C1016" s="4" t="s">
        <v>812</v>
      </c>
      <c r="D1016" s="4" t="s">
        <v>356</v>
      </c>
      <c r="E1016" s="4" t="s">
        <v>29</v>
      </c>
      <c r="F1016" s="4" t="s">
        <v>49</v>
      </c>
      <c r="G1016" s="4" t="s">
        <v>40</v>
      </c>
      <c r="H1016" s="4" t="s">
        <v>99</v>
      </c>
      <c r="I1016" s="6">
        <v>9</v>
      </c>
      <c r="J1016" s="6">
        <v>8946</v>
      </c>
      <c r="K1016" s="6">
        <v>5280.82</v>
      </c>
      <c r="L1016" s="6">
        <v>3665.18</v>
      </c>
    </row>
    <row r="1017" spans="1:12" x14ac:dyDescent="0.3">
      <c r="A1017" s="4" t="s">
        <v>1632</v>
      </c>
      <c r="B1017" s="5">
        <v>45636</v>
      </c>
      <c r="C1017" s="4" t="s">
        <v>1082</v>
      </c>
      <c r="D1017" s="4" t="s">
        <v>563</v>
      </c>
      <c r="E1017" s="4" t="s">
        <v>54</v>
      </c>
      <c r="F1017" s="4" t="s">
        <v>142</v>
      </c>
      <c r="G1017" s="4" t="s">
        <v>17</v>
      </c>
      <c r="H1017" s="4" t="s">
        <v>72</v>
      </c>
      <c r="I1017" s="6">
        <v>1</v>
      </c>
      <c r="J1017" s="6">
        <v>4111</v>
      </c>
      <c r="K1017" s="6">
        <v>2892.82</v>
      </c>
      <c r="L1017" s="6">
        <v>1218.18</v>
      </c>
    </row>
    <row r="1018" spans="1:12" x14ac:dyDescent="0.3">
      <c r="A1018" s="4" t="s">
        <v>1633</v>
      </c>
      <c r="B1018" s="5">
        <v>45683</v>
      </c>
      <c r="C1018" s="4" t="s">
        <v>1199</v>
      </c>
      <c r="D1018" s="4" t="s">
        <v>1011</v>
      </c>
      <c r="E1018" s="4" t="s">
        <v>22</v>
      </c>
      <c r="F1018" s="4" t="s">
        <v>67</v>
      </c>
      <c r="G1018" s="4" t="s">
        <v>35</v>
      </c>
      <c r="H1018" s="4" t="s">
        <v>36</v>
      </c>
      <c r="I1018" s="6">
        <v>6</v>
      </c>
      <c r="J1018" s="6">
        <v>26250</v>
      </c>
      <c r="K1018" s="6">
        <v>16934.04</v>
      </c>
      <c r="L1018" s="6">
        <v>9315.9599999999991</v>
      </c>
    </row>
    <row r="1019" spans="1:12" x14ac:dyDescent="0.3">
      <c r="A1019" s="4" t="s">
        <v>1634</v>
      </c>
      <c r="B1019" s="5">
        <v>45593</v>
      </c>
      <c r="C1019" s="4" t="s">
        <v>596</v>
      </c>
      <c r="D1019" s="4" t="s">
        <v>857</v>
      </c>
      <c r="E1019" s="4" t="s">
        <v>22</v>
      </c>
      <c r="F1019" s="4" t="s">
        <v>23</v>
      </c>
      <c r="G1019" s="4" t="s">
        <v>40</v>
      </c>
      <c r="H1019" s="4" t="s">
        <v>99</v>
      </c>
      <c r="I1019" s="6">
        <v>2</v>
      </c>
      <c r="J1019" s="6">
        <v>6482</v>
      </c>
      <c r="K1019" s="6">
        <v>5318.11</v>
      </c>
      <c r="L1019" s="6">
        <v>1163.8900000000001</v>
      </c>
    </row>
    <row r="1020" spans="1:12" x14ac:dyDescent="0.3">
      <c r="A1020" s="4" t="s">
        <v>1635</v>
      </c>
      <c r="B1020" s="5">
        <v>45331</v>
      </c>
      <c r="C1020" s="4" t="s">
        <v>13</v>
      </c>
      <c r="D1020" s="4" t="s">
        <v>169</v>
      </c>
      <c r="E1020" s="4" t="s">
        <v>15</v>
      </c>
      <c r="F1020" s="4" t="s">
        <v>63</v>
      </c>
      <c r="G1020" s="4" t="s">
        <v>40</v>
      </c>
      <c r="H1020" s="4" t="s">
        <v>56</v>
      </c>
      <c r="I1020" s="6">
        <v>2</v>
      </c>
      <c r="J1020" s="6">
        <v>2542</v>
      </c>
      <c r="K1020" s="6">
        <v>1452.51</v>
      </c>
      <c r="L1020" s="6">
        <v>1089.49</v>
      </c>
    </row>
    <row r="1021" spans="1:12" x14ac:dyDescent="0.3">
      <c r="A1021" s="4" t="s">
        <v>1636</v>
      </c>
      <c r="B1021" s="5">
        <v>45991</v>
      </c>
      <c r="C1021" s="4" t="s">
        <v>279</v>
      </c>
      <c r="D1021" s="4" t="s">
        <v>335</v>
      </c>
      <c r="E1021" s="4" t="s">
        <v>54</v>
      </c>
      <c r="F1021" s="4" t="s">
        <v>142</v>
      </c>
      <c r="G1021" s="4" t="s">
        <v>17</v>
      </c>
      <c r="H1021" s="4" t="s">
        <v>31</v>
      </c>
      <c r="I1021" s="6">
        <v>6</v>
      </c>
      <c r="J1021" s="6">
        <v>14088</v>
      </c>
      <c r="K1021" s="6">
        <v>9027.7999999999993</v>
      </c>
      <c r="L1021" s="6">
        <v>5060.2</v>
      </c>
    </row>
    <row r="1022" spans="1:12" x14ac:dyDescent="0.3">
      <c r="A1022" s="4" t="s">
        <v>1637</v>
      </c>
      <c r="B1022" s="5">
        <v>45598</v>
      </c>
      <c r="C1022" s="4" t="s">
        <v>938</v>
      </c>
      <c r="D1022" s="4" t="s">
        <v>554</v>
      </c>
      <c r="E1022" s="4" t="s">
        <v>29</v>
      </c>
      <c r="F1022" s="4" t="s">
        <v>30</v>
      </c>
      <c r="G1022" s="4" t="s">
        <v>17</v>
      </c>
      <c r="H1022" s="4" t="s">
        <v>18</v>
      </c>
      <c r="I1022" s="6">
        <v>9</v>
      </c>
      <c r="J1022" s="6">
        <v>21951</v>
      </c>
      <c r="K1022" s="6">
        <v>12129.25</v>
      </c>
      <c r="L1022" s="6">
        <v>9821.75</v>
      </c>
    </row>
    <row r="1023" spans="1:12" x14ac:dyDescent="0.3">
      <c r="A1023" s="4" t="s">
        <v>1638</v>
      </c>
      <c r="B1023" s="5">
        <v>45444</v>
      </c>
      <c r="C1023" s="4" t="s">
        <v>242</v>
      </c>
      <c r="D1023" s="4" t="s">
        <v>909</v>
      </c>
      <c r="E1023" s="4" t="s">
        <v>22</v>
      </c>
      <c r="F1023" s="4" t="s">
        <v>67</v>
      </c>
      <c r="G1023" s="4" t="s">
        <v>17</v>
      </c>
      <c r="H1023" s="4" t="s">
        <v>72</v>
      </c>
      <c r="I1023" s="6">
        <v>1</v>
      </c>
      <c r="J1023" s="6">
        <v>4166</v>
      </c>
      <c r="K1023" s="6">
        <v>3108.78</v>
      </c>
      <c r="L1023" s="6">
        <v>1057.22</v>
      </c>
    </row>
    <row r="1024" spans="1:12" x14ac:dyDescent="0.3">
      <c r="A1024" s="4" t="s">
        <v>1639</v>
      </c>
      <c r="B1024" s="5">
        <v>45893</v>
      </c>
      <c r="C1024" s="4" t="s">
        <v>329</v>
      </c>
      <c r="D1024" s="4" t="s">
        <v>383</v>
      </c>
      <c r="E1024" s="4" t="s">
        <v>29</v>
      </c>
      <c r="F1024" s="4" t="s">
        <v>30</v>
      </c>
      <c r="G1024" s="4" t="s">
        <v>17</v>
      </c>
      <c r="H1024" s="4" t="s">
        <v>18</v>
      </c>
      <c r="I1024" s="6">
        <v>4</v>
      </c>
      <c r="J1024" s="6">
        <v>16744</v>
      </c>
      <c r="K1024" s="6">
        <v>10383.24</v>
      </c>
      <c r="L1024" s="6">
        <v>6360.76</v>
      </c>
    </row>
    <row r="1025" spans="1:12" x14ac:dyDescent="0.3">
      <c r="A1025" s="4" t="s">
        <v>1640</v>
      </c>
      <c r="B1025" s="5">
        <v>46006</v>
      </c>
      <c r="C1025" s="4" t="s">
        <v>455</v>
      </c>
      <c r="D1025" s="4" t="s">
        <v>781</v>
      </c>
      <c r="E1025" s="4" t="s">
        <v>22</v>
      </c>
      <c r="F1025" s="4" t="s">
        <v>67</v>
      </c>
      <c r="G1025" s="4" t="s">
        <v>24</v>
      </c>
      <c r="H1025" s="4" t="s">
        <v>50</v>
      </c>
      <c r="I1025" s="6">
        <v>6</v>
      </c>
      <c r="J1025" s="6">
        <v>11028</v>
      </c>
      <c r="K1025" s="6">
        <v>7484.02</v>
      </c>
      <c r="L1025" s="6">
        <v>3543.98</v>
      </c>
    </row>
    <row r="1026" spans="1:12" x14ac:dyDescent="0.3">
      <c r="A1026" s="4" t="s">
        <v>1641</v>
      </c>
      <c r="B1026" s="5">
        <v>45423</v>
      </c>
      <c r="C1026" s="4" t="s">
        <v>935</v>
      </c>
      <c r="D1026" s="4" t="s">
        <v>629</v>
      </c>
      <c r="E1026" s="4" t="s">
        <v>22</v>
      </c>
      <c r="F1026" s="4" t="s">
        <v>67</v>
      </c>
      <c r="G1026" s="4" t="s">
        <v>35</v>
      </c>
      <c r="H1026" s="4" t="s">
        <v>45</v>
      </c>
      <c r="I1026" s="6">
        <v>1</v>
      </c>
      <c r="J1026" s="6">
        <v>3369</v>
      </c>
      <c r="K1026" s="6">
        <v>1993.39</v>
      </c>
      <c r="L1026" s="6">
        <v>1375.61</v>
      </c>
    </row>
    <row r="1027" spans="1:12" x14ac:dyDescent="0.3">
      <c r="A1027" s="4" t="s">
        <v>1642</v>
      </c>
      <c r="B1027" s="5">
        <v>45994</v>
      </c>
      <c r="C1027" s="4" t="s">
        <v>132</v>
      </c>
      <c r="D1027" s="4" t="s">
        <v>66</v>
      </c>
      <c r="E1027" s="4" t="s">
        <v>22</v>
      </c>
      <c r="F1027" s="4" t="s">
        <v>79</v>
      </c>
      <c r="G1027" s="4" t="s">
        <v>40</v>
      </c>
      <c r="H1027" s="4" t="s">
        <v>41</v>
      </c>
      <c r="I1027" s="6">
        <v>6</v>
      </c>
      <c r="J1027" s="6">
        <v>12882</v>
      </c>
      <c r="K1027" s="6">
        <v>8704.94</v>
      </c>
      <c r="L1027" s="6">
        <v>4177.0600000000004</v>
      </c>
    </row>
    <row r="1028" spans="1:12" x14ac:dyDescent="0.3">
      <c r="A1028" s="4" t="s">
        <v>1643</v>
      </c>
      <c r="B1028" s="5">
        <v>45434</v>
      </c>
      <c r="C1028" s="4" t="s">
        <v>251</v>
      </c>
      <c r="D1028" s="4" t="s">
        <v>1026</v>
      </c>
      <c r="E1028" s="4" t="s">
        <v>54</v>
      </c>
      <c r="F1028" s="4" t="s">
        <v>55</v>
      </c>
      <c r="G1028" s="4" t="s">
        <v>17</v>
      </c>
      <c r="H1028" s="4" t="s">
        <v>72</v>
      </c>
      <c r="I1028" s="6">
        <v>1</v>
      </c>
      <c r="J1028" s="6">
        <v>4949</v>
      </c>
      <c r="K1028" s="6">
        <v>3887.97</v>
      </c>
      <c r="L1028" s="6">
        <v>1061.03</v>
      </c>
    </row>
    <row r="1029" spans="1:12" x14ac:dyDescent="0.3">
      <c r="A1029" s="4" t="s">
        <v>1644</v>
      </c>
      <c r="B1029" s="5">
        <v>45484</v>
      </c>
      <c r="C1029" s="4" t="s">
        <v>1102</v>
      </c>
      <c r="D1029" s="4" t="s">
        <v>852</v>
      </c>
      <c r="E1029" s="4" t="s">
        <v>22</v>
      </c>
      <c r="F1029" s="4" t="s">
        <v>67</v>
      </c>
      <c r="G1029" s="4" t="s">
        <v>40</v>
      </c>
      <c r="H1029" s="4" t="s">
        <v>56</v>
      </c>
      <c r="I1029" s="6">
        <v>7</v>
      </c>
      <c r="J1029" s="6">
        <v>5747</v>
      </c>
      <c r="K1029" s="6">
        <v>4082.37</v>
      </c>
      <c r="L1029" s="6">
        <v>1664.63</v>
      </c>
    </row>
    <row r="1030" spans="1:12" x14ac:dyDescent="0.3">
      <c r="A1030" s="4" t="s">
        <v>1645</v>
      </c>
      <c r="B1030" s="5">
        <v>45983</v>
      </c>
      <c r="C1030" s="4" t="s">
        <v>474</v>
      </c>
      <c r="D1030" s="4" t="s">
        <v>1334</v>
      </c>
      <c r="E1030" s="4" t="s">
        <v>54</v>
      </c>
      <c r="F1030" s="4" t="s">
        <v>71</v>
      </c>
      <c r="G1030" s="4" t="s">
        <v>35</v>
      </c>
      <c r="H1030" s="4" t="s">
        <v>80</v>
      </c>
      <c r="I1030" s="6">
        <v>5</v>
      </c>
      <c r="J1030" s="6">
        <v>5315</v>
      </c>
      <c r="K1030" s="6">
        <v>3196.59</v>
      </c>
      <c r="L1030" s="6">
        <v>2118.41</v>
      </c>
    </row>
    <row r="1031" spans="1:12" x14ac:dyDescent="0.3">
      <c r="A1031" s="4" t="s">
        <v>1646</v>
      </c>
      <c r="B1031" s="5">
        <v>45363</v>
      </c>
      <c r="C1031" s="4" t="s">
        <v>1647</v>
      </c>
      <c r="D1031" s="4" t="s">
        <v>282</v>
      </c>
      <c r="E1031" s="4" t="s">
        <v>15</v>
      </c>
      <c r="F1031" s="4" t="s">
        <v>90</v>
      </c>
      <c r="G1031" s="4" t="s">
        <v>17</v>
      </c>
      <c r="H1031" s="4" t="s">
        <v>72</v>
      </c>
      <c r="I1031" s="6">
        <v>8</v>
      </c>
      <c r="J1031" s="6">
        <v>4152</v>
      </c>
      <c r="K1031" s="6">
        <v>2516.14</v>
      </c>
      <c r="L1031" s="6">
        <v>1635.86</v>
      </c>
    </row>
    <row r="1032" spans="1:12" x14ac:dyDescent="0.3">
      <c r="A1032" s="4" t="s">
        <v>1648</v>
      </c>
      <c r="B1032" s="5">
        <v>45669</v>
      </c>
      <c r="C1032" s="4" t="s">
        <v>1112</v>
      </c>
      <c r="D1032" s="4" t="s">
        <v>746</v>
      </c>
      <c r="E1032" s="4" t="s">
        <v>29</v>
      </c>
      <c r="F1032" s="4" t="s">
        <v>102</v>
      </c>
      <c r="G1032" s="4" t="s">
        <v>40</v>
      </c>
      <c r="H1032" s="4" t="s">
        <v>99</v>
      </c>
      <c r="I1032" s="6">
        <v>9</v>
      </c>
      <c r="J1032" s="6">
        <v>7857</v>
      </c>
      <c r="K1032" s="6">
        <v>5393.04</v>
      </c>
      <c r="L1032" s="6">
        <v>2463.96</v>
      </c>
    </row>
    <row r="1033" spans="1:12" x14ac:dyDescent="0.3">
      <c r="A1033" s="4" t="s">
        <v>1649</v>
      </c>
      <c r="B1033" s="5">
        <v>45424</v>
      </c>
      <c r="C1033" s="4" t="s">
        <v>38</v>
      </c>
      <c r="D1033" s="4" t="s">
        <v>223</v>
      </c>
      <c r="E1033" s="4" t="s">
        <v>29</v>
      </c>
      <c r="F1033" s="4" t="s">
        <v>49</v>
      </c>
      <c r="G1033" s="4" t="s">
        <v>35</v>
      </c>
      <c r="H1033" s="4" t="s">
        <v>36</v>
      </c>
      <c r="I1033" s="6">
        <v>7</v>
      </c>
      <c r="J1033" s="6">
        <v>11102</v>
      </c>
      <c r="K1033" s="6">
        <v>9402.0499999999993</v>
      </c>
      <c r="L1033" s="6">
        <v>1699.95</v>
      </c>
    </row>
    <row r="1034" spans="1:12" x14ac:dyDescent="0.3">
      <c r="A1034" s="4" t="s">
        <v>1650</v>
      </c>
      <c r="B1034" s="5">
        <v>45502</v>
      </c>
      <c r="C1034" s="4" t="s">
        <v>490</v>
      </c>
      <c r="D1034" s="4" t="s">
        <v>719</v>
      </c>
      <c r="E1034" s="4" t="s">
        <v>22</v>
      </c>
      <c r="F1034" s="4" t="s">
        <v>79</v>
      </c>
      <c r="G1034" s="4" t="s">
        <v>24</v>
      </c>
      <c r="H1034" s="4" t="s">
        <v>50</v>
      </c>
      <c r="I1034" s="6">
        <v>7</v>
      </c>
      <c r="J1034" s="6">
        <v>13937</v>
      </c>
      <c r="K1034" s="6">
        <v>8208.61</v>
      </c>
      <c r="L1034" s="6">
        <v>5728.39</v>
      </c>
    </row>
    <row r="1035" spans="1:12" x14ac:dyDescent="0.3">
      <c r="A1035" s="4" t="s">
        <v>1651</v>
      </c>
      <c r="B1035" s="5">
        <v>45806</v>
      </c>
      <c r="C1035" s="4" t="s">
        <v>516</v>
      </c>
      <c r="D1035" s="4" t="s">
        <v>401</v>
      </c>
      <c r="E1035" s="4" t="s">
        <v>22</v>
      </c>
      <c r="F1035" s="4" t="s">
        <v>23</v>
      </c>
      <c r="G1035" s="4" t="s">
        <v>17</v>
      </c>
      <c r="H1035" s="4" t="s">
        <v>72</v>
      </c>
      <c r="I1035" s="6">
        <v>10</v>
      </c>
      <c r="J1035" s="6">
        <v>28420</v>
      </c>
      <c r="K1035" s="6">
        <v>20639.96</v>
      </c>
      <c r="L1035" s="6">
        <v>7780.04</v>
      </c>
    </row>
    <row r="1036" spans="1:12" x14ac:dyDescent="0.3">
      <c r="A1036" s="4" t="s">
        <v>1652</v>
      </c>
      <c r="B1036" s="5">
        <v>45911</v>
      </c>
      <c r="C1036" s="4" t="s">
        <v>480</v>
      </c>
      <c r="D1036" s="4" t="s">
        <v>561</v>
      </c>
      <c r="E1036" s="4" t="s">
        <v>29</v>
      </c>
      <c r="F1036" s="4" t="s">
        <v>102</v>
      </c>
      <c r="G1036" s="4" t="s">
        <v>24</v>
      </c>
      <c r="H1036" s="4" t="s">
        <v>166</v>
      </c>
      <c r="I1036" s="6">
        <v>8</v>
      </c>
      <c r="J1036" s="6">
        <v>6592</v>
      </c>
      <c r="K1036" s="6">
        <v>5256.29</v>
      </c>
      <c r="L1036" s="6">
        <v>1335.71</v>
      </c>
    </row>
    <row r="1037" spans="1:12" x14ac:dyDescent="0.3">
      <c r="A1037" s="4" t="s">
        <v>1653</v>
      </c>
      <c r="B1037" s="5">
        <v>45385</v>
      </c>
      <c r="C1037" s="4" t="s">
        <v>298</v>
      </c>
      <c r="D1037" s="4" t="s">
        <v>369</v>
      </c>
      <c r="E1037" s="4" t="s">
        <v>54</v>
      </c>
      <c r="F1037" s="4" t="s">
        <v>71</v>
      </c>
      <c r="G1037" s="4" t="s">
        <v>35</v>
      </c>
      <c r="H1037" s="4" t="s">
        <v>80</v>
      </c>
      <c r="I1037" s="6">
        <v>8</v>
      </c>
      <c r="J1037" s="6">
        <v>32720</v>
      </c>
      <c r="K1037" s="6">
        <v>23651.32</v>
      </c>
      <c r="L1037" s="6">
        <v>9068.68</v>
      </c>
    </row>
    <row r="1038" spans="1:12" x14ac:dyDescent="0.3">
      <c r="A1038" s="4" t="s">
        <v>1654</v>
      </c>
      <c r="B1038" s="5">
        <v>45471</v>
      </c>
      <c r="C1038" s="4" t="s">
        <v>217</v>
      </c>
      <c r="D1038" s="4" t="s">
        <v>114</v>
      </c>
      <c r="E1038" s="4" t="s">
        <v>54</v>
      </c>
      <c r="F1038" s="4" t="s">
        <v>71</v>
      </c>
      <c r="G1038" s="4" t="s">
        <v>17</v>
      </c>
      <c r="H1038" s="4" t="s">
        <v>18</v>
      </c>
      <c r="I1038" s="6">
        <v>5</v>
      </c>
      <c r="J1038" s="6">
        <v>17515</v>
      </c>
      <c r="K1038" s="6">
        <v>12854.4</v>
      </c>
      <c r="L1038" s="6">
        <v>4660.6000000000004</v>
      </c>
    </row>
    <row r="1039" spans="1:12" x14ac:dyDescent="0.3">
      <c r="A1039" s="4" t="s">
        <v>1655</v>
      </c>
      <c r="B1039" s="5">
        <v>45966</v>
      </c>
      <c r="C1039" s="4" t="s">
        <v>565</v>
      </c>
      <c r="D1039" s="4" t="s">
        <v>989</v>
      </c>
      <c r="E1039" s="4" t="s">
        <v>29</v>
      </c>
      <c r="F1039" s="4" t="s">
        <v>30</v>
      </c>
      <c r="G1039" s="4" t="s">
        <v>17</v>
      </c>
      <c r="H1039" s="4" t="s">
        <v>18</v>
      </c>
      <c r="I1039" s="6">
        <v>7</v>
      </c>
      <c r="J1039" s="6">
        <v>28350</v>
      </c>
      <c r="K1039" s="6">
        <v>18864.080000000002</v>
      </c>
      <c r="L1039" s="6">
        <v>9485.92</v>
      </c>
    </row>
    <row r="1040" spans="1:12" x14ac:dyDescent="0.3">
      <c r="A1040" s="4" t="s">
        <v>1656</v>
      </c>
      <c r="B1040" s="5">
        <v>45453</v>
      </c>
      <c r="C1040" s="4" t="s">
        <v>279</v>
      </c>
      <c r="D1040" s="4" t="s">
        <v>66</v>
      </c>
      <c r="E1040" s="4" t="s">
        <v>15</v>
      </c>
      <c r="F1040" s="4" t="s">
        <v>63</v>
      </c>
      <c r="G1040" s="4" t="s">
        <v>17</v>
      </c>
      <c r="H1040" s="4" t="s">
        <v>18</v>
      </c>
      <c r="I1040" s="6">
        <v>1</v>
      </c>
      <c r="J1040" s="6">
        <v>2263</v>
      </c>
      <c r="K1040" s="6">
        <v>1845.84</v>
      </c>
      <c r="L1040" s="6">
        <v>417.16</v>
      </c>
    </row>
    <row r="1041" spans="1:12" x14ac:dyDescent="0.3">
      <c r="A1041" s="4" t="s">
        <v>1657</v>
      </c>
      <c r="B1041" s="5">
        <v>45858</v>
      </c>
      <c r="C1041" s="4" t="s">
        <v>427</v>
      </c>
      <c r="D1041" s="4" t="s">
        <v>431</v>
      </c>
      <c r="E1041" s="4" t="s">
        <v>54</v>
      </c>
      <c r="F1041" s="4" t="s">
        <v>71</v>
      </c>
      <c r="G1041" s="4" t="s">
        <v>24</v>
      </c>
      <c r="H1041" s="4" t="s">
        <v>50</v>
      </c>
      <c r="I1041" s="6">
        <v>4</v>
      </c>
      <c r="J1041" s="6">
        <v>17368</v>
      </c>
      <c r="K1041" s="6">
        <v>11695.32</v>
      </c>
      <c r="L1041" s="6">
        <v>5672.68</v>
      </c>
    </row>
    <row r="1042" spans="1:12" x14ac:dyDescent="0.3">
      <c r="A1042" s="4" t="s">
        <v>1658</v>
      </c>
      <c r="B1042" s="5">
        <v>45550</v>
      </c>
      <c r="C1042" s="4" t="s">
        <v>976</v>
      </c>
      <c r="D1042" s="4" t="s">
        <v>184</v>
      </c>
      <c r="E1042" s="4" t="s">
        <v>15</v>
      </c>
      <c r="F1042" s="4" t="s">
        <v>16</v>
      </c>
      <c r="G1042" s="4" t="s">
        <v>35</v>
      </c>
      <c r="H1042" s="4" t="s">
        <v>45</v>
      </c>
      <c r="I1042" s="6">
        <v>6</v>
      </c>
      <c r="J1042" s="6">
        <v>21954</v>
      </c>
      <c r="K1042" s="6">
        <v>15044.65</v>
      </c>
      <c r="L1042" s="6">
        <v>6909.35</v>
      </c>
    </row>
    <row r="1043" spans="1:12" x14ac:dyDescent="0.3">
      <c r="A1043" s="4" t="s">
        <v>1659</v>
      </c>
      <c r="B1043" s="5">
        <v>45700</v>
      </c>
      <c r="C1043" s="4" t="s">
        <v>276</v>
      </c>
      <c r="D1043" s="4" t="s">
        <v>531</v>
      </c>
      <c r="E1043" s="4" t="s">
        <v>15</v>
      </c>
      <c r="F1043" s="4" t="s">
        <v>63</v>
      </c>
      <c r="G1043" s="4" t="s">
        <v>24</v>
      </c>
      <c r="H1043" s="4" t="s">
        <v>25</v>
      </c>
      <c r="I1043" s="6">
        <v>2</v>
      </c>
      <c r="J1043" s="6">
        <v>8166</v>
      </c>
      <c r="K1043" s="6">
        <v>5425.05</v>
      </c>
      <c r="L1043" s="6">
        <v>2740.95</v>
      </c>
    </row>
    <row r="1044" spans="1:12" x14ac:dyDescent="0.3">
      <c r="A1044" s="4" t="s">
        <v>1660</v>
      </c>
      <c r="B1044" s="5">
        <v>45767</v>
      </c>
      <c r="C1044" s="4" t="s">
        <v>212</v>
      </c>
      <c r="D1044" s="4" t="s">
        <v>1282</v>
      </c>
      <c r="E1044" s="4" t="s">
        <v>15</v>
      </c>
      <c r="F1044" s="4" t="s">
        <v>16</v>
      </c>
      <c r="G1044" s="4" t="s">
        <v>40</v>
      </c>
      <c r="H1044" s="4" t="s">
        <v>99</v>
      </c>
      <c r="I1044" s="6">
        <v>2</v>
      </c>
      <c r="J1044" s="6">
        <v>2836</v>
      </c>
      <c r="K1044" s="6">
        <v>1838.11</v>
      </c>
      <c r="L1044" s="6">
        <v>997.89</v>
      </c>
    </row>
    <row r="1045" spans="1:12" x14ac:dyDescent="0.3">
      <c r="A1045" s="4" t="s">
        <v>1661</v>
      </c>
      <c r="B1045" s="5">
        <v>45577</v>
      </c>
      <c r="C1045" s="4" t="s">
        <v>154</v>
      </c>
      <c r="D1045" s="4" t="s">
        <v>362</v>
      </c>
      <c r="E1045" s="4" t="s">
        <v>15</v>
      </c>
      <c r="F1045" s="4" t="s">
        <v>16</v>
      </c>
      <c r="G1045" s="4" t="s">
        <v>35</v>
      </c>
      <c r="H1045" s="4" t="s">
        <v>45</v>
      </c>
      <c r="I1045" s="6">
        <v>4</v>
      </c>
      <c r="J1045" s="6">
        <v>15540</v>
      </c>
      <c r="K1045" s="6">
        <v>9200.8700000000008</v>
      </c>
      <c r="L1045" s="6">
        <v>6339.13</v>
      </c>
    </row>
    <row r="1046" spans="1:12" x14ac:dyDescent="0.3">
      <c r="A1046" s="4" t="s">
        <v>1662</v>
      </c>
      <c r="B1046" s="5">
        <v>45692</v>
      </c>
      <c r="C1046" s="4" t="s">
        <v>570</v>
      </c>
      <c r="D1046" s="4" t="s">
        <v>650</v>
      </c>
      <c r="E1046" s="4" t="s">
        <v>15</v>
      </c>
      <c r="F1046" s="4" t="s">
        <v>90</v>
      </c>
      <c r="G1046" s="4" t="s">
        <v>24</v>
      </c>
      <c r="H1046" s="4" t="s">
        <v>50</v>
      </c>
      <c r="I1046" s="6">
        <v>3</v>
      </c>
      <c r="J1046" s="6">
        <v>8127</v>
      </c>
      <c r="K1046" s="6">
        <v>4772.54</v>
      </c>
      <c r="L1046" s="6">
        <v>3354.46</v>
      </c>
    </row>
    <row r="1047" spans="1:12" x14ac:dyDescent="0.3">
      <c r="A1047" s="4" t="s">
        <v>1663</v>
      </c>
      <c r="B1047" s="5">
        <v>45513</v>
      </c>
      <c r="C1047" s="4" t="s">
        <v>1328</v>
      </c>
      <c r="D1047" s="4" t="s">
        <v>610</v>
      </c>
      <c r="E1047" s="4" t="s">
        <v>15</v>
      </c>
      <c r="F1047" s="4" t="s">
        <v>90</v>
      </c>
      <c r="G1047" s="4" t="s">
        <v>40</v>
      </c>
      <c r="H1047" s="4" t="s">
        <v>99</v>
      </c>
      <c r="I1047" s="6">
        <v>3</v>
      </c>
      <c r="J1047" s="6">
        <v>11727</v>
      </c>
      <c r="K1047" s="6">
        <v>7709.64</v>
      </c>
      <c r="L1047" s="6">
        <v>4017.36</v>
      </c>
    </row>
    <row r="1048" spans="1:12" x14ac:dyDescent="0.3">
      <c r="A1048" s="4" t="s">
        <v>1664</v>
      </c>
      <c r="B1048" s="5">
        <v>45967</v>
      </c>
      <c r="C1048" s="4" t="s">
        <v>33</v>
      </c>
      <c r="D1048" s="4" t="s">
        <v>1016</v>
      </c>
      <c r="E1048" s="4" t="s">
        <v>29</v>
      </c>
      <c r="F1048" s="4" t="s">
        <v>49</v>
      </c>
      <c r="G1048" s="4" t="s">
        <v>17</v>
      </c>
      <c r="H1048" s="4" t="s">
        <v>18</v>
      </c>
      <c r="I1048" s="6">
        <v>1</v>
      </c>
      <c r="J1048" s="6">
        <v>4583</v>
      </c>
      <c r="K1048" s="6">
        <v>3401.98</v>
      </c>
      <c r="L1048" s="6">
        <v>1181.02</v>
      </c>
    </row>
    <row r="1049" spans="1:12" x14ac:dyDescent="0.3">
      <c r="A1049" s="4" t="s">
        <v>1665</v>
      </c>
      <c r="B1049" s="5">
        <v>45678</v>
      </c>
      <c r="C1049" s="4" t="s">
        <v>1232</v>
      </c>
      <c r="D1049" s="4" t="s">
        <v>114</v>
      </c>
      <c r="E1049" s="4" t="s">
        <v>54</v>
      </c>
      <c r="F1049" s="4" t="s">
        <v>55</v>
      </c>
      <c r="G1049" s="4" t="s">
        <v>24</v>
      </c>
      <c r="H1049" s="4" t="s">
        <v>25</v>
      </c>
      <c r="I1049" s="6">
        <v>10</v>
      </c>
      <c r="J1049" s="6">
        <v>3380</v>
      </c>
      <c r="K1049" s="6">
        <v>1908.35</v>
      </c>
      <c r="L1049" s="6">
        <v>1471.65</v>
      </c>
    </row>
    <row r="1050" spans="1:12" x14ac:dyDescent="0.3">
      <c r="A1050" s="4" t="s">
        <v>1666</v>
      </c>
      <c r="B1050" s="5">
        <v>45306</v>
      </c>
      <c r="C1050" s="4" t="s">
        <v>225</v>
      </c>
      <c r="D1050" s="4" t="s">
        <v>187</v>
      </c>
      <c r="E1050" s="4" t="s">
        <v>54</v>
      </c>
      <c r="F1050" s="4" t="s">
        <v>142</v>
      </c>
      <c r="G1050" s="4" t="s">
        <v>40</v>
      </c>
      <c r="H1050" s="4" t="s">
        <v>56</v>
      </c>
      <c r="I1050" s="6">
        <v>2</v>
      </c>
      <c r="J1050" s="6">
        <v>862</v>
      </c>
      <c r="K1050" s="6">
        <v>583.15</v>
      </c>
      <c r="L1050" s="6">
        <v>278.85000000000002</v>
      </c>
    </row>
    <row r="1051" spans="1:12" x14ac:dyDescent="0.3">
      <c r="A1051" s="4" t="s">
        <v>1667</v>
      </c>
      <c r="B1051" s="5">
        <v>45816</v>
      </c>
      <c r="C1051" s="4" t="s">
        <v>113</v>
      </c>
      <c r="D1051" s="4" t="s">
        <v>232</v>
      </c>
      <c r="E1051" s="4" t="s">
        <v>15</v>
      </c>
      <c r="F1051" s="4" t="s">
        <v>16</v>
      </c>
      <c r="G1051" s="4" t="s">
        <v>24</v>
      </c>
      <c r="H1051" s="4" t="s">
        <v>50</v>
      </c>
      <c r="I1051" s="6">
        <v>3</v>
      </c>
      <c r="J1051" s="6">
        <v>5004</v>
      </c>
      <c r="K1051" s="6">
        <v>2818.27</v>
      </c>
      <c r="L1051" s="6">
        <v>2185.73</v>
      </c>
    </row>
    <row r="1052" spans="1:12" x14ac:dyDescent="0.3">
      <c r="A1052" s="4" t="s">
        <v>1668</v>
      </c>
      <c r="B1052" s="5">
        <v>45696</v>
      </c>
      <c r="C1052" s="4" t="s">
        <v>1669</v>
      </c>
      <c r="D1052" s="4" t="s">
        <v>98</v>
      </c>
      <c r="E1052" s="4" t="s">
        <v>54</v>
      </c>
      <c r="F1052" s="4" t="s">
        <v>71</v>
      </c>
      <c r="G1052" s="4" t="s">
        <v>17</v>
      </c>
      <c r="H1052" s="4" t="s">
        <v>31</v>
      </c>
      <c r="I1052" s="6">
        <v>4</v>
      </c>
      <c r="J1052" s="6">
        <v>7984</v>
      </c>
      <c r="K1052" s="6">
        <v>6629.1</v>
      </c>
      <c r="L1052" s="6">
        <v>1354.9</v>
      </c>
    </row>
    <row r="1053" spans="1:12" x14ac:dyDescent="0.3">
      <c r="A1053" s="4" t="s">
        <v>1670</v>
      </c>
      <c r="B1053" s="5">
        <v>45703</v>
      </c>
      <c r="C1053" s="4" t="s">
        <v>61</v>
      </c>
      <c r="D1053" s="4" t="s">
        <v>249</v>
      </c>
      <c r="E1053" s="4" t="s">
        <v>29</v>
      </c>
      <c r="F1053" s="4" t="s">
        <v>102</v>
      </c>
      <c r="G1053" s="4" t="s">
        <v>24</v>
      </c>
      <c r="H1053" s="4" t="s">
        <v>50</v>
      </c>
      <c r="I1053" s="6">
        <v>6</v>
      </c>
      <c r="J1053" s="6">
        <v>17694</v>
      </c>
      <c r="K1053" s="6">
        <v>10653.32</v>
      </c>
      <c r="L1053" s="6">
        <v>7040.68</v>
      </c>
    </row>
    <row r="1054" spans="1:12" x14ac:dyDescent="0.3">
      <c r="A1054" s="4" t="s">
        <v>1671</v>
      </c>
      <c r="B1054" s="5">
        <v>45577</v>
      </c>
      <c r="C1054" s="4" t="s">
        <v>269</v>
      </c>
      <c r="D1054" s="4" t="s">
        <v>1672</v>
      </c>
      <c r="E1054" s="4" t="s">
        <v>22</v>
      </c>
      <c r="F1054" s="4" t="s">
        <v>23</v>
      </c>
      <c r="G1054" s="4" t="s">
        <v>35</v>
      </c>
      <c r="H1054" s="4" t="s">
        <v>80</v>
      </c>
      <c r="I1054" s="6">
        <v>4</v>
      </c>
      <c r="J1054" s="6">
        <v>3360</v>
      </c>
      <c r="K1054" s="6">
        <v>2511.23</v>
      </c>
      <c r="L1054" s="6">
        <v>848.77</v>
      </c>
    </row>
    <row r="1055" spans="1:12" x14ac:dyDescent="0.3">
      <c r="A1055" s="4" t="s">
        <v>1673</v>
      </c>
      <c r="B1055" s="5">
        <v>45396</v>
      </c>
      <c r="C1055" s="4" t="s">
        <v>38</v>
      </c>
      <c r="D1055" s="4" t="s">
        <v>989</v>
      </c>
      <c r="E1055" s="4" t="s">
        <v>15</v>
      </c>
      <c r="F1055" s="4" t="s">
        <v>16</v>
      </c>
      <c r="G1055" s="4" t="s">
        <v>35</v>
      </c>
      <c r="H1055" s="4" t="s">
        <v>36</v>
      </c>
      <c r="I1055" s="6">
        <v>5</v>
      </c>
      <c r="J1055" s="6">
        <v>21960</v>
      </c>
      <c r="K1055" s="6">
        <v>18554.68</v>
      </c>
      <c r="L1055" s="6">
        <v>3405.32</v>
      </c>
    </row>
    <row r="1056" spans="1:12" x14ac:dyDescent="0.3">
      <c r="A1056" s="4" t="s">
        <v>1674</v>
      </c>
      <c r="B1056" s="5">
        <v>46005</v>
      </c>
      <c r="C1056" s="4" t="s">
        <v>483</v>
      </c>
      <c r="D1056" s="4" t="s">
        <v>661</v>
      </c>
      <c r="E1056" s="4" t="s">
        <v>29</v>
      </c>
      <c r="F1056" s="4" t="s">
        <v>49</v>
      </c>
      <c r="G1056" s="4" t="s">
        <v>24</v>
      </c>
      <c r="H1056" s="4" t="s">
        <v>50</v>
      </c>
      <c r="I1056" s="6">
        <v>10</v>
      </c>
      <c r="J1056" s="6">
        <v>29570</v>
      </c>
      <c r="K1056" s="6">
        <v>24969.64</v>
      </c>
      <c r="L1056" s="6">
        <v>4600.3599999999997</v>
      </c>
    </row>
    <row r="1057" spans="1:12" x14ac:dyDescent="0.3">
      <c r="A1057" s="4" t="s">
        <v>1675</v>
      </c>
      <c r="B1057" s="5">
        <v>45310</v>
      </c>
      <c r="C1057" s="4" t="s">
        <v>313</v>
      </c>
      <c r="D1057" s="4" t="s">
        <v>468</v>
      </c>
      <c r="E1057" s="4" t="s">
        <v>54</v>
      </c>
      <c r="F1057" s="4" t="s">
        <v>142</v>
      </c>
      <c r="G1057" s="4" t="s">
        <v>17</v>
      </c>
      <c r="H1057" s="4" t="s">
        <v>31</v>
      </c>
      <c r="I1057" s="6">
        <v>6</v>
      </c>
      <c r="J1057" s="6">
        <v>25494</v>
      </c>
      <c r="K1057" s="6">
        <v>14538.06</v>
      </c>
      <c r="L1057" s="6">
        <v>10955.94</v>
      </c>
    </row>
    <row r="1058" spans="1:12" x14ac:dyDescent="0.3">
      <c r="A1058" s="4" t="s">
        <v>1676</v>
      </c>
      <c r="B1058" s="5">
        <v>45305</v>
      </c>
      <c r="C1058" s="4" t="s">
        <v>799</v>
      </c>
      <c r="D1058" s="4" t="s">
        <v>524</v>
      </c>
      <c r="E1058" s="4" t="s">
        <v>22</v>
      </c>
      <c r="F1058" s="4" t="s">
        <v>79</v>
      </c>
      <c r="G1058" s="4" t="s">
        <v>17</v>
      </c>
      <c r="H1058" s="4" t="s">
        <v>31</v>
      </c>
      <c r="I1058" s="6">
        <v>4</v>
      </c>
      <c r="J1058" s="6">
        <v>17696</v>
      </c>
      <c r="K1058" s="6">
        <v>12851.55</v>
      </c>
      <c r="L1058" s="6">
        <v>4844.45</v>
      </c>
    </row>
    <row r="1059" spans="1:12" x14ac:dyDescent="0.3">
      <c r="A1059" s="4" t="s">
        <v>1677</v>
      </c>
      <c r="B1059" s="5">
        <v>45353</v>
      </c>
      <c r="C1059" s="4" t="s">
        <v>449</v>
      </c>
      <c r="D1059" s="4" t="s">
        <v>423</v>
      </c>
      <c r="E1059" s="4" t="s">
        <v>15</v>
      </c>
      <c r="F1059" s="4" t="s">
        <v>63</v>
      </c>
      <c r="G1059" s="4" t="s">
        <v>40</v>
      </c>
      <c r="H1059" s="4" t="s">
        <v>56</v>
      </c>
      <c r="I1059" s="6">
        <v>7</v>
      </c>
      <c r="J1059" s="6">
        <v>16065</v>
      </c>
      <c r="K1059" s="6">
        <v>11822.71</v>
      </c>
      <c r="L1059" s="6">
        <v>4242.29</v>
      </c>
    </row>
    <row r="1060" spans="1:12" x14ac:dyDescent="0.3">
      <c r="A1060" s="4" t="s">
        <v>1678</v>
      </c>
      <c r="B1060" s="5">
        <v>45330</v>
      </c>
      <c r="C1060" s="4" t="s">
        <v>780</v>
      </c>
      <c r="D1060" s="4" t="s">
        <v>356</v>
      </c>
      <c r="E1060" s="4" t="s">
        <v>22</v>
      </c>
      <c r="F1060" s="4" t="s">
        <v>67</v>
      </c>
      <c r="G1060" s="4" t="s">
        <v>40</v>
      </c>
      <c r="H1060" s="4" t="s">
        <v>56</v>
      </c>
      <c r="I1060" s="6">
        <v>3</v>
      </c>
      <c r="J1060" s="6">
        <v>10134</v>
      </c>
      <c r="K1060" s="6">
        <v>6195.07</v>
      </c>
      <c r="L1060" s="6">
        <v>3938.93</v>
      </c>
    </row>
    <row r="1061" spans="1:12" x14ac:dyDescent="0.3">
      <c r="A1061" s="4" t="s">
        <v>1679</v>
      </c>
      <c r="B1061" s="5">
        <v>45716</v>
      </c>
      <c r="C1061" s="4" t="s">
        <v>298</v>
      </c>
      <c r="D1061" s="4" t="s">
        <v>1372</v>
      </c>
      <c r="E1061" s="4" t="s">
        <v>54</v>
      </c>
      <c r="F1061" s="4" t="s">
        <v>142</v>
      </c>
      <c r="G1061" s="4" t="s">
        <v>40</v>
      </c>
      <c r="H1061" s="4" t="s">
        <v>99</v>
      </c>
      <c r="I1061" s="6">
        <v>6</v>
      </c>
      <c r="J1061" s="6">
        <v>3744</v>
      </c>
      <c r="K1061" s="6">
        <v>2644.24</v>
      </c>
      <c r="L1061" s="6">
        <v>1099.76</v>
      </c>
    </row>
    <row r="1062" spans="1:12" x14ac:dyDescent="0.3">
      <c r="A1062" s="4" t="s">
        <v>1680</v>
      </c>
      <c r="B1062" s="5">
        <v>45347</v>
      </c>
      <c r="C1062" s="4" t="s">
        <v>959</v>
      </c>
      <c r="D1062" s="4" t="s">
        <v>749</v>
      </c>
      <c r="E1062" s="4" t="s">
        <v>29</v>
      </c>
      <c r="F1062" s="4" t="s">
        <v>30</v>
      </c>
      <c r="G1062" s="4" t="s">
        <v>40</v>
      </c>
      <c r="H1062" s="4" t="s">
        <v>41</v>
      </c>
      <c r="I1062" s="6">
        <v>6</v>
      </c>
      <c r="J1062" s="6">
        <v>13704</v>
      </c>
      <c r="K1062" s="6">
        <v>8383.36</v>
      </c>
      <c r="L1062" s="6">
        <v>5320.64</v>
      </c>
    </row>
    <row r="1063" spans="1:12" x14ac:dyDescent="0.3">
      <c r="A1063" s="4" t="s">
        <v>1681</v>
      </c>
      <c r="B1063" s="5">
        <v>45358</v>
      </c>
      <c r="C1063" s="4" t="s">
        <v>737</v>
      </c>
      <c r="D1063" s="4" t="s">
        <v>237</v>
      </c>
      <c r="E1063" s="4" t="s">
        <v>22</v>
      </c>
      <c r="F1063" s="4" t="s">
        <v>79</v>
      </c>
      <c r="G1063" s="4" t="s">
        <v>40</v>
      </c>
      <c r="H1063" s="4" t="s">
        <v>41</v>
      </c>
      <c r="I1063" s="6">
        <v>3</v>
      </c>
      <c r="J1063" s="6">
        <v>11769</v>
      </c>
      <c r="K1063" s="6">
        <v>8696.52</v>
      </c>
      <c r="L1063" s="6">
        <v>3072.48</v>
      </c>
    </row>
    <row r="1064" spans="1:12" x14ac:dyDescent="0.3">
      <c r="A1064" s="4" t="s">
        <v>1682</v>
      </c>
      <c r="B1064" s="5">
        <v>45469</v>
      </c>
      <c r="C1064" s="4" t="s">
        <v>318</v>
      </c>
      <c r="D1064" s="4" t="s">
        <v>580</v>
      </c>
      <c r="E1064" s="4" t="s">
        <v>29</v>
      </c>
      <c r="F1064" s="4" t="s">
        <v>102</v>
      </c>
      <c r="G1064" s="4" t="s">
        <v>17</v>
      </c>
      <c r="H1064" s="4" t="s">
        <v>31</v>
      </c>
      <c r="I1064" s="6">
        <v>3</v>
      </c>
      <c r="J1064" s="6">
        <v>5916</v>
      </c>
      <c r="K1064" s="6">
        <v>3476.65</v>
      </c>
      <c r="L1064" s="6">
        <v>2439.35</v>
      </c>
    </row>
    <row r="1065" spans="1:12" x14ac:dyDescent="0.3">
      <c r="A1065" s="4" t="s">
        <v>1683</v>
      </c>
      <c r="B1065" s="5">
        <v>45494</v>
      </c>
      <c r="C1065" s="4" t="s">
        <v>197</v>
      </c>
      <c r="D1065" s="4" t="s">
        <v>302</v>
      </c>
      <c r="E1065" s="4" t="s">
        <v>29</v>
      </c>
      <c r="F1065" s="4" t="s">
        <v>30</v>
      </c>
      <c r="G1065" s="4" t="s">
        <v>24</v>
      </c>
      <c r="H1065" s="4" t="s">
        <v>50</v>
      </c>
      <c r="I1065" s="6">
        <v>7</v>
      </c>
      <c r="J1065" s="6">
        <v>28882</v>
      </c>
      <c r="K1065" s="6">
        <v>18583.8</v>
      </c>
      <c r="L1065" s="6">
        <v>10298.200000000001</v>
      </c>
    </row>
    <row r="1066" spans="1:12" x14ac:dyDescent="0.3">
      <c r="A1066" s="4" t="s">
        <v>1684</v>
      </c>
      <c r="B1066" s="5">
        <v>45942</v>
      </c>
      <c r="C1066" s="4" t="s">
        <v>1232</v>
      </c>
      <c r="D1066" s="4" t="s">
        <v>533</v>
      </c>
      <c r="E1066" s="4" t="s">
        <v>29</v>
      </c>
      <c r="F1066" s="4" t="s">
        <v>30</v>
      </c>
      <c r="G1066" s="4" t="s">
        <v>40</v>
      </c>
      <c r="H1066" s="4" t="s">
        <v>56</v>
      </c>
      <c r="I1066" s="6">
        <v>5</v>
      </c>
      <c r="J1066" s="6">
        <v>13185</v>
      </c>
      <c r="K1066" s="6">
        <v>9531.7900000000009</v>
      </c>
      <c r="L1066" s="6">
        <v>3653.21</v>
      </c>
    </row>
    <row r="1067" spans="1:12" x14ac:dyDescent="0.3">
      <c r="A1067" s="4" t="s">
        <v>1685</v>
      </c>
      <c r="B1067" s="5">
        <v>45743</v>
      </c>
      <c r="C1067" s="4" t="s">
        <v>95</v>
      </c>
      <c r="D1067" s="4" t="s">
        <v>696</v>
      </c>
      <c r="E1067" s="4" t="s">
        <v>22</v>
      </c>
      <c r="F1067" s="4" t="s">
        <v>23</v>
      </c>
      <c r="G1067" s="4" t="s">
        <v>40</v>
      </c>
      <c r="H1067" s="4" t="s">
        <v>41</v>
      </c>
      <c r="I1067" s="6">
        <v>7</v>
      </c>
      <c r="J1067" s="6">
        <v>23758</v>
      </c>
      <c r="K1067" s="6">
        <v>14262.64</v>
      </c>
      <c r="L1067" s="6">
        <v>9495.36</v>
      </c>
    </row>
    <row r="1068" spans="1:12" x14ac:dyDescent="0.3">
      <c r="A1068" s="4" t="s">
        <v>1686</v>
      </c>
      <c r="B1068" s="5">
        <v>45377</v>
      </c>
      <c r="C1068" s="4" t="s">
        <v>137</v>
      </c>
      <c r="D1068" s="4" t="s">
        <v>66</v>
      </c>
      <c r="E1068" s="4" t="s">
        <v>22</v>
      </c>
      <c r="F1068" s="4" t="s">
        <v>23</v>
      </c>
      <c r="G1068" s="4" t="s">
        <v>35</v>
      </c>
      <c r="H1068" s="4" t="s">
        <v>80</v>
      </c>
      <c r="I1068" s="6">
        <v>1</v>
      </c>
      <c r="J1068" s="6">
        <v>3424</v>
      </c>
      <c r="K1068" s="6">
        <v>2322.2199999999998</v>
      </c>
      <c r="L1068" s="6">
        <v>1101.78</v>
      </c>
    </row>
    <row r="1069" spans="1:12" x14ac:dyDescent="0.3">
      <c r="A1069" s="4" t="s">
        <v>1687</v>
      </c>
      <c r="B1069" s="5">
        <v>45605</v>
      </c>
      <c r="C1069" s="4" t="s">
        <v>1240</v>
      </c>
      <c r="D1069" s="4" t="s">
        <v>282</v>
      </c>
      <c r="E1069" s="4" t="s">
        <v>29</v>
      </c>
      <c r="F1069" s="4" t="s">
        <v>30</v>
      </c>
      <c r="G1069" s="4" t="s">
        <v>17</v>
      </c>
      <c r="H1069" s="4" t="s">
        <v>18</v>
      </c>
      <c r="I1069" s="6">
        <v>3</v>
      </c>
      <c r="J1069" s="6">
        <v>7221</v>
      </c>
      <c r="K1069" s="6">
        <v>4795.72</v>
      </c>
      <c r="L1069" s="6">
        <v>2425.2800000000002</v>
      </c>
    </row>
    <row r="1070" spans="1:12" x14ac:dyDescent="0.3">
      <c r="A1070" s="4" t="s">
        <v>1688</v>
      </c>
      <c r="B1070" s="5">
        <v>45772</v>
      </c>
      <c r="C1070" s="4" t="s">
        <v>182</v>
      </c>
      <c r="D1070" s="4" t="s">
        <v>163</v>
      </c>
      <c r="E1070" s="4" t="s">
        <v>22</v>
      </c>
      <c r="F1070" s="4" t="s">
        <v>79</v>
      </c>
      <c r="G1070" s="4" t="s">
        <v>17</v>
      </c>
      <c r="H1070" s="4" t="s">
        <v>72</v>
      </c>
      <c r="I1070" s="6">
        <v>8</v>
      </c>
      <c r="J1070" s="6">
        <v>7112</v>
      </c>
      <c r="K1070" s="6">
        <v>4622.59</v>
      </c>
      <c r="L1070" s="6">
        <v>2489.41</v>
      </c>
    </row>
    <row r="1071" spans="1:12" x14ac:dyDescent="0.3">
      <c r="A1071" s="4" t="s">
        <v>1689</v>
      </c>
      <c r="B1071" s="5">
        <v>45717</v>
      </c>
      <c r="C1071" s="4" t="s">
        <v>856</v>
      </c>
      <c r="D1071" s="4" t="s">
        <v>423</v>
      </c>
      <c r="E1071" s="4" t="s">
        <v>29</v>
      </c>
      <c r="F1071" s="4" t="s">
        <v>102</v>
      </c>
      <c r="G1071" s="4" t="s">
        <v>24</v>
      </c>
      <c r="H1071" s="4" t="s">
        <v>25</v>
      </c>
      <c r="I1071" s="6">
        <v>9</v>
      </c>
      <c r="J1071" s="6">
        <v>30285</v>
      </c>
      <c r="K1071" s="6">
        <v>21121.85</v>
      </c>
      <c r="L1071" s="6">
        <v>9163.15</v>
      </c>
    </row>
    <row r="1072" spans="1:12" x14ac:dyDescent="0.3">
      <c r="A1072" s="4" t="s">
        <v>1690</v>
      </c>
      <c r="B1072" s="5">
        <v>45331</v>
      </c>
      <c r="C1072" s="4" t="s">
        <v>966</v>
      </c>
      <c r="D1072" s="4" t="s">
        <v>75</v>
      </c>
      <c r="E1072" s="4" t="s">
        <v>22</v>
      </c>
      <c r="F1072" s="4" t="s">
        <v>67</v>
      </c>
      <c r="G1072" s="4" t="s">
        <v>40</v>
      </c>
      <c r="H1072" s="4" t="s">
        <v>99</v>
      </c>
      <c r="I1072" s="6">
        <v>10</v>
      </c>
      <c r="J1072" s="6">
        <v>8830</v>
      </c>
      <c r="K1072" s="6">
        <v>5939.38</v>
      </c>
      <c r="L1072" s="6">
        <v>2890.62</v>
      </c>
    </row>
    <row r="1073" spans="1:12" x14ac:dyDescent="0.3">
      <c r="A1073" s="4" t="s">
        <v>1691</v>
      </c>
      <c r="B1073" s="5">
        <v>45792</v>
      </c>
      <c r="C1073" s="4" t="s">
        <v>269</v>
      </c>
      <c r="D1073" s="4" t="s">
        <v>130</v>
      </c>
      <c r="E1073" s="4" t="s">
        <v>29</v>
      </c>
      <c r="F1073" s="4" t="s">
        <v>102</v>
      </c>
      <c r="G1073" s="4" t="s">
        <v>35</v>
      </c>
      <c r="H1073" s="4" t="s">
        <v>36</v>
      </c>
      <c r="I1073" s="6">
        <v>5</v>
      </c>
      <c r="J1073" s="6">
        <v>15775</v>
      </c>
      <c r="K1073" s="6">
        <v>11087.97</v>
      </c>
      <c r="L1073" s="6">
        <v>4687.03</v>
      </c>
    </row>
    <row r="1074" spans="1:12" x14ac:dyDescent="0.3">
      <c r="A1074" s="4" t="s">
        <v>1692</v>
      </c>
      <c r="B1074" s="5">
        <v>45662</v>
      </c>
      <c r="C1074" s="4" t="s">
        <v>1255</v>
      </c>
      <c r="D1074" s="4" t="s">
        <v>605</v>
      </c>
      <c r="E1074" s="4" t="s">
        <v>22</v>
      </c>
      <c r="F1074" s="4" t="s">
        <v>67</v>
      </c>
      <c r="G1074" s="4" t="s">
        <v>17</v>
      </c>
      <c r="H1074" s="4" t="s">
        <v>18</v>
      </c>
      <c r="I1074" s="6">
        <v>4</v>
      </c>
      <c r="J1074" s="6">
        <v>9140</v>
      </c>
      <c r="K1074" s="6">
        <v>6336.92</v>
      </c>
      <c r="L1074" s="6">
        <v>2803.08</v>
      </c>
    </row>
    <row r="1075" spans="1:12" x14ac:dyDescent="0.3">
      <c r="A1075" s="4" t="s">
        <v>1693</v>
      </c>
      <c r="B1075" s="5">
        <v>45884</v>
      </c>
      <c r="C1075" s="4" t="s">
        <v>154</v>
      </c>
      <c r="D1075" s="4" t="s">
        <v>249</v>
      </c>
      <c r="E1075" s="4" t="s">
        <v>54</v>
      </c>
      <c r="F1075" s="4" t="s">
        <v>71</v>
      </c>
      <c r="G1075" s="4" t="s">
        <v>35</v>
      </c>
      <c r="H1075" s="4" t="s">
        <v>80</v>
      </c>
      <c r="I1075" s="6">
        <v>3</v>
      </c>
      <c r="J1075" s="6">
        <v>7149</v>
      </c>
      <c r="K1075" s="6">
        <v>4462.58</v>
      </c>
      <c r="L1075" s="6">
        <v>2686.42</v>
      </c>
    </row>
    <row r="1076" spans="1:12" x14ac:dyDescent="0.3">
      <c r="A1076" s="4" t="s">
        <v>1694</v>
      </c>
      <c r="B1076" s="5">
        <v>45374</v>
      </c>
      <c r="C1076" s="4" t="s">
        <v>1112</v>
      </c>
      <c r="D1076" s="4" t="s">
        <v>1145</v>
      </c>
      <c r="E1076" s="4" t="s">
        <v>15</v>
      </c>
      <c r="F1076" s="4" t="s">
        <v>16</v>
      </c>
      <c r="G1076" s="4" t="s">
        <v>17</v>
      </c>
      <c r="H1076" s="4" t="s">
        <v>31</v>
      </c>
      <c r="I1076" s="6">
        <v>7</v>
      </c>
      <c r="J1076" s="6">
        <v>24899</v>
      </c>
      <c r="K1076" s="6">
        <v>18968.580000000002</v>
      </c>
      <c r="L1076" s="6">
        <v>5930.42</v>
      </c>
    </row>
    <row r="1077" spans="1:12" x14ac:dyDescent="0.3">
      <c r="A1077" s="4" t="s">
        <v>1695</v>
      </c>
      <c r="B1077" s="5">
        <v>45837</v>
      </c>
      <c r="C1077" s="4" t="s">
        <v>344</v>
      </c>
      <c r="D1077" s="4" t="s">
        <v>656</v>
      </c>
      <c r="E1077" s="4" t="s">
        <v>22</v>
      </c>
      <c r="F1077" s="4" t="s">
        <v>23</v>
      </c>
      <c r="G1077" s="4" t="s">
        <v>35</v>
      </c>
      <c r="H1077" s="4" t="s">
        <v>36</v>
      </c>
      <c r="I1077" s="6">
        <v>5</v>
      </c>
      <c r="J1077" s="6">
        <v>13875</v>
      </c>
      <c r="K1077" s="6">
        <v>9715.19</v>
      </c>
      <c r="L1077" s="6">
        <v>4159.8100000000004</v>
      </c>
    </row>
    <row r="1078" spans="1:12" x14ac:dyDescent="0.3">
      <c r="A1078" s="4" t="s">
        <v>1696</v>
      </c>
      <c r="B1078" s="5">
        <v>45644</v>
      </c>
      <c r="C1078" s="4" t="s">
        <v>364</v>
      </c>
      <c r="D1078" s="4" t="s">
        <v>255</v>
      </c>
      <c r="E1078" s="4" t="s">
        <v>22</v>
      </c>
      <c r="F1078" s="4" t="s">
        <v>79</v>
      </c>
      <c r="G1078" s="4" t="s">
        <v>24</v>
      </c>
      <c r="H1078" s="4" t="s">
        <v>50</v>
      </c>
      <c r="I1078" s="6">
        <v>2</v>
      </c>
      <c r="J1078" s="6">
        <v>9980</v>
      </c>
      <c r="K1078" s="6">
        <v>7814.41</v>
      </c>
      <c r="L1078" s="6">
        <v>2165.59</v>
      </c>
    </row>
    <row r="1079" spans="1:12" x14ac:dyDescent="0.3">
      <c r="A1079" s="4" t="s">
        <v>1697</v>
      </c>
      <c r="B1079" s="5">
        <v>45795</v>
      </c>
      <c r="C1079" s="4" t="s">
        <v>189</v>
      </c>
      <c r="D1079" s="4" t="s">
        <v>425</v>
      </c>
      <c r="E1079" s="4" t="s">
        <v>29</v>
      </c>
      <c r="F1079" s="4" t="s">
        <v>30</v>
      </c>
      <c r="G1079" s="4" t="s">
        <v>35</v>
      </c>
      <c r="H1079" s="4" t="s">
        <v>36</v>
      </c>
      <c r="I1079" s="6">
        <v>5</v>
      </c>
      <c r="J1079" s="6">
        <v>1760</v>
      </c>
      <c r="K1079" s="6">
        <v>1489.15</v>
      </c>
      <c r="L1079" s="6">
        <v>270.85000000000002</v>
      </c>
    </row>
    <row r="1080" spans="1:12" x14ac:dyDescent="0.3">
      <c r="A1080" s="4" t="s">
        <v>1698</v>
      </c>
      <c r="B1080" s="5">
        <v>45733</v>
      </c>
      <c r="C1080" s="4" t="s">
        <v>1364</v>
      </c>
      <c r="D1080" s="4" t="s">
        <v>1334</v>
      </c>
      <c r="E1080" s="4" t="s">
        <v>15</v>
      </c>
      <c r="F1080" s="4" t="s">
        <v>90</v>
      </c>
      <c r="G1080" s="4" t="s">
        <v>35</v>
      </c>
      <c r="H1080" s="4" t="s">
        <v>36</v>
      </c>
      <c r="I1080" s="6">
        <v>9</v>
      </c>
      <c r="J1080" s="6">
        <v>33426</v>
      </c>
      <c r="K1080" s="6">
        <v>24947.71</v>
      </c>
      <c r="L1080" s="6">
        <v>8478.2900000000009</v>
      </c>
    </row>
    <row r="1081" spans="1:12" x14ac:dyDescent="0.3">
      <c r="A1081" s="4" t="s">
        <v>1699</v>
      </c>
      <c r="B1081" s="5">
        <v>45806</v>
      </c>
      <c r="C1081" s="4" t="s">
        <v>1700</v>
      </c>
      <c r="D1081" s="4" t="s">
        <v>563</v>
      </c>
      <c r="E1081" s="4" t="s">
        <v>54</v>
      </c>
      <c r="F1081" s="4" t="s">
        <v>142</v>
      </c>
      <c r="G1081" s="4" t="s">
        <v>17</v>
      </c>
      <c r="H1081" s="4" t="s">
        <v>18</v>
      </c>
      <c r="I1081" s="6">
        <v>3</v>
      </c>
      <c r="J1081" s="6">
        <v>5766</v>
      </c>
      <c r="K1081" s="6">
        <v>4012.8</v>
      </c>
      <c r="L1081" s="6">
        <v>1753.2</v>
      </c>
    </row>
    <row r="1082" spans="1:12" x14ac:dyDescent="0.3">
      <c r="A1082" s="4" t="s">
        <v>1701</v>
      </c>
      <c r="B1082" s="5">
        <v>45488</v>
      </c>
      <c r="C1082" s="4" t="s">
        <v>260</v>
      </c>
      <c r="D1082" s="4" t="s">
        <v>484</v>
      </c>
      <c r="E1082" s="4" t="s">
        <v>29</v>
      </c>
      <c r="F1082" s="4" t="s">
        <v>102</v>
      </c>
      <c r="G1082" s="4" t="s">
        <v>40</v>
      </c>
      <c r="H1082" s="4" t="s">
        <v>56</v>
      </c>
      <c r="I1082" s="6">
        <v>1</v>
      </c>
      <c r="J1082" s="6">
        <v>1796</v>
      </c>
      <c r="K1082" s="6">
        <v>1423.79</v>
      </c>
      <c r="L1082" s="6">
        <v>372.21</v>
      </c>
    </row>
    <row r="1083" spans="1:12" x14ac:dyDescent="0.3">
      <c r="A1083" s="4" t="s">
        <v>1702</v>
      </c>
      <c r="B1083" s="5">
        <v>45379</v>
      </c>
      <c r="C1083" s="4" t="s">
        <v>705</v>
      </c>
      <c r="D1083" s="4" t="s">
        <v>39</v>
      </c>
      <c r="E1083" s="4" t="s">
        <v>22</v>
      </c>
      <c r="F1083" s="4" t="s">
        <v>79</v>
      </c>
      <c r="G1083" s="4" t="s">
        <v>17</v>
      </c>
      <c r="H1083" s="4" t="s">
        <v>72</v>
      </c>
      <c r="I1083" s="6">
        <v>2</v>
      </c>
      <c r="J1083" s="6">
        <v>3320</v>
      </c>
      <c r="K1083" s="6">
        <v>1905.49</v>
      </c>
      <c r="L1083" s="6">
        <v>1414.51</v>
      </c>
    </row>
    <row r="1084" spans="1:12" x14ac:dyDescent="0.3">
      <c r="A1084" s="4" t="s">
        <v>1703</v>
      </c>
      <c r="B1084" s="5">
        <v>45980</v>
      </c>
      <c r="C1084" s="4" t="s">
        <v>346</v>
      </c>
      <c r="D1084" s="4" t="s">
        <v>629</v>
      </c>
      <c r="E1084" s="4" t="s">
        <v>54</v>
      </c>
      <c r="F1084" s="4" t="s">
        <v>142</v>
      </c>
      <c r="G1084" s="4" t="s">
        <v>40</v>
      </c>
      <c r="H1084" s="4" t="s">
        <v>41</v>
      </c>
      <c r="I1084" s="6">
        <v>1</v>
      </c>
      <c r="J1084" s="6">
        <v>2223</v>
      </c>
      <c r="K1084" s="6">
        <v>1541.36</v>
      </c>
      <c r="L1084" s="6">
        <v>681.64</v>
      </c>
    </row>
    <row r="1085" spans="1:12" x14ac:dyDescent="0.3">
      <c r="A1085" s="4" t="s">
        <v>1704</v>
      </c>
      <c r="B1085" s="5">
        <v>45826</v>
      </c>
      <c r="C1085" s="4" t="s">
        <v>435</v>
      </c>
      <c r="D1085" s="4" t="s">
        <v>1063</v>
      </c>
      <c r="E1085" s="4" t="s">
        <v>15</v>
      </c>
      <c r="F1085" s="4" t="s">
        <v>63</v>
      </c>
      <c r="G1085" s="4" t="s">
        <v>24</v>
      </c>
      <c r="H1085" s="4" t="s">
        <v>25</v>
      </c>
      <c r="I1085" s="6">
        <v>10</v>
      </c>
      <c r="J1085" s="6">
        <v>6420</v>
      </c>
      <c r="K1085" s="6">
        <v>3717.52</v>
      </c>
      <c r="L1085" s="6">
        <v>2702.48</v>
      </c>
    </row>
    <row r="1086" spans="1:12" x14ac:dyDescent="0.3">
      <c r="A1086" s="4" t="s">
        <v>1705</v>
      </c>
      <c r="B1086" s="5">
        <v>45990</v>
      </c>
      <c r="C1086" s="4" t="s">
        <v>792</v>
      </c>
      <c r="D1086" s="4" t="s">
        <v>711</v>
      </c>
      <c r="E1086" s="4" t="s">
        <v>54</v>
      </c>
      <c r="F1086" s="4" t="s">
        <v>55</v>
      </c>
      <c r="G1086" s="4" t="s">
        <v>35</v>
      </c>
      <c r="H1086" s="4" t="s">
        <v>80</v>
      </c>
      <c r="I1086" s="6">
        <v>6</v>
      </c>
      <c r="J1086" s="6">
        <v>22908</v>
      </c>
      <c r="K1086" s="6">
        <v>14912.31</v>
      </c>
      <c r="L1086" s="6">
        <v>7995.69</v>
      </c>
    </row>
    <row r="1087" spans="1:12" x14ac:dyDescent="0.3">
      <c r="A1087" s="4" t="s">
        <v>1706</v>
      </c>
      <c r="B1087" s="5">
        <v>45656</v>
      </c>
      <c r="C1087" s="4" t="s">
        <v>104</v>
      </c>
      <c r="D1087" s="4" t="s">
        <v>1117</v>
      </c>
      <c r="E1087" s="4" t="s">
        <v>29</v>
      </c>
      <c r="F1087" s="4" t="s">
        <v>49</v>
      </c>
      <c r="G1087" s="4" t="s">
        <v>17</v>
      </c>
      <c r="H1087" s="4" t="s">
        <v>31</v>
      </c>
      <c r="I1087" s="6">
        <v>7</v>
      </c>
      <c r="J1087" s="6">
        <v>23800</v>
      </c>
      <c r="K1087" s="6">
        <v>17451.18</v>
      </c>
      <c r="L1087" s="6">
        <v>6348.82</v>
      </c>
    </row>
    <row r="1088" spans="1:12" x14ac:dyDescent="0.3">
      <c r="A1088" s="4" t="s">
        <v>1707</v>
      </c>
      <c r="B1088" s="5">
        <v>45417</v>
      </c>
      <c r="C1088" s="4" t="s">
        <v>206</v>
      </c>
      <c r="D1088" s="4" t="s">
        <v>867</v>
      </c>
      <c r="E1088" s="4" t="s">
        <v>15</v>
      </c>
      <c r="F1088" s="4" t="s">
        <v>63</v>
      </c>
      <c r="G1088" s="4" t="s">
        <v>17</v>
      </c>
      <c r="H1088" s="4" t="s">
        <v>18</v>
      </c>
      <c r="I1088" s="6">
        <v>7</v>
      </c>
      <c r="J1088" s="6">
        <v>10059</v>
      </c>
      <c r="K1088" s="6">
        <v>5609.95</v>
      </c>
      <c r="L1088" s="6">
        <v>4449.05</v>
      </c>
    </row>
    <row r="1089" spans="1:12" x14ac:dyDescent="0.3">
      <c r="A1089" s="4" t="s">
        <v>1708</v>
      </c>
      <c r="B1089" s="5">
        <v>45968</v>
      </c>
      <c r="C1089" s="4" t="s">
        <v>342</v>
      </c>
      <c r="D1089" s="4" t="s">
        <v>338</v>
      </c>
      <c r="E1089" s="4" t="s">
        <v>29</v>
      </c>
      <c r="F1089" s="4" t="s">
        <v>49</v>
      </c>
      <c r="G1089" s="4" t="s">
        <v>35</v>
      </c>
      <c r="H1089" s="4" t="s">
        <v>80</v>
      </c>
      <c r="I1089" s="6">
        <v>10</v>
      </c>
      <c r="J1089" s="6">
        <v>41920</v>
      </c>
      <c r="K1089" s="6">
        <v>29531.56</v>
      </c>
      <c r="L1089" s="6">
        <v>12388.44</v>
      </c>
    </row>
    <row r="1090" spans="1:12" x14ac:dyDescent="0.3">
      <c r="A1090" s="4" t="s">
        <v>1709</v>
      </c>
      <c r="B1090" s="5">
        <v>45625</v>
      </c>
      <c r="C1090" s="4" t="s">
        <v>500</v>
      </c>
      <c r="D1090" s="4" t="s">
        <v>387</v>
      </c>
      <c r="E1090" s="4" t="s">
        <v>54</v>
      </c>
      <c r="F1090" s="4" t="s">
        <v>142</v>
      </c>
      <c r="G1090" s="4" t="s">
        <v>17</v>
      </c>
      <c r="H1090" s="4" t="s">
        <v>31</v>
      </c>
      <c r="I1090" s="6">
        <v>6</v>
      </c>
      <c r="J1090" s="6">
        <v>4044</v>
      </c>
      <c r="K1090" s="6">
        <v>3400.52</v>
      </c>
      <c r="L1090" s="6">
        <v>643.48</v>
      </c>
    </row>
    <row r="1091" spans="1:12" x14ac:dyDescent="0.3">
      <c r="A1091" s="4" t="s">
        <v>1710</v>
      </c>
      <c r="B1091" s="5">
        <v>45779</v>
      </c>
      <c r="C1091" s="4" t="s">
        <v>346</v>
      </c>
      <c r="D1091" s="4" t="s">
        <v>75</v>
      </c>
      <c r="E1091" s="4" t="s">
        <v>22</v>
      </c>
      <c r="F1091" s="4" t="s">
        <v>67</v>
      </c>
      <c r="G1091" s="4" t="s">
        <v>17</v>
      </c>
      <c r="H1091" s="4" t="s">
        <v>18</v>
      </c>
      <c r="I1091" s="6">
        <v>10</v>
      </c>
      <c r="J1091" s="6">
        <v>9660</v>
      </c>
      <c r="K1091" s="6">
        <v>6322.47</v>
      </c>
      <c r="L1091" s="6">
        <v>3337.53</v>
      </c>
    </row>
    <row r="1092" spans="1:12" x14ac:dyDescent="0.3">
      <c r="A1092" s="4" t="s">
        <v>1711</v>
      </c>
      <c r="B1092" s="5">
        <v>45808</v>
      </c>
      <c r="C1092" s="4" t="s">
        <v>393</v>
      </c>
      <c r="D1092" s="4" t="s">
        <v>1361</v>
      </c>
      <c r="E1092" s="4" t="s">
        <v>54</v>
      </c>
      <c r="F1092" s="4" t="s">
        <v>71</v>
      </c>
      <c r="G1092" s="4" t="s">
        <v>40</v>
      </c>
      <c r="H1092" s="4" t="s">
        <v>56</v>
      </c>
      <c r="I1092" s="6">
        <v>3</v>
      </c>
      <c r="J1092" s="6">
        <v>13680</v>
      </c>
      <c r="K1092" s="6">
        <v>11120.06</v>
      </c>
      <c r="L1092" s="6">
        <v>2559.94</v>
      </c>
    </row>
    <row r="1093" spans="1:12" x14ac:dyDescent="0.3">
      <c r="A1093" s="4" t="s">
        <v>1712</v>
      </c>
      <c r="B1093" s="5">
        <v>45748</v>
      </c>
      <c r="C1093" s="4" t="s">
        <v>1713</v>
      </c>
      <c r="D1093" s="4" t="s">
        <v>977</v>
      </c>
      <c r="E1093" s="4" t="s">
        <v>22</v>
      </c>
      <c r="F1093" s="4" t="s">
        <v>23</v>
      </c>
      <c r="G1093" s="4" t="s">
        <v>40</v>
      </c>
      <c r="H1093" s="4" t="s">
        <v>99</v>
      </c>
      <c r="I1093" s="6">
        <v>9</v>
      </c>
      <c r="J1093" s="6">
        <v>37116</v>
      </c>
      <c r="K1093" s="6">
        <v>22285.03</v>
      </c>
      <c r="L1093" s="6">
        <v>14830.97</v>
      </c>
    </row>
    <row r="1094" spans="1:12" x14ac:dyDescent="0.3">
      <c r="A1094" s="4" t="s">
        <v>1714</v>
      </c>
      <c r="B1094" s="5">
        <v>45321</v>
      </c>
      <c r="C1094" s="4" t="s">
        <v>154</v>
      </c>
      <c r="D1094" s="4" t="s">
        <v>232</v>
      </c>
      <c r="E1094" s="4" t="s">
        <v>29</v>
      </c>
      <c r="F1094" s="4" t="s">
        <v>102</v>
      </c>
      <c r="G1094" s="4" t="s">
        <v>40</v>
      </c>
      <c r="H1094" s="4" t="s">
        <v>56</v>
      </c>
      <c r="I1094" s="6">
        <v>3</v>
      </c>
      <c r="J1094" s="6">
        <v>3096</v>
      </c>
      <c r="K1094" s="6">
        <v>1800.76</v>
      </c>
      <c r="L1094" s="6">
        <v>1295.24</v>
      </c>
    </row>
    <row r="1095" spans="1:12" x14ac:dyDescent="0.3">
      <c r="A1095" s="4" t="s">
        <v>1715</v>
      </c>
      <c r="B1095" s="5">
        <v>45978</v>
      </c>
      <c r="C1095" s="4" t="s">
        <v>966</v>
      </c>
      <c r="D1095" s="4" t="s">
        <v>659</v>
      </c>
      <c r="E1095" s="4" t="s">
        <v>22</v>
      </c>
      <c r="F1095" s="4" t="s">
        <v>67</v>
      </c>
      <c r="G1095" s="4" t="s">
        <v>40</v>
      </c>
      <c r="H1095" s="4" t="s">
        <v>56</v>
      </c>
      <c r="I1095" s="6">
        <v>5</v>
      </c>
      <c r="J1095" s="6">
        <v>21005</v>
      </c>
      <c r="K1095" s="6">
        <v>17548.650000000001</v>
      </c>
      <c r="L1095" s="6">
        <v>3456.35</v>
      </c>
    </row>
    <row r="1096" spans="1:12" x14ac:dyDescent="0.3">
      <c r="A1096" s="4" t="s">
        <v>1716</v>
      </c>
      <c r="B1096" s="5">
        <v>45907</v>
      </c>
      <c r="C1096" s="4" t="s">
        <v>1382</v>
      </c>
      <c r="D1096" s="4" t="s">
        <v>150</v>
      </c>
      <c r="E1096" s="4" t="s">
        <v>22</v>
      </c>
      <c r="F1096" s="4" t="s">
        <v>23</v>
      </c>
      <c r="G1096" s="4" t="s">
        <v>17</v>
      </c>
      <c r="H1096" s="4" t="s">
        <v>18</v>
      </c>
      <c r="I1096" s="6">
        <v>6</v>
      </c>
      <c r="J1096" s="6">
        <v>12798</v>
      </c>
      <c r="K1096" s="6">
        <v>10616.38</v>
      </c>
      <c r="L1096" s="6">
        <v>2181.62</v>
      </c>
    </row>
    <row r="1097" spans="1:12" x14ac:dyDescent="0.3">
      <c r="A1097" s="4" t="s">
        <v>1717</v>
      </c>
      <c r="B1097" s="5">
        <v>45739</v>
      </c>
      <c r="C1097" s="4" t="s">
        <v>799</v>
      </c>
      <c r="D1097" s="4" t="s">
        <v>884</v>
      </c>
      <c r="E1097" s="4" t="s">
        <v>22</v>
      </c>
      <c r="F1097" s="4" t="s">
        <v>79</v>
      </c>
      <c r="G1097" s="4" t="s">
        <v>17</v>
      </c>
      <c r="H1097" s="4" t="s">
        <v>18</v>
      </c>
      <c r="I1097" s="6">
        <v>7</v>
      </c>
      <c r="J1097" s="6">
        <v>34321</v>
      </c>
      <c r="K1097" s="6">
        <v>28825.33</v>
      </c>
      <c r="L1097" s="6">
        <v>5495.67</v>
      </c>
    </row>
    <row r="1098" spans="1:12" x14ac:dyDescent="0.3">
      <c r="A1098" s="4" t="s">
        <v>1718</v>
      </c>
      <c r="B1098" s="5">
        <v>45898</v>
      </c>
      <c r="C1098" s="4" t="s">
        <v>342</v>
      </c>
      <c r="D1098" s="4" t="s">
        <v>1719</v>
      </c>
      <c r="E1098" s="4" t="s">
        <v>54</v>
      </c>
      <c r="F1098" s="4" t="s">
        <v>142</v>
      </c>
      <c r="G1098" s="4" t="s">
        <v>40</v>
      </c>
      <c r="H1098" s="4" t="s">
        <v>99</v>
      </c>
      <c r="I1098" s="6">
        <v>2</v>
      </c>
      <c r="J1098" s="6">
        <v>2424</v>
      </c>
      <c r="K1098" s="6">
        <v>1398.02</v>
      </c>
      <c r="L1098" s="6">
        <v>1025.98</v>
      </c>
    </row>
    <row r="1099" spans="1:12" x14ac:dyDescent="0.3">
      <c r="A1099" s="4" t="s">
        <v>1720</v>
      </c>
      <c r="B1099" s="5">
        <v>45896</v>
      </c>
      <c r="C1099" s="4" t="s">
        <v>38</v>
      </c>
      <c r="D1099" s="4" t="s">
        <v>335</v>
      </c>
      <c r="E1099" s="4" t="s">
        <v>54</v>
      </c>
      <c r="F1099" s="4" t="s">
        <v>142</v>
      </c>
      <c r="G1099" s="4" t="s">
        <v>40</v>
      </c>
      <c r="H1099" s="4" t="s">
        <v>41</v>
      </c>
      <c r="I1099" s="6">
        <v>7</v>
      </c>
      <c r="J1099" s="6">
        <v>2191</v>
      </c>
      <c r="K1099" s="6">
        <v>1409.34</v>
      </c>
      <c r="L1099" s="6">
        <v>781.66</v>
      </c>
    </row>
    <row r="1100" spans="1:12" x14ac:dyDescent="0.3">
      <c r="A1100" s="4" t="s">
        <v>1721</v>
      </c>
      <c r="B1100" s="5">
        <v>45908</v>
      </c>
      <c r="C1100" s="4" t="s">
        <v>168</v>
      </c>
      <c r="D1100" s="4" t="s">
        <v>722</v>
      </c>
      <c r="E1100" s="4" t="s">
        <v>22</v>
      </c>
      <c r="F1100" s="4" t="s">
        <v>67</v>
      </c>
      <c r="G1100" s="4" t="s">
        <v>40</v>
      </c>
      <c r="H1100" s="4" t="s">
        <v>41</v>
      </c>
      <c r="I1100" s="6">
        <v>6</v>
      </c>
      <c r="J1100" s="6">
        <v>8004</v>
      </c>
      <c r="K1100" s="6">
        <v>5650.23</v>
      </c>
      <c r="L1100" s="6">
        <v>2353.77</v>
      </c>
    </row>
    <row r="1101" spans="1:12" x14ac:dyDescent="0.3">
      <c r="A1101" s="4" t="s">
        <v>1722</v>
      </c>
      <c r="B1101" s="5">
        <v>45595</v>
      </c>
      <c r="C1101" s="4" t="s">
        <v>101</v>
      </c>
      <c r="D1101" s="4" t="s">
        <v>691</v>
      </c>
      <c r="E1101" s="4" t="s">
        <v>22</v>
      </c>
      <c r="F1101" s="4" t="s">
        <v>23</v>
      </c>
      <c r="G1101" s="4" t="s">
        <v>35</v>
      </c>
      <c r="H1101" s="4" t="s">
        <v>45</v>
      </c>
      <c r="I1101" s="6">
        <v>8</v>
      </c>
      <c r="J1101" s="6">
        <v>23104</v>
      </c>
      <c r="K1101" s="6">
        <v>13710.15</v>
      </c>
      <c r="L1101" s="6">
        <v>9393.85</v>
      </c>
    </row>
    <row r="1102" spans="1:12" x14ac:dyDescent="0.3">
      <c r="A1102" s="4" t="s">
        <v>1723</v>
      </c>
      <c r="B1102" s="5">
        <v>46011</v>
      </c>
      <c r="C1102" s="4" t="s">
        <v>1328</v>
      </c>
      <c r="D1102" s="4" t="s">
        <v>942</v>
      </c>
      <c r="E1102" s="4" t="s">
        <v>22</v>
      </c>
      <c r="F1102" s="4" t="s">
        <v>23</v>
      </c>
      <c r="G1102" s="4" t="s">
        <v>17</v>
      </c>
      <c r="H1102" s="4" t="s">
        <v>72</v>
      </c>
      <c r="I1102" s="6">
        <v>5</v>
      </c>
      <c r="J1102" s="6">
        <v>7470</v>
      </c>
      <c r="K1102" s="6">
        <v>5782.66</v>
      </c>
      <c r="L1102" s="6">
        <v>1687.34</v>
      </c>
    </row>
    <row r="1103" spans="1:12" x14ac:dyDescent="0.3">
      <c r="A1103" s="4" t="s">
        <v>1724</v>
      </c>
      <c r="B1103" s="5">
        <v>46015</v>
      </c>
      <c r="C1103" s="4" t="s">
        <v>281</v>
      </c>
      <c r="D1103" s="4" t="s">
        <v>804</v>
      </c>
      <c r="E1103" s="4" t="s">
        <v>54</v>
      </c>
      <c r="F1103" s="4" t="s">
        <v>71</v>
      </c>
      <c r="G1103" s="4" t="s">
        <v>17</v>
      </c>
      <c r="H1103" s="4" t="s">
        <v>18</v>
      </c>
      <c r="I1103" s="6">
        <v>2</v>
      </c>
      <c r="J1103" s="6">
        <v>5080</v>
      </c>
      <c r="K1103" s="6">
        <v>4313.2</v>
      </c>
      <c r="L1103" s="6">
        <v>766.8</v>
      </c>
    </row>
    <row r="1104" spans="1:12" x14ac:dyDescent="0.3">
      <c r="A1104" s="4" t="s">
        <v>1725</v>
      </c>
      <c r="B1104" s="5">
        <v>45633</v>
      </c>
      <c r="C1104" s="4" t="s">
        <v>251</v>
      </c>
      <c r="D1104" s="4" t="s">
        <v>781</v>
      </c>
      <c r="E1104" s="4" t="s">
        <v>29</v>
      </c>
      <c r="F1104" s="4" t="s">
        <v>49</v>
      </c>
      <c r="G1104" s="4" t="s">
        <v>40</v>
      </c>
      <c r="H1104" s="4" t="s">
        <v>99</v>
      </c>
      <c r="I1104" s="6">
        <v>7</v>
      </c>
      <c r="J1104" s="6">
        <v>5467</v>
      </c>
      <c r="K1104" s="6">
        <v>4616.0200000000004</v>
      </c>
      <c r="L1104" s="6">
        <v>850.98</v>
      </c>
    </row>
    <row r="1105" spans="1:12" x14ac:dyDescent="0.3">
      <c r="A1105" s="4" t="s">
        <v>1726</v>
      </c>
      <c r="B1105" s="5">
        <v>45693</v>
      </c>
      <c r="C1105" s="4" t="s">
        <v>137</v>
      </c>
      <c r="D1105" s="4" t="s">
        <v>210</v>
      </c>
      <c r="E1105" s="4" t="s">
        <v>29</v>
      </c>
      <c r="F1105" s="4" t="s">
        <v>30</v>
      </c>
      <c r="G1105" s="4" t="s">
        <v>17</v>
      </c>
      <c r="H1105" s="4" t="s">
        <v>18</v>
      </c>
      <c r="I1105" s="6">
        <v>1</v>
      </c>
      <c r="J1105" s="6">
        <v>1766</v>
      </c>
      <c r="K1105" s="6">
        <v>1425.22</v>
      </c>
      <c r="L1105" s="6">
        <v>340.78</v>
      </c>
    </row>
    <row r="1106" spans="1:12" x14ac:dyDescent="0.3">
      <c r="A1106" s="4" t="s">
        <v>1727</v>
      </c>
      <c r="B1106" s="5">
        <v>45648</v>
      </c>
      <c r="C1106" s="4" t="s">
        <v>1041</v>
      </c>
      <c r="D1106" s="4" t="s">
        <v>886</v>
      </c>
      <c r="E1106" s="4" t="s">
        <v>15</v>
      </c>
      <c r="F1106" s="4" t="s">
        <v>90</v>
      </c>
      <c r="G1106" s="4" t="s">
        <v>35</v>
      </c>
      <c r="H1106" s="4" t="s">
        <v>36</v>
      </c>
      <c r="I1106" s="6">
        <v>6</v>
      </c>
      <c r="J1106" s="6">
        <v>22560</v>
      </c>
      <c r="K1106" s="6">
        <v>16996.02</v>
      </c>
      <c r="L1106" s="6">
        <v>5563.98</v>
      </c>
    </row>
    <row r="1107" spans="1:12" x14ac:dyDescent="0.3">
      <c r="A1107" s="4" t="s">
        <v>1728</v>
      </c>
      <c r="B1107" s="5">
        <v>45491</v>
      </c>
      <c r="C1107" s="4" t="s">
        <v>969</v>
      </c>
      <c r="D1107" s="4" t="s">
        <v>1226</v>
      </c>
      <c r="E1107" s="4" t="s">
        <v>15</v>
      </c>
      <c r="F1107" s="4" t="s">
        <v>90</v>
      </c>
      <c r="G1107" s="4" t="s">
        <v>17</v>
      </c>
      <c r="H1107" s="4" t="s">
        <v>18</v>
      </c>
      <c r="I1107" s="6">
        <v>5</v>
      </c>
      <c r="J1107" s="6">
        <v>13065</v>
      </c>
      <c r="K1107" s="6">
        <v>9915.2000000000007</v>
      </c>
      <c r="L1107" s="6">
        <v>3149.8</v>
      </c>
    </row>
    <row r="1108" spans="1:12" x14ac:dyDescent="0.3">
      <c r="A1108" s="4" t="s">
        <v>1729</v>
      </c>
      <c r="B1108" s="5">
        <v>46018</v>
      </c>
      <c r="C1108" s="4" t="s">
        <v>287</v>
      </c>
      <c r="D1108" s="4" t="s">
        <v>138</v>
      </c>
      <c r="E1108" s="4" t="s">
        <v>15</v>
      </c>
      <c r="F1108" s="4" t="s">
        <v>16</v>
      </c>
      <c r="G1108" s="4" t="s">
        <v>40</v>
      </c>
      <c r="H1108" s="4" t="s">
        <v>41</v>
      </c>
      <c r="I1108" s="6">
        <v>10</v>
      </c>
      <c r="J1108" s="6">
        <v>7430</v>
      </c>
      <c r="K1108" s="6">
        <v>5980.73</v>
      </c>
      <c r="L1108" s="6">
        <v>1449.27</v>
      </c>
    </row>
    <row r="1109" spans="1:12" x14ac:dyDescent="0.3">
      <c r="A1109" s="4" t="s">
        <v>1730</v>
      </c>
      <c r="B1109" s="5">
        <v>45440</v>
      </c>
      <c r="C1109" s="4" t="s">
        <v>149</v>
      </c>
      <c r="D1109" s="4" t="s">
        <v>647</v>
      </c>
      <c r="E1109" s="4" t="s">
        <v>29</v>
      </c>
      <c r="F1109" s="4" t="s">
        <v>30</v>
      </c>
      <c r="G1109" s="4" t="s">
        <v>24</v>
      </c>
      <c r="H1109" s="4" t="s">
        <v>166</v>
      </c>
      <c r="I1109" s="6">
        <v>8</v>
      </c>
      <c r="J1109" s="6">
        <v>34016</v>
      </c>
      <c r="K1109" s="6">
        <v>21679.23</v>
      </c>
      <c r="L1109" s="6">
        <v>12336.77</v>
      </c>
    </row>
    <row r="1110" spans="1:12" x14ac:dyDescent="0.3">
      <c r="A1110" s="4" t="s">
        <v>1731</v>
      </c>
      <c r="B1110" s="5">
        <v>45881</v>
      </c>
      <c r="C1110" s="4" t="s">
        <v>33</v>
      </c>
      <c r="D1110" s="4" t="s">
        <v>605</v>
      </c>
      <c r="E1110" s="4" t="s">
        <v>29</v>
      </c>
      <c r="F1110" s="4" t="s">
        <v>30</v>
      </c>
      <c r="G1110" s="4" t="s">
        <v>17</v>
      </c>
      <c r="H1110" s="4" t="s">
        <v>31</v>
      </c>
      <c r="I1110" s="6">
        <v>1</v>
      </c>
      <c r="J1110" s="6">
        <v>3267</v>
      </c>
      <c r="K1110" s="6">
        <v>2508.36</v>
      </c>
      <c r="L1110" s="6">
        <v>758.64</v>
      </c>
    </row>
    <row r="1111" spans="1:12" x14ac:dyDescent="0.3">
      <c r="A1111" s="4" t="s">
        <v>1732</v>
      </c>
      <c r="B1111" s="5">
        <v>45777</v>
      </c>
      <c r="C1111" s="4" t="s">
        <v>710</v>
      </c>
      <c r="D1111" s="4" t="s">
        <v>325</v>
      </c>
      <c r="E1111" s="4" t="s">
        <v>22</v>
      </c>
      <c r="F1111" s="4" t="s">
        <v>67</v>
      </c>
      <c r="G1111" s="4" t="s">
        <v>17</v>
      </c>
      <c r="H1111" s="4" t="s">
        <v>31</v>
      </c>
      <c r="I1111" s="6">
        <v>3</v>
      </c>
      <c r="J1111" s="6">
        <v>2283</v>
      </c>
      <c r="K1111" s="6">
        <v>1321.43</v>
      </c>
      <c r="L1111" s="6">
        <v>961.57</v>
      </c>
    </row>
    <row r="1112" spans="1:12" x14ac:dyDescent="0.3">
      <c r="A1112" s="4" t="s">
        <v>1733</v>
      </c>
      <c r="B1112" s="5">
        <v>45934</v>
      </c>
      <c r="C1112" s="4" t="s">
        <v>132</v>
      </c>
      <c r="D1112" s="4" t="s">
        <v>53</v>
      </c>
      <c r="E1112" s="4" t="s">
        <v>15</v>
      </c>
      <c r="F1112" s="4" t="s">
        <v>90</v>
      </c>
      <c r="G1112" s="4" t="s">
        <v>17</v>
      </c>
      <c r="H1112" s="4" t="s">
        <v>31</v>
      </c>
      <c r="I1112" s="6">
        <v>6</v>
      </c>
      <c r="J1112" s="6">
        <v>23118</v>
      </c>
      <c r="K1112" s="6">
        <v>19440.34</v>
      </c>
      <c r="L1112" s="6">
        <v>3677.66</v>
      </c>
    </row>
    <row r="1113" spans="1:12" x14ac:dyDescent="0.3">
      <c r="A1113" s="4" t="s">
        <v>1734</v>
      </c>
      <c r="B1113" s="5">
        <v>45902</v>
      </c>
      <c r="C1113" s="4" t="s">
        <v>768</v>
      </c>
      <c r="D1113" s="4" t="s">
        <v>1063</v>
      </c>
      <c r="E1113" s="4" t="s">
        <v>15</v>
      </c>
      <c r="F1113" s="4" t="s">
        <v>16</v>
      </c>
      <c r="G1113" s="4" t="s">
        <v>40</v>
      </c>
      <c r="H1113" s="4" t="s">
        <v>56</v>
      </c>
      <c r="I1113" s="6">
        <v>7</v>
      </c>
      <c r="J1113" s="6">
        <v>30114</v>
      </c>
      <c r="K1113" s="6">
        <v>19297.259999999998</v>
      </c>
      <c r="L1113" s="6">
        <v>10816.74</v>
      </c>
    </row>
    <row r="1114" spans="1:12" x14ac:dyDescent="0.3">
      <c r="A1114" s="4" t="s">
        <v>1735</v>
      </c>
      <c r="B1114" s="5">
        <v>45747</v>
      </c>
      <c r="C1114" s="4" t="s">
        <v>269</v>
      </c>
      <c r="D1114" s="4" t="s">
        <v>746</v>
      </c>
      <c r="E1114" s="4" t="s">
        <v>15</v>
      </c>
      <c r="F1114" s="4" t="s">
        <v>63</v>
      </c>
      <c r="G1114" s="4" t="s">
        <v>17</v>
      </c>
      <c r="H1114" s="4" t="s">
        <v>31</v>
      </c>
      <c r="I1114" s="6">
        <v>7</v>
      </c>
      <c r="J1114" s="6">
        <v>17878</v>
      </c>
      <c r="K1114" s="6">
        <v>13224.36</v>
      </c>
      <c r="L1114" s="6">
        <v>4653.6400000000003</v>
      </c>
    </row>
    <row r="1115" spans="1:12" x14ac:dyDescent="0.3">
      <c r="A1115" s="4" t="s">
        <v>1736</v>
      </c>
      <c r="B1115" s="5">
        <v>45813</v>
      </c>
      <c r="C1115" s="4" t="s">
        <v>802</v>
      </c>
      <c r="D1115" s="4" t="s">
        <v>663</v>
      </c>
      <c r="E1115" s="4" t="s">
        <v>15</v>
      </c>
      <c r="F1115" s="4" t="s">
        <v>16</v>
      </c>
      <c r="G1115" s="4" t="s">
        <v>24</v>
      </c>
      <c r="H1115" s="4" t="s">
        <v>50</v>
      </c>
      <c r="I1115" s="6">
        <v>2</v>
      </c>
      <c r="J1115" s="6">
        <v>8614</v>
      </c>
      <c r="K1115" s="6">
        <v>6395.23</v>
      </c>
      <c r="L1115" s="6">
        <v>2218.77</v>
      </c>
    </row>
    <row r="1116" spans="1:12" x14ac:dyDescent="0.3">
      <c r="A1116" s="4" t="s">
        <v>1737</v>
      </c>
      <c r="B1116" s="5">
        <v>45952</v>
      </c>
      <c r="C1116" s="4" t="s">
        <v>176</v>
      </c>
      <c r="D1116" s="4" t="s">
        <v>577</v>
      </c>
      <c r="E1116" s="4" t="s">
        <v>22</v>
      </c>
      <c r="F1116" s="4" t="s">
        <v>67</v>
      </c>
      <c r="G1116" s="4" t="s">
        <v>17</v>
      </c>
      <c r="H1116" s="4" t="s">
        <v>18</v>
      </c>
      <c r="I1116" s="6">
        <v>2</v>
      </c>
      <c r="J1116" s="6">
        <v>3566</v>
      </c>
      <c r="K1116" s="6">
        <v>2372.06</v>
      </c>
      <c r="L1116" s="6">
        <v>1193.94</v>
      </c>
    </row>
    <row r="1117" spans="1:12" x14ac:dyDescent="0.3">
      <c r="A1117" s="4" t="s">
        <v>1738</v>
      </c>
      <c r="B1117" s="5">
        <v>46009</v>
      </c>
      <c r="C1117" s="4" t="s">
        <v>1739</v>
      </c>
      <c r="D1117" s="4" t="s">
        <v>1226</v>
      </c>
      <c r="E1117" s="4" t="s">
        <v>29</v>
      </c>
      <c r="F1117" s="4" t="s">
        <v>102</v>
      </c>
      <c r="G1117" s="4" t="s">
        <v>40</v>
      </c>
      <c r="H1117" s="4" t="s">
        <v>41</v>
      </c>
      <c r="I1117" s="6">
        <v>2</v>
      </c>
      <c r="J1117" s="6">
        <v>9406</v>
      </c>
      <c r="K1117" s="6">
        <v>5695.02</v>
      </c>
      <c r="L1117" s="6">
        <v>3710.98</v>
      </c>
    </row>
    <row r="1118" spans="1:12" x14ac:dyDescent="0.3">
      <c r="A1118" s="4" t="s">
        <v>1740</v>
      </c>
      <c r="B1118" s="5">
        <v>45959</v>
      </c>
      <c r="C1118" s="4" t="s">
        <v>966</v>
      </c>
      <c r="D1118" s="4" t="s">
        <v>293</v>
      </c>
      <c r="E1118" s="4" t="s">
        <v>22</v>
      </c>
      <c r="F1118" s="4" t="s">
        <v>23</v>
      </c>
      <c r="G1118" s="4" t="s">
        <v>35</v>
      </c>
      <c r="H1118" s="4" t="s">
        <v>45</v>
      </c>
      <c r="I1118" s="6">
        <v>10</v>
      </c>
      <c r="J1118" s="6">
        <v>47150</v>
      </c>
      <c r="K1118" s="6">
        <v>36028.480000000003</v>
      </c>
      <c r="L1118" s="6">
        <v>11121.52</v>
      </c>
    </row>
    <row r="1119" spans="1:12" x14ac:dyDescent="0.3">
      <c r="A1119" s="4" t="s">
        <v>1741</v>
      </c>
      <c r="B1119" s="5">
        <v>45613</v>
      </c>
      <c r="C1119" s="4" t="s">
        <v>427</v>
      </c>
      <c r="D1119" s="4" t="s">
        <v>597</v>
      </c>
      <c r="E1119" s="4" t="s">
        <v>15</v>
      </c>
      <c r="F1119" s="4" t="s">
        <v>16</v>
      </c>
      <c r="G1119" s="4" t="s">
        <v>17</v>
      </c>
      <c r="H1119" s="4" t="s">
        <v>72</v>
      </c>
      <c r="I1119" s="6">
        <v>3</v>
      </c>
      <c r="J1119" s="6">
        <v>1029</v>
      </c>
      <c r="K1119" s="6">
        <v>737.19</v>
      </c>
      <c r="L1119" s="6">
        <v>291.81</v>
      </c>
    </row>
    <row r="1120" spans="1:12" x14ac:dyDescent="0.3">
      <c r="A1120" s="4" t="s">
        <v>1742</v>
      </c>
      <c r="B1120" s="5">
        <v>45327</v>
      </c>
      <c r="C1120" s="4" t="s">
        <v>263</v>
      </c>
      <c r="D1120" s="4" t="s">
        <v>39</v>
      </c>
      <c r="E1120" s="4" t="s">
        <v>29</v>
      </c>
      <c r="F1120" s="4" t="s">
        <v>30</v>
      </c>
      <c r="G1120" s="4" t="s">
        <v>40</v>
      </c>
      <c r="H1120" s="4" t="s">
        <v>56</v>
      </c>
      <c r="I1120" s="6">
        <v>3</v>
      </c>
      <c r="J1120" s="6">
        <v>3057</v>
      </c>
      <c r="K1120" s="6">
        <v>2197.2199999999998</v>
      </c>
      <c r="L1120" s="6">
        <v>859.78</v>
      </c>
    </row>
    <row r="1121" spans="1:12" x14ac:dyDescent="0.3">
      <c r="A1121" s="4" t="s">
        <v>1743</v>
      </c>
      <c r="B1121" s="5">
        <v>45965</v>
      </c>
      <c r="C1121" s="4" t="s">
        <v>189</v>
      </c>
      <c r="D1121" s="4" t="s">
        <v>114</v>
      </c>
      <c r="E1121" s="4" t="s">
        <v>54</v>
      </c>
      <c r="F1121" s="4" t="s">
        <v>55</v>
      </c>
      <c r="G1121" s="4" t="s">
        <v>35</v>
      </c>
      <c r="H1121" s="4" t="s">
        <v>45</v>
      </c>
      <c r="I1121" s="6">
        <v>3</v>
      </c>
      <c r="J1121" s="6">
        <v>11295</v>
      </c>
      <c r="K1121" s="6">
        <v>9523.16</v>
      </c>
      <c r="L1121" s="6">
        <v>1771.84</v>
      </c>
    </row>
    <row r="1122" spans="1:12" x14ac:dyDescent="0.3">
      <c r="A1122" s="4" t="s">
        <v>1744</v>
      </c>
      <c r="B1122" s="5">
        <v>45882</v>
      </c>
      <c r="C1122" s="4" t="s">
        <v>737</v>
      </c>
      <c r="D1122" s="4" t="s">
        <v>127</v>
      </c>
      <c r="E1122" s="4" t="s">
        <v>54</v>
      </c>
      <c r="F1122" s="4" t="s">
        <v>142</v>
      </c>
      <c r="G1122" s="4" t="s">
        <v>35</v>
      </c>
      <c r="H1122" s="4" t="s">
        <v>45</v>
      </c>
      <c r="I1122" s="6">
        <v>5</v>
      </c>
      <c r="J1122" s="6">
        <v>23375</v>
      </c>
      <c r="K1122" s="6">
        <v>15976.25</v>
      </c>
      <c r="L1122" s="6">
        <v>7398.75</v>
      </c>
    </row>
    <row r="1123" spans="1:12" x14ac:dyDescent="0.3">
      <c r="A1123" s="4" t="s">
        <v>1745</v>
      </c>
      <c r="B1123" s="5">
        <v>45970</v>
      </c>
      <c r="C1123" s="4" t="s">
        <v>834</v>
      </c>
      <c r="D1123" s="4" t="s">
        <v>673</v>
      </c>
      <c r="E1123" s="4" t="s">
        <v>54</v>
      </c>
      <c r="F1123" s="4" t="s">
        <v>71</v>
      </c>
      <c r="G1123" s="4" t="s">
        <v>35</v>
      </c>
      <c r="H1123" s="4" t="s">
        <v>45</v>
      </c>
      <c r="I1123" s="6">
        <v>9</v>
      </c>
      <c r="J1123" s="6">
        <v>18171</v>
      </c>
      <c r="K1123" s="6">
        <v>13744.16</v>
      </c>
      <c r="L1123" s="6">
        <v>4426.84</v>
      </c>
    </row>
    <row r="1124" spans="1:12" x14ac:dyDescent="0.3">
      <c r="A1124" s="4" t="s">
        <v>1746</v>
      </c>
      <c r="B1124" s="5">
        <v>45908</v>
      </c>
      <c r="C1124" s="4" t="s">
        <v>329</v>
      </c>
      <c r="D1124" s="4" t="s">
        <v>1123</v>
      </c>
      <c r="E1124" s="4" t="s">
        <v>15</v>
      </c>
      <c r="F1124" s="4" t="s">
        <v>16</v>
      </c>
      <c r="G1124" s="4" t="s">
        <v>24</v>
      </c>
      <c r="H1124" s="4" t="s">
        <v>166</v>
      </c>
      <c r="I1124" s="6">
        <v>5</v>
      </c>
      <c r="J1124" s="6">
        <v>10315</v>
      </c>
      <c r="K1124" s="6">
        <v>8636</v>
      </c>
      <c r="L1124" s="6">
        <v>1679</v>
      </c>
    </row>
    <row r="1125" spans="1:12" x14ac:dyDescent="0.3">
      <c r="A1125" s="4" t="s">
        <v>1747</v>
      </c>
      <c r="B1125" s="5">
        <v>45553</v>
      </c>
      <c r="C1125" s="4" t="s">
        <v>940</v>
      </c>
      <c r="D1125" s="4" t="s">
        <v>1029</v>
      </c>
      <c r="E1125" s="4" t="s">
        <v>54</v>
      </c>
      <c r="F1125" s="4" t="s">
        <v>55</v>
      </c>
      <c r="G1125" s="4" t="s">
        <v>24</v>
      </c>
      <c r="H1125" s="4" t="s">
        <v>166</v>
      </c>
      <c r="I1125" s="6">
        <v>10</v>
      </c>
      <c r="J1125" s="6">
        <v>37570</v>
      </c>
      <c r="K1125" s="6">
        <v>21501.61</v>
      </c>
      <c r="L1125" s="6">
        <v>16068.39</v>
      </c>
    </row>
    <row r="1126" spans="1:12" x14ac:dyDescent="0.3">
      <c r="A1126" s="4" t="s">
        <v>1748</v>
      </c>
      <c r="B1126" s="5">
        <v>46003</v>
      </c>
      <c r="C1126" s="4" t="s">
        <v>364</v>
      </c>
      <c r="D1126" s="4" t="s">
        <v>78</v>
      </c>
      <c r="E1126" s="4" t="s">
        <v>29</v>
      </c>
      <c r="F1126" s="4" t="s">
        <v>49</v>
      </c>
      <c r="G1126" s="4" t="s">
        <v>35</v>
      </c>
      <c r="H1126" s="4" t="s">
        <v>80</v>
      </c>
      <c r="I1126" s="6">
        <v>2</v>
      </c>
      <c r="J1126" s="6">
        <v>4764</v>
      </c>
      <c r="K1126" s="6">
        <v>3587.09</v>
      </c>
      <c r="L1126" s="6">
        <v>1176.9100000000001</v>
      </c>
    </row>
    <row r="1127" spans="1:12" x14ac:dyDescent="0.3">
      <c r="A1127" s="4" t="s">
        <v>1749</v>
      </c>
      <c r="B1127" s="5">
        <v>45869</v>
      </c>
      <c r="C1127" s="4" t="s">
        <v>464</v>
      </c>
      <c r="D1127" s="4" t="s">
        <v>48</v>
      </c>
      <c r="E1127" s="4" t="s">
        <v>29</v>
      </c>
      <c r="F1127" s="4" t="s">
        <v>102</v>
      </c>
      <c r="G1127" s="4" t="s">
        <v>17</v>
      </c>
      <c r="H1127" s="4" t="s">
        <v>31</v>
      </c>
      <c r="I1127" s="6">
        <v>5</v>
      </c>
      <c r="J1127" s="6">
        <v>9390</v>
      </c>
      <c r="K1127" s="6">
        <v>7177.09</v>
      </c>
      <c r="L1127" s="6">
        <v>2212.91</v>
      </c>
    </row>
    <row r="1128" spans="1:12" x14ac:dyDescent="0.3">
      <c r="A1128" s="4" t="s">
        <v>1750</v>
      </c>
      <c r="B1128" s="5">
        <v>45910</v>
      </c>
      <c r="C1128" s="4" t="s">
        <v>480</v>
      </c>
      <c r="D1128" s="4" t="s">
        <v>650</v>
      </c>
      <c r="E1128" s="4" t="s">
        <v>22</v>
      </c>
      <c r="F1128" s="4" t="s">
        <v>23</v>
      </c>
      <c r="G1128" s="4" t="s">
        <v>40</v>
      </c>
      <c r="H1128" s="4" t="s">
        <v>41</v>
      </c>
      <c r="I1128" s="6">
        <v>7</v>
      </c>
      <c r="J1128" s="6">
        <v>23828</v>
      </c>
      <c r="K1128" s="6">
        <v>13290.61</v>
      </c>
      <c r="L1128" s="6">
        <v>10537.39</v>
      </c>
    </row>
    <row r="1129" spans="1:12" x14ac:dyDescent="0.3">
      <c r="A1129" s="4" t="s">
        <v>1751</v>
      </c>
      <c r="B1129" s="5">
        <v>45629</v>
      </c>
      <c r="C1129" s="4" t="s">
        <v>890</v>
      </c>
      <c r="D1129" s="4" t="s">
        <v>459</v>
      </c>
      <c r="E1129" s="4" t="s">
        <v>54</v>
      </c>
      <c r="F1129" s="4" t="s">
        <v>142</v>
      </c>
      <c r="G1129" s="4" t="s">
        <v>35</v>
      </c>
      <c r="H1129" s="4" t="s">
        <v>45</v>
      </c>
      <c r="I1129" s="6">
        <v>2</v>
      </c>
      <c r="J1129" s="6">
        <v>9584</v>
      </c>
      <c r="K1129" s="6">
        <v>6440.78</v>
      </c>
      <c r="L1129" s="6">
        <v>3143.22</v>
      </c>
    </row>
    <row r="1130" spans="1:12" x14ac:dyDescent="0.3">
      <c r="A1130" s="4" t="s">
        <v>1752</v>
      </c>
      <c r="B1130" s="5">
        <v>45678</v>
      </c>
      <c r="C1130" s="4" t="s">
        <v>168</v>
      </c>
      <c r="D1130" s="4" t="s">
        <v>894</v>
      </c>
      <c r="E1130" s="4" t="s">
        <v>54</v>
      </c>
      <c r="F1130" s="4" t="s">
        <v>55</v>
      </c>
      <c r="G1130" s="4" t="s">
        <v>24</v>
      </c>
      <c r="H1130" s="4" t="s">
        <v>166</v>
      </c>
      <c r="I1130" s="6">
        <v>4</v>
      </c>
      <c r="J1130" s="6">
        <v>10164</v>
      </c>
      <c r="K1130" s="6">
        <v>5620.28</v>
      </c>
      <c r="L1130" s="6">
        <v>4543.72</v>
      </c>
    </row>
    <row r="1131" spans="1:12" x14ac:dyDescent="0.3">
      <c r="A1131" s="4" t="s">
        <v>1753</v>
      </c>
      <c r="B1131" s="5">
        <v>45793</v>
      </c>
      <c r="C1131" s="4" t="s">
        <v>993</v>
      </c>
      <c r="D1131" s="4" t="s">
        <v>816</v>
      </c>
      <c r="E1131" s="4" t="s">
        <v>15</v>
      </c>
      <c r="F1131" s="4" t="s">
        <v>16</v>
      </c>
      <c r="G1131" s="4" t="s">
        <v>24</v>
      </c>
      <c r="H1131" s="4" t="s">
        <v>166</v>
      </c>
      <c r="I1131" s="6">
        <v>9</v>
      </c>
      <c r="J1131" s="6">
        <v>25299</v>
      </c>
      <c r="K1131" s="6">
        <v>18383.47</v>
      </c>
      <c r="L1131" s="6">
        <v>6915.53</v>
      </c>
    </row>
    <row r="1132" spans="1:12" x14ac:dyDescent="0.3">
      <c r="A1132" s="4" t="s">
        <v>1754</v>
      </c>
      <c r="B1132" s="5">
        <v>45393</v>
      </c>
      <c r="C1132" s="4" t="s">
        <v>668</v>
      </c>
      <c r="D1132" s="4" t="s">
        <v>362</v>
      </c>
      <c r="E1132" s="4" t="s">
        <v>54</v>
      </c>
      <c r="F1132" s="4" t="s">
        <v>71</v>
      </c>
      <c r="G1132" s="4" t="s">
        <v>17</v>
      </c>
      <c r="H1132" s="4" t="s">
        <v>72</v>
      </c>
      <c r="I1132" s="6">
        <v>5</v>
      </c>
      <c r="J1132" s="6">
        <v>24090</v>
      </c>
      <c r="K1132" s="6">
        <v>15208.41</v>
      </c>
      <c r="L1132" s="6">
        <v>8881.59</v>
      </c>
    </row>
    <row r="1133" spans="1:12" x14ac:dyDescent="0.3">
      <c r="A1133" s="4" t="s">
        <v>1755</v>
      </c>
      <c r="B1133" s="5">
        <v>45704</v>
      </c>
      <c r="C1133" s="4" t="s">
        <v>284</v>
      </c>
      <c r="D1133" s="4" t="s">
        <v>1361</v>
      </c>
      <c r="E1133" s="4" t="s">
        <v>54</v>
      </c>
      <c r="F1133" s="4" t="s">
        <v>55</v>
      </c>
      <c r="G1133" s="4" t="s">
        <v>24</v>
      </c>
      <c r="H1133" s="4" t="s">
        <v>166</v>
      </c>
      <c r="I1133" s="6">
        <v>6</v>
      </c>
      <c r="J1133" s="6">
        <v>27930</v>
      </c>
      <c r="K1133" s="6">
        <v>19983.96</v>
      </c>
      <c r="L1133" s="6">
        <v>7946.04</v>
      </c>
    </row>
    <row r="1134" spans="1:12" x14ac:dyDescent="0.3">
      <c r="A1134" s="4" t="s">
        <v>1756</v>
      </c>
      <c r="B1134" s="5">
        <v>45438</v>
      </c>
      <c r="C1134" s="4" t="s">
        <v>705</v>
      </c>
      <c r="D1134" s="4" t="s">
        <v>442</v>
      </c>
      <c r="E1134" s="4" t="s">
        <v>54</v>
      </c>
      <c r="F1134" s="4" t="s">
        <v>142</v>
      </c>
      <c r="G1134" s="4" t="s">
        <v>17</v>
      </c>
      <c r="H1134" s="4" t="s">
        <v>31</v>
      </c>
      <c r="I1134" s="6">
        <v>9</v>
      </c>
      <c r="J1134" s="6">
        <v>14157</v>
      </c>
      <c r="K1134" s="6">
        <v>10579.09</v>
      </c>
      <c r="L1134" s="6">
        <v>3577.91</v>
      </c>
    </row>
    <row r="1135" spans="1:12" x14ac:dyDescent="0.3">
      <c r="A1135" s="4" t="s">
        <v>1757</v>
      </c>
      <c r="B1135" s="5">
        <v>45720</v>
      </c>
      <c r="C1135" s="4" t="s">
        <v>516</v>
      </c>
      <c r="D1135" s="4" t="s">
        <v>1497</v>
      </c>
      <c r="E1135" s="4" t="s">
        <v>54</v>
      </c>
      <c r="F1135" s="4" t="s">
        <v>142</v>
      </c>
      <c r="G1135" s="4" t="s">
        <v>17</v>
      </c>
      <c r="H1135" s="4" t="s">
        <v>18</v>
      </c>
      <c r="I1135" s="6">
        <v>6</v>
      </c>
      <c r="J1135" s="6">
        <v>14040</v>
      </c>
      <c r="K1135" s="6">
        <v>10578.64</v>
      </c>
      <c r="L1135" s="6">
        <v>3461.36</v>
      </c>
    </row>
    <row r="1136" spans="1:12" x14ac:dyDescent="0.3">
      <c r="A1136" s="4" t="s">
        <v>1758</v>
      </c>
      <c r="B1136" s="5">
        <v>45730</v>
      </c>
      <c r="C1136" s="4" t="s">
        <v>848</v>
      </c>
      <c r="D1136" s="4" t="s">
        <v>59</v>
      </c>
      <c r="E1136" s="4" t="s">
        <v>22</v>
      </c>
      <c r="F1136" s="4" t="s">
        <v>67</v>
      </c>
      <c r="G1136" s="4" t="s">
        <v>35</v>
      </c>
      <c r="H1136" s="4" t="s">
        <v>80</v>
      </c>
      <c r="I1136" s="6">
        <v>9</v>
      </c>
      <c r="J1136" s="6">
        <v>23841</v>
      </c>
      <c r="K1136" s="6">
        <v>15085.32</v>
      </c>
      <c r="L1136" s="6">
        <v>8755.68</v>
      </c>
    </row>
    <row r="1137" spans="1:12" x14ac:dyDescent="0.3">
      <c r="A1137" s="4" t="s">
        <v>1759</v>
      </c>
      <c r="B1137" s="5">
        <v>45384</v>
      </c>
      <c r="C1137" s="4" t="s">
        <v>461</v>
      </c>
      <c r="D1137" s="4" t="s">
        <v>650</v>
      </c>
      <c r="E1137" s="4" t="s">
        <v>54</v>
      </c>
      <c r="F1137" s="4" t="s">
        <v>71</v>
      </c>
      <c r="G1137" s="4" t="s">
        <v>24</v>
      </c>
      <c r="H1137" s="4" t="s">
        <v>50</v>
      </c>
      <c r="I1137" s="6">
        <v>5</v>
      </c>
      <c r="J1137" s="6">
        <v>18150</v>
      </c>
      <c r="K1137" s="6">
        <v>14178.3</v>
      </c>
      <c r="L1137" s="6">
        <v>3971.7</v>
      </c>
    </row>
    <row r="1138" spans="1:12" x14ac:dyDescent="0.3">
      <c r="A1138" s="4" t="s">
        <v>1760</v>
      </c>
      <c r="B1138" s="5">
        <v>45584</v>
      </c>
      <c r="C1138" s="4" t="s">
        <v>474</v>
      </c>
      <c r="D1138" s="4" t="s">
        <v>70</v>
      </c>
      <c r="E1138" s="4" t="s">
        <v>29</v>
      </c>
      <c r="F1138" s="4" t="s">
        <v>102</v>
      </c>
      <c r="G1138" s="4" t="s">
        <v>24</v>
      </c>
      <c r="H1138" s="4" t="s">
        <v>166</v>
      </c>
      <c r="I1138" s="6">
        <v>10</v>
      </c>
      <c r="J1138" s="6">
        <v>7700</v>
      </c>
      <c r="K1138" s="6">
        <v>4430.3900000000003</v>
      </c>
      <c r="L1138" s="6">
        <v>3269.61</v>
      </c>
    </row>
    <row r="1139" spans="1:12" x14ac:dyDescent="0.3">
      <c r="A1139" s="4" t="s">
        <v>1761</v>
      </c>
      <c r="B1139" s="5">
        <v>45819</v>
      </c>
      <c r="C1139" s="4" t="s">
        <v>92</v>
      </c>
      <c r="D1139" s="4" t="s">
        <v>39</v>
      </c>
      <c r="E1139" s="4" t="s">
        <v>15</v>
      </c>
      <c r="F1139" s="4" t="s">
        <v>63</v>
      </c>
      <c r="G1139" s="4" t="s">
        <v>17</v>
      </c>
      <c r="H1139" s="4" t="s">
        <v>31</v>
      </c>
      <c r="I1139" s="6">
        <v>9</v>
      </c>
      <c r="J1139" s="6">
        <v>12753</v>
      </c>
      <c r="K1139" s="6">
        <v>8849.27</v>
      </c>
      <c r="L1139" s="6">
        <v>3903.73</v>
      </c>
    </row>
    <row r="1140" spans="1:12" x14ac:dyDescent="0.3">
      <c r="A1140" s="4" t="s">
        <v>1762</v>
      </c>
      <c r="B1140" s="5">
        <v>46011</v>
      </c>
      <c r="C1140" s="4" t="s">
        <v>52</v>
      </c>
      <c r="D1140" s="4" t="s">
        <v>177</v>
      </c>
      <c r="E1140" s="4" t="s">
        <v>22</v>
      </c>
      <c r="F1140" s="4" t="s">
        <v>23</v>
      </c>
      <c r="G1140" s="4" t="s">
        <v>17</v>
      </c>
      <c r="H1140" s="4" t="s">
        <v>72</v>
      </c>
      <c r="I1140" s="6">
        <v>4</v>
      </c>
      <c r="J1140" s="6">
        <v>1436</v>
      </c>
      <c r="K1140" s="6">
        <v>1097.46</v>
      </c>
      <c r="L1140" s="6">
        <v>338.54</v>
      </c>
    </row>
    <row r="1141" spans="1:12" x14ac:dyDescent="0.3">
      <c r="A1141" s="4" t="s">
        <v>1763</v>
      </c>
      <c r="B1141" s="5">
        <v>45464</v>
      </c>
      <c r="C1141" s="4" t="s">
        <v>1266</v>
      </c>
      <c r="D1141" s="4" t="s">
        <v>621</v>
      </c>
      <c r="E1141" s="4" t="s">
        <v>29</v>
      </c>
      <c r="F1141" s="4" t="s">
        <v>30</v>
      </c>
      <c r="G1141" s="4" t="s">
        <v>17</v>
      </c>
      <c r="H1141" s="4" t="s">
        <v>31</v>
      </c>
      <c r="I1141" s="6">
        <v>9</v>
      </c>
      <c r="J1141" s="6">
        <v>5814</v>
      </c>
      <c r="K1141" s="6">
        <v>4257.08</v>
      </c>
      <c r="L1141" s="6">
        <v>1556.92</v>
      </c>
    </row>
    <row r="1142" spans="1:12" x14ac:dyDescent="0.3">
      <c r="A1142" s="4" t="s">
        <v>1764</v>
      </c>
      <c r="B1142" s="5">
        <v>45344</v>
      </c>
      <c r="C1142" s="4" t="s">
        <v>95</v>
      </c>
      <c r="D1142" s="4" t="s">
        <v>775</v>
      </c>
      <c r="E1142" s="4" t="s">
        <v>29</v>
      </c>
      <c r="F1142" s="4" t="s">
        <v>102</v>
      </c>
      <c r="G1142" s="4" t="s">
        <v>40</v>
      </c>
      <c r="H1142" s="4" t="s">
        <v>41</v>
      </c>
      <c r="I1142" s="6">
        <v>3</v>
      </c>
      <c r="J1142" s="6">
        <v>13524</v>
      </c>
      <c r="K1142" s="6">
        <v>8871.57</v>
      </c>
      <c r="L1142" s="6">
        <v>4652.43</v>
      </c>
    </row>
    <row r="1143" spans="1:12" x14ac:dyDescent="0.3">
      <c r="A1143" s="4" t="s">
        <v>1765</v>
      </c>
      <c r="B1143" s="5">
        <v>45547</v>
      </c>
      <c r="C1143" s="4" t="s">
        <v>214</v>
      </c>
      <c r="D1143" s="4" t="s">
        <v>973</v>
      </c>
      <c r="E1143" s="4" t="s">
        <v>22</v>
      </c>
      <c r="F1143" s="4" t="s">
        <v>23</v>
      </c>
      <c r="G1143" s="4" t="s">
        <v>40</v>
      </c>
      <c r="H1143" s="4" t="s">
        <v>41</v>
      </c>
      <c r="I1143" s="6">
        <v>2</v>
      </c>
      <c r="J1143" s="6">
        <v>6136</v>
      </c>
      <c r="K1143" s="6">
        <v>5057.37</v>
      </c>
      <c r="L1143" s="6">
        <v>1078.6300000000001</v>
      </c>
    </row>
    <row r="1144" spans="1:12" x14ac:dyDescent="0.3">
      <c r="A1144" s="4" t="s">
        <v>1766</v>
      </c>
      <c r="B1144" s="5">
        <v>45938</v>
      </c>
      <c r="C1144" s="4" t="s">
        <v>257</v>
      </c>
      <c r="D1144" s="4" t="s">
        <v>1226</v>
      </c>
      <c r="E1144" s="4" t="s">
        <v>54</v>
      </c>
      <c r="F1144" s="4" t="s">
        <v>55</v>
      </c>
      <c r="G1144" s="4" t="s">
        <v>35</v>
      </c>
      <c r="H1144" s="4" t="s">
        <v>80</v>
      </c>
      <c r="I1144" s="6">
        <v>5</v>
      </c>
      <c r="J1144" s="6">
        <v>12340</v>
      </c>
      <c r="K1144" s="6">
        <v>7575.77</v>
      </c>
      <c r="L1144" s="6">
        <v>4764.2299999999996</v>
      </c>
    </row>
    <row r="1145" spans="1:12" x14ac:dyDescent="0.3">
      <c r="A1145" s="4" t="s">
        <v>1767</v>
      </c>
      <c r="B1145" s="5">
        <v>45924</v>
      </c>
      <c r="C1145" s="4" t="s">
        <v>1120</v>
      </c>
      <c r="D1145" s="4" t="s">
        <v>130</v>
      </c>
      <c r="E1145" s="4" t="s">
        <v>29</v>
      </c>
      <c r="F1145" s="4" t="s">
        <v>49</v>
      </c>
      <c r="G1145" s="4" t="s">
        <v>17</v>
      </c>
      <c r="H1145" s="4" t="s">
        <v>31</v>
      </c>
      <c r="I1145" s="6">
        <v>9</v>
      </c>
      <c r="J1145" s="6">
        <v>5310</v>
      </c>
      <c r="K1145" s="6">
        <v>4410.62</v>
      </c>
      <c r="L1145" s="6">
        <v>899.38</v>
      </c>
    </row>
    <row r="1146" spans="1:12" x14ac:dyDescent="0.3">
      <c r="A1146" s="4" t="s">
        <v>1768</v>
      </c>
      <c r="B1146" s="5">
        <v>45401</v>
      </c>
      <c r="C1146" s="4" t="s">
        <v>955</v>
      </c>
      <c r="D1146" s="4" t="s">
        <v>488</v>
      </c>
      <c r="E1146" s="4" t="s">
        <v>54</v>
      </c>
      <c r="F1146" s="4" t="s">
        <v>142</v>
      </c>
      <c r="G1146" s="4" t="s">
        <v>17</v>
      </c>
      <c r="H1146" s="4" t="s">
        <v>72</v>
      </c>
      <c r="I1146" s="6">
        <v>8</v>
      </c>
      <c r="J1146" s="6">
        <v>23928</v>
      </c>
      <c r="K1146" s="6">
        <v>15302.08</v>
      </c>
      <c r="L1146" s="6">
        <v>8625.92</v>
      </c>
    </row>
    <row r="1147" spans="1:12" x14ac:dyDescent="0.3">
      <c r="A1147" s="4" t="s">
        <v>1769</v>
      </c>
      <c r="B1147" s="5">
        <v>45494</v>
      </c>
      <c r="C1147" s="4" t="s">
        <v>263</v>
      </c>
      <c r="D1147" s="4" t="s">
        <v>816</v>
      </c>
      <c r="E1147" s="4" t="s">
        <v>29</v>
      </c>
      <c r="F1147" s="4" t="s">
        <v>49</v>
      </c>
      <c r="G1147" s="4" t="s">
        <v>40</v>
      </c>
      <c r="H1147" s="4" t="s">
        <v>41</v>
      </c>
      <c r="I1147" s="6">
        <v>1</v>
      </c>
      <c r="J1147" s="6">
        <v>1130</v>
      </c>
      <c r="K1147" s="6">
        <v>767.54</v>
      </c>
      <c r="L1147" s="6">
        <v>362.46</v>
      </c>
    </row>
    <row r="1148" spans="1:12" x14ac:dyDescent="0.3">
      <c r="A1148" s="4" t="s">
        <v>1770</v>
      </c>
      <c r="B1148" s="5">
        <v>45964</v>
      </c>
      <c r="C1148" s="4" t="s">
        <v>368</v>
      </c>
      <c r="D1148" s="4" t="s">
        <v>621</v>
      </c>
      <c r="E1148" s="4" t="s">
        <v>29</v>
      </c>
      <c r="F1148" s="4" t="s">
        <v>49</v>
      </c>
      <c r="G1148" s="4" t="s">
        <v>24</v>
      </c>
      <c r="H1148" s="4" t="s">
        <v>50</v>
      </c>
      <c r="I1148" s="6">
        <v>8</v>
      </c>
      <c r="J1148" s="6">
        <v>2848</v>
      </c>
      <c r="K1148" s="6">
        <v>1699.37</v>
      </c>
      <c r="L1148" s="6">
        <v>1148.6300000000001</v>
      </c>
    </row>
    <row r="1149" spans="1:12" x14ac:dyDescent="0.3">
      <c r="A1149" s="4" t="s">
        <v>1771</v>
      </c>
      <c r="B1149" s="5">
        <v>45478</v>
      </c>
      <c r="C1149" s="4" t="s">
        <v>38</v>
      </c>
      <c r="D1149" s="4" t="s">
        <v>255</v>
      </c>
      <c r="E1149" s="4" t="s">
        <v>22</v>
      </c>
      <c r="F1149" s="4" t="s">
        <v>67</v>
      </c>
      <c r="G1149" s="4" t="s">
        <v>40</v>
      </c>
      <c r="H1149" s="4" t="s">
        <v>41</v>
      </c>
      <c r="I1149" s="6">
        <v>5</v>
      </c>
      <c r="J1149" s="6">
        <v>16425</v>
      </c>
      <c r="K1149" s="6">
        <v>11144.4</v>
      </c>
      <c r="L1149" s="6">
        <v>5280.6</v>
      </c>
    </row>
    <row r="1150" spans="1:12" x14ac:dyDescent="0.3">
      <c r="A1150" s="4" t="s">
        <v>1772</v>
      </c>
      <c r="B1150" s="5">
        <v>45736</v>
      </c>
      <c r="C1150" s="4" t="s">
        <v>955</v>
      </c>
      <c r="D1150" s="4" t="s">
        <v>359</v>
      </c>
      <c r="E1150" s="4" t="s">
        <v>15</v>
      </c>
      <c r="F1150" s="4" t="s">
        <v>63</v>
      </c>
      <c r="G1150" s="4" t="s">
        <v>17</v>
      </c>
      <c r="H1150" s="4" t="s">
        <v>31</v>
      </c>
      <c r="I1150" s="6">
        <v>8</v>
      </c>
      <c r="J1150" s="6">
        <v>13000</v>
      </c>
      <c r="K1150" s="6">
        <v>7695.51</v>
      </c>
      <c r="L1150" s="6">
        <v>5304.49</v>
      </c>
    </row>
    <row r="1151" spans="1:12" x14ac:dyDescent="0.3">
      <c r="A1151" s="4" t="s">
        <v>1773</v>
      </c>
      <c r="B1151" s="5">
        <v>45723</v>
      </c>
      <c r="C1151" s="4" t="s">
        <v>104</v>
      </c>
      <c r="D1151" s="4" t="s">
        <v>1110</v>
      </c>
      <c r="E1151" s="4" t="s">
        <v>29</v>
      </c>
      <c r="F1151" s="4" t="s">
        <v>102</v>
      </c>
      <c r="G1151" s="4" t="s">
        <v>40</v>
      </c>
      <c r="H1151" s="4" t="s">
        <v>56</v>
      </c>
      <c r="I1151" s="6">
        <v>5</v>
      </c>
      <c r="J1151" s="6">
        <v>3145</v>
      </c>
      <c r="K1151" s="6">
        <v>1855.88</v>
      </c>
      <c r="L1151" s="6">
        <v>1289.1199999999999</v>
      </c>
    </row>
    <row r="1152" spans="1:12" x14ac:dyDescent="0.3">
      <c r="A1152" s="4" t="s">
        <v>1774</v>
      </c>
      <c r="B1152" s="5">
        <v>45792</v>
      </c>
      <c r="C1152" s="4" t="s">
        <v>318</v>
      </c>
      <c r="D1152" s="4" t="s">
        <v>775</v>
      </c>
      <c r="E1152" s="4" t="s">
        <v>29</v>
      </c>
      <c r="F1152" s="4" t="s">
        <v>30</v>
      </c>
      <c r="G1152" s="4" t="s">
        <v>40</v>
      </c>
      <c r="H1152" s="4" t="s">
        <v>56</v>
      </c>
      <c r="I1152" s="6">
        <v>8</v>
      </c>
      <c r="J1152" s="6">
        <v>19816</v>
      </c>
      <c r="K1152" s="6">
        <v>11605</v>
      </c>
      <c r="L1152" s="6">
        <v>8211</v>
      </c>
    </row>
    <row r="1153" spans="1:12" x14ac:dyDescent="0.3">
      <c r="A1153" s="4" t="s">
        <v>1775</v>
      </c>
      <c r="B1153" s="5">
        <v>45402</v>
      </c>
      <c r="C1153" s="4" t="s">
        <v>1739</v>
      </c>
      <c r="D1153" s="4" t="s">
        <v>93</v>
      </c>
      <c r="E1153" s="4" t="s">
        <v>29</v>
      </c>
      <c r="F1153" s="4" t="s">
        <v>49</v>
      </c>
      <c r="G1153" s="4" t="s">
        <v>35</v>
      </c>
      <c r="H1153" s="4" t="s">
        <v>36</v>
      </c>
      <c r="I1153" s="6">
        <v>9</v>
      </c>
      <c r="J1153" s="6">
        <v>31365</v>
      </c>
      <c r="K1153" s="6">
        <v>18487.32</v>
      </c>
      <c r="L1153" s="6">
        <v>12877.68</v>
      </c>
    </row>
    <row r="1154" spans="1:12" x14ac:dyDescent="0.3">
      <c r="A1154" s="4" t="s">
        <v>1776</v>
      </c>
      <c r="B1154" s="5">
        <v>45642</v>
      </c>
      <c r="C1154" s="4" t="s">
        <v>1669</v>
      </c>
      <c r="D1154" s="4" t="s">
        <v>629</v>
      </c>
      <c r="E1154" s="4" t="s">
        <v>29</v>
      </c>
      <c r="F1154" s="4" t="s">
        <v>49</v>
      </c>
      <c r="G1154" s="4" t="s">
        <v>35</v>
      </c>
      <c r="H1154" s="4" t="s">
        <v>45</v>
      </c>
      <c r="I1154" s="6">
        <v>1</v>
      </c>
      <c r="J1154" s="6">
        <v>2237</v>
      </c>
      <c r="K1154" s="6">
        <v>1265.27</v>
      </c>
      <c r="L1154" s="6">
        <v>971.73</v>
      </c>
    </row>
    <row r="1155" spans="1:12" x14ac:dyDescent="0.3">
      <c r="A1155" s="4" t="s">
        <v>1777</v>
      </c>
      <c r="B1155" s="5">
        <v>45731</v>
      </c>
      <c r="C1155" s="4" t="s">
        <v>480</v>
      </c>
      <c r="D1155" s="4" t="s">
        <v>645</v>
      </c>
      <c r="E1155" s="4" t="s">
        <v>22</v>
      </c>
      <c r="F1155" s="4" t="s">
        <v>67</v>
      </c>
      <c r="G1155" s="4" t="s">
        <v>40</v>
      </c>
      <c r="H1155" s="4" t="s">
        <v>99</v>
      </c>
      <c r="I1155" s="6">
        <v>5</v>
      </c>
      <c r="J1155" s="6">
        <v>21400</v>
      </c>
      <c r="K1155" s="6">
        <v>12300.39</v>
      </c>
      <c r="L1155" s="6">
        <v>9099.61</v>
      </c>
    </row>
    <row r="1156" spans="1:12" x14ac:dyDescent="0.3">
      <c r="A1156" s="4" t="s">
        <v>1778</v>
      </c>
      <c r="B1156" s="5">
        <v>45545</v>
      </c>
      <c r="C1156" s="4" t="s">
        <v>1669</v>
      </c>
      <c r="D1156" s="4" t="s">
        <v>243</v>
      </c>
      <c r="E1156" s="4" t="s">
        <v>29</v>
      </c>
      <c r="F1156" s="4" t="s">
        <v>102</v>
      </c>
      <c r="G1156" s="4" t="s">
        <v>40</v>
      </c>
      <c r="H1156" s="4" t="s">
        <v>99</v>
      </c>
      <c r="I1156" s="6">
        <v>2</v>
      </c>
      <c r="J1156" s="6">
        <v>4916</v>
      </c>
      <c r="K1156" s="6">
        <v>4170.13</v>
      </c>
      <c r="L1156" s="6">
        <v>745.87</v>
      </c>
    </row>
    <row r="1157" spans="1:12" x14ac:dyDescent="0.3">
      <c r="A1157" s="4" t="s">
        <v>1779</v>
      </c>
      <c r="B1157" s="5">
        <v>45897</v>
      </c>
      <c r="C1157" s="4" t="s">
        <v>157</v>
      </c>
      <c r="D1157" s="4" t="s">
        <v>59</v>
      </c>
      <c r="E1157" s="4" t="s">
        <v>22</v>
      </c>
      <c r="F1157" s="4" t="s">
        <v>79</v>
      </c>
      <c r="G1157" s="4" t="s">
        <v>24</v>
      </c>
      <c r="H1157" s="4" t="s">
        <v>50</v>
      </c>
      <c r="I1157" s="6">
        <v>9</v>
      </c>
      <c r="J1157" s="6">
        <v>16056</v>
      </c>
      <c r="K1157" s="6">
        <v>9739.58</v>
      </c>
      <c r="L1157" s="6">
        <v>6316.42</v>
      </c>
    </row>
    <row r="1158" spans="1:12" x14ac:dyDescent="0.3">
      <c r="A1158" s="4" t="s">
        <v>1780</v>
      </c>
      <c r="B1158" s="5">
        <v>45441</v>
      </c>
      <c r="C1158" s="4" t="s">
        <v>1082</v>
      </c>
      <c r="D1158" s="4" t="s">
        <v>453</v>
      </c>
      <c r="E1158" s="4" t="s">
        <v>15</v>
      </c>
      <c r="F1158" s="4" t="s">
        <v>16</v>
      </c>
      <c r="G1158" s="4" t="s">
        <v>35</v>
      </c>
      <c r="H1158" s="4" t="s">
        <v>36</v>
      </c>
      <c r="I1158" s="6">
        <v>1</v>
      </c>
      <c r="J1158" s="6">
        <v>2543</v>
      </c>
      <c r="K1158" s="6">
        <v>2154.23</v>
      </c>
      <c r="L1158" s="6">
        <v>388.77</v>
      </c>
    </row>
    <row r="1159" spans="1:12" x14ac:dyDescent="0.3">
      <c r="A1159" s="4" t="s">
        <v>1781</v>
      </c>
      <c r="B1159" s="5">
        <v>46008</v>
      </c>
      <c r="C1159" s="4" t="s">
        <v>1220</v>
      </c>
      <c r="D1159" s="4" t="s">
        <v>749</v>
      </c>
      <c r="E1159" s="4" t="s">
        <v>29</v>
      </c>
      <c r="F1159" s="4" t="s">
        <v>102</v>
      </c>
      <c r="G1159" s="4" t="s">
        <v>24</v>
      </c>
      <c r="H1159" s="4" t="s">
        <v>25</v>
      </c>
      <c r="I1159" s="6">
        <v>7</v>
      </c>
      <c r="J1159" s="6">
        <v>25452</v>
      </c>
      <c r="K1159" s="6">
        <v>18007.07</v>
      </c>
      <c r="L1159" s="6">
        <v>7444.93</v>
      </c>
    </row>
    <row r="1160" spans="1:12" x14ac:dyDescent="0.3">
      <c r="A1160" s="4" t="s">
        <v>1782</v>
      </c>
      <c r="B1160" s="5">
        <v>45344</v>
      </c>
      <c r="C1160" s="4" t="s">
        <v>287</v>
      </c>
      <c r="D1160" s="4" t="s">
        <v>602</v>
      </c>
      <c r="E1160" s="4" t="s">
        <v>54</v>
      </c>
      <c r="F1160" s="4" t="s">
        <v>55</v>
      </c>
      <c r="G1160" s="4" t="s">
        <v>35</v>
      </c>
      <c r="H1160" s="4" t="s">
        <v>80</v>
      </c>
      <c r="I1160" s="6">
        <v>1</v>
      </c>
      <c r="J1160" s="6">
        <v>4476</v>
      </c>
      <c r="K1160" s="6">
        <v>3035.27</v>
      </c>
      <c r="L1160" s="6">
        <v>1440.73</v>
      </c>
    </row>
    <row r="1161" spans="1:12" x14ac:dyDescent="0.3">
      <c r="A1161" s="4" t="s">
        <v>1783</v>
      </c>
      <c r="B1161" s="5">
        <v>45340</v>
      </c>
      <c r="C1161" s="4" t="s">
        <v>565</v>
      </c>
      <c r="D1161" s="4" t="s">
        <v>597</v>
      </c>
      <c r="E1161" s="4" t="s">
        <v>54</v>
      </c>
      <c r="F1161" s="4" t="s">
        <v>55</v>
      </c>
      <c r="G1161" s="4" t="s">
        <v>40</v>
      </c>
      <c r="H1161" s="4" t="s">
        <v>99</v>
      </c>
      <c r="I1161" s="6">
        <v>6</v>
      </c>
      <c r="J1161" s="6">
        <v>22344</v>
      </c>
      <c r="K1161" s="6">
        <v>13944.68</v>
      </c>
      <c r="L1161" s="6">
        <v>8399.32</v>
      </c>
    </row>
    <row r="1162" spans="1:12" x14ac:dyDescent="0.3">
      <c r="A1162" s="4" t="s">
        <v>1784</v>
      </c>
      <c r="B1162" s="5">
        <v>45578</v>
      </c>
      <c r="C1162" s="4" t="s">
        <v>346</v>
      </c>
      <c r="D1162" s="4" t="s">
        <v>1445</v>
      </c>
      <c r="E1162" s="4" t="s">
        <v>15</v>
      </c>
      <c r="F1162" s="4" t="s">
        <v>16</v>
      </c>
      <c r="G1162" s="4" t="s">
        <v>17</v>
      </c>
      <c r="H1162" s="4" t="s">
        <v>31</v>
      </c>
      <c r="I1162" s="6">
        <v>6</v>
      </c>
      <c r="J1162" s="6">
        <v>12216</v>
      </c>
      <c r="K1162" s="6">
        <v>7764.43</v>
      </c>
      <c r="L1162" s="6">
        <v>4451.57</v>
      </c>
    </row>
    <row r="1163" spans="1:12" x14ac:dyDescent="0.3">
      <c r="A1163" s="4" t="s">
        <v>1785</v>
      </c>
      <c r="B1163" s="5">
        <v>45391</v>
      </c>
      <c r="C1163" s="4" t="s">
        <v>1786</v>
      </c>
      <c r="D1163" s="4" t="s">
        <v>706</v>
      </c>
      <c r="E1163" s="4" t="s">
        <v>29</v>
      </c>
      <c r="F1163" s="4" t="s">
        <v>49</v>
      </c>
      <c r="G1163" s="4" t="s">
        <v>35</v>
      </c>
      <c r="H1163" s="4" t="s">
        <v>80</v>
      </c>
      <c r="I1163" s="6">
        <v>6</v>
      </c>
      <c r="J1163" s="6">
        <v>18228</v>
      </c>
      <c r="K1163" s="6">
        <v>11689.74</v>
      </c>
      <c r="L1163" s="6">
        <v>6538.26</v>
      </c>
    </row>
    <row r="1164" spans="1:12" x14ac:dyDescent="0.3">
      <c r="A1164" s="4" t="s">
        <v>1787</v>
      </c>
      <c r="B1164" s="5">
        <v>45535</v>
      </c>
      <c r="C1164" s="4" t="s">
        <v>1211</v>
      </c>
      <c r="D1164" s="4" t="s">
        <v>781</v>
      </c>
      <c r="E1164" s="4" t="s">
        <v>29</v>
      </c>
      <c r="F1164" s="4" t="s">
        <v>49</v>
      </c>
      <c r="G1164" s="4" t="s">
        <v>40</v>
      </c>
      <c r="H1164" s="4" t="s">
        <v>41</v>
      </c>
      <c r="I1164" s="6">
        <v>6</v>
      </c>
      <c r="J1164" s="6">
        <v>27792</v>
      </c>
      <c r="K1164" s="6">
        <v>20327.46</v>
      </c>
      <c r="L1164" s="6">
        <v>7464.54</v>
      </c>
    </row>
    <row r="1165" spans="1:12" x14ac:dyDescent="0.3">
      <c r="A1165" s="4" t="s">
        <v>1788</v>
      </c>
      <c r="B1165" s="5">
        <v>45962</v>
      </c>
      <c r="C1165" s="4" t="s">
        <v>179</v>
      </c>
      <c r="D1165" s="4" t="s">
        <v>187</v>
      </c>
      <c r="E1165" s="4" t="s">
        <v>22</v>
      </c>
      <c r="F1165" s="4" t="s">
        <v>23</v>
      </c>
      <c r="G1165" s="4" t="s">
        <v>24</v>
      </c>
      <c r="H1165" s="4" t="s">
        <v>50</v>
      </c>
      <c r="I1165" s="6">
        <v>3</v>
      </c>
      <c r="J1165" s="6">
        <v>3855</v>
      </c>
      <c r="K1165" s="6">
        <v>2167.71</v>
      </c>
      <c r="L1165" s="6">
        <v>1687.29</v>
      </c>
    </row>
    <row r="1166" spans="1:12" x14ac:dyDescent="0.3">
      <c r="A1166" s="4" t="s">
        <v>1789</v>
      </c>
      <c r="B1166" s="5">
        <v>45777</v>
      </c>
      <c r="C1166" s="4" t="s">
        <v>1232</v>
      </c>
      <c r="D1166" s="4" t="s">
        <v>946</v>
      </c>
      <c r="E1166" s="4" t="s">
        <v>22</v>
      </c>
      <c r="F1166" s="4" t="s">
        <v>23</v>
      </c>
      <c r="G1166" s="4" t="s">
        <v>24</v>
      </c>
      <c r="H1166" s="4" t="s">
        <v>50</v>
      </c>
      <c r="I1166" s="6">
        <v>9</v>
      </c>
      <c r="J1166" s="6">
        <v>27981</v>
      </c>
      <c r="K1166" s="6">
        <v>17920.23</v>
      </c>
      <c r="L1166" s="6">
        <v>10060.77</v>
      </c>
    </row>
    <row r="1167" spans="1:12" x14ac:dyDescent="0.3">
      <c r="A1167" s="4" t="s">
        <v>1790</v>
      </c>
      <c r="B1167" s="5">
        <v>45550</v>
      </c>
      <c r="C1167" s="4" t="s">
        <v>1294</v>
      </c>
      <c r="D1167" s="4" t="s">
        <v>554</v>
      </c>
      <c r="E1167" s="4" t="s">
        <v>29</v>
      </c>
      <c r="F1167" s="4" t="s">
        <v>102</v>
      </c>
      <c r="G1167" s="4" t="s">
        <v>24</v>
      </c>
      <c r="H1167" s="4" t="s">
        <v>166</v>
      </c>
      <c r="I1167" s="6">
        <v>4</v>
      </c>
      <c r="J1167" s="6">
        <v>14900</v>
      </c>
      <c r="K1167" s="6">
        <v>10655.72</v>
      </c>
      <c r="L1167" s="6">
        <v>4244.28</v>
      </c>
    </row>
    <row r="1168" spans="1:12" x14ac:dyDescent="0.3">
      <c r="A1168" s="4" t="s">
        <v>1791</v>
      </c>
      <c r="B1168" s="5">
        <v>45721</v>
      </c>
      <c r="C1168" s="4" t="s">
        <v>1266</v>
      </c>
      <c r="D1168" s="4" t="s">
        <v>671</v>
      </c>
      <c r="E1168" s="4" t="s">
        <v>54</v>
      </c>
      <c r="F1168" s="4" t="s">
        <v>55</v>
      </c>
      <c r="G1168" s="4" t="s">
        <v>17</v>
      </c>
      <c r="H1168" s="4" t="s">
        <v>31</v>
      </c>
      <c r="I1168" s="6">
        <v>2</v>
      </c>
      <c r="J1168" s="6">
        <v>7744</v>
      </c>
      <c r="K1168" s="6">
        <v>4416.5</v>
      </c>
      <c r="L1168" s="6">
        <v>3327.5</v>
      </c>
    </row>
    <row r="1169" spans="1:12" x14ac:dyDescent="0.3">
      <c r="A1169" s="4" t="s">
        <v>1792</v>
      </c>
      <c r="B1169" s="5">
        <v>45871</v>
      </c>
      <c r="C1169" s="4" t="s">
        <v>126</v>
      </c>
      <c r="D1169" s="4" t="s">
        <v>335</v>
      </c>
      <c r="E1169" s="4" t="s">
        <v>15</v>
      </c>
      <c r="F1169" s="4" t="s">
        <v>16</v>
      </c>
      <c r="G1169" s="4" t="s">
        <v>17</v>
      </c>
      <c r="H1169" s="4" t="s">
        <v>72</v>
      </c>
      <c r="I1169" s="6">
        <v>5</v>
      </c>
      <c r="J1169" s="6">
        <v>6780</v>
      </c>
      <c r="K1169" s="6">
        <v>4318.16</v>
      </c>
      <c r="L1169" s="6">
        <v>2461.84</v>
      </c>
    </row>
    <row r="1170" spans="1:12" x14ac:dyDescent="0.3">
      <c r="A1170" s="4" t="s">
        <v>1793</v>
      </c>
      <c r="B1170" s="5">
        <v>45461</v>
      </c>
      <c r="C1170" s="4" t="s">
        <v>144</v>
      </c>
      <c r="D1170" s="4" t="s">
        <v>492</v>
      </c>
      <c r="E1170" s="4" t="s">
        <v>22</v>
      </c>
      <c r="F1170" s="4" t="s">
        <v>67</v>
      </c>
      <c r="G1170" s="4" t="s">
        <v>17</v>
      </c>
      <c r="H1170" s="4" t="s">
        <v>31</v>
      </c>
      <c r="I1170" s="6">
        <v>9</v>
      </c>
      <c r="J1170" s="6">
        <v>40554</v>
      </c>
      <c r="K1170" s="6">
        <v>34124.629999999997</v>
      </c>
      <c r="L1170" s="6">
        <v>6429.37</v>
      </c>
    </row>
    <row r="1171" spans="1:12" x14ac:dyDescent="0.3">
      <c r="A1171" s="4" t="s">
        <v>1794</v>
      </c>
      <c r="B1171" s="5">
        <v>45295</v>
      </c>
      <c r="C1171" s="4" t="s">
        <v>1535</v>
      </c>
      <c r="D1171" s="4" t="s">
        <v>931</v>
      </c>
      <c r="E1171" s="4" t="s">
        <v>22</v>
      </c>
      <c r="F1171" s="4" t="s">
        <v>79</v>
      </c>
      <c r="G1171" s="4" t="s">
        <v>35</v>
      </c>
      <c r="H1171" s="4" t="s">
        <v>36</v>
      </c>
      <c r="I1171" s="6">
        <v>7</v>
      </c>
      <c r="J1171" s="6">
        <v>17668</v>
      </c>
      <c r="K1171" s="6">
        <v>10814.18</v>
      </c>
      <c r="L1171" s="6">
        <v>6853.82</v>
      </c>
    </row>
    <row r="1172" spans="1:12" x14ac:dyDescent="0.3">
      <c r="A1172" s="4" t="s">
        <v>1795</v>
      </c>
      <c r="B1172" s="5">
        <v>46016</v>
      </c>
      <c r="C1172" s="4" t="s">
        <v>1266</v>
      </c>
      <c r="D1172" s="4" t="s">
        <v>1796</v>
      </c>
      <c r="E1172" s="4" t="s">
        <v>29</v>
      </c>
      <c r="F1172" s="4" t="s">
        <v>30</v>
      </c>
      <c r="G1172" s="4" t="s">
        <v>17</v>
      </c>
      <c r="H1172" s="4" t="s">
        <v>18</v>
      </c>
      <c r="I1172" s="6">
        <v>1</v>
      </c>
      <c r="J1172" s="6">
        <v>4500</v>
      </c>
      <c r="K1172" s="6">
        <v>3089.85</v>
      </c>
      <c r="L1172" s="6">
        <v>1410.15</v>
      </c>
    </row>
    <row r="1173" spans="1:12" x14ac:dyDescent="0.3">
      <c r="A1173" s="4" t="s">
        <v>1797</v>
      </c>
      <c r="B1173" s="5">
        <v>45521</v>
      </c>
      <c r="C1173" s="4" t="s">
        <v>446</v>
      </c>
      <c r="D1173" s="4" t="s">
        <v>946</v>
      </c>
      <c r="E1173" s="4" t="s">
        <v>54</v>
      </c>
      <c r="F1173" s="4" t="s">
        <v>142</v>
      </c>
      <c r="G1173" s="4" t="s">
        <v>40</v>
      </c>
      <c r="H1173" s="4" t="s">
        <v>99</v>
      </c>
      <c r="I1173" s="6">
        <v>5</v>
      </c>
      <c r="J1173" s="6">
        <v>24115</v>
      </c>
      <c r="K1173" s="6">
        <v>14124.9</v>
      </c>
      <c r="L1173" s="6">
        <v>9990.1</v>
      </c>
    </row>
    <row r="1174" spans="1:12" x14ac:dyDescent="0.3">
      <c r="A1174" s="4" t="s">
        <v>1798</v>
      </c>
      <c r="B1174" s="5">
        <v>45568</v>
      </c>
      <c r="C1174" s="4" t="s">
        <v>1524</v>
      </c>
      <c r="D1174" s="4" t="s">
        <v>114</v>
      </c>
      <c r="E1174" s="4" t="s">
        <v>29</v>
      </c>
      <c r="F1174" s="4" t="s">
        <v>49</v>
      </c>
      <c r="G1174" s="4" t="s">
        <v>24</v>
      </c>
      <c r="H1174" s="4" t="s">
        <v>25</v>
      </c>
      <c r="I1174" s="6">
        <v>3</v>
      </c>
      <c r="J1174" s="6">
        <v>7725</v>
      </c>
      <c r="K1174" s="6">
        <v>6397.65</v>
      </c>
      <c r="L1174" s="6">
        <v>1327.35</v>
      </c>
    </row>
    <row r="1175" spans="1:12" x14ac:dyDescent="0.3">
      <c r="A1175" s="4" t="s">
        <v>1799</v>
      </c>
      <c r="B1175" s="5">
        <v>45669</v>
      </c>
      <c r="C1175" s="4" t="s">
        <v>441</v>
      </c>
      <c r="D1175" s="4" t="s">
        <v>1800</v>
      </c>
      <c r="E1175" s="4" t="s">
        <v>29</v>
      </c>
      <c r="F1175" s="4" t="s">
        <v>30</v>
      </c>
      <c r="G1175" s="4" t="s">
        <v>24</v>
      </c>
      <c r="H1175" s="4" t="s">
        <v>50</v>
      </c>
      <c r="I1175" s="6">
        <v>1</v>
      </c>
      <c r="J1175" s="6">
        <v>3146</v>
      </c>
      <c r="K1175" s="6">
        <v>2327.4299999999998</v>
      </c>
      <c r="L1175" s="6">
        <v>818.57</v>
      </c>
    </row>
    <row r="1176" spans="1:12" x14ac:dyDescent="0.3">
      <c r="A1176" s="4" t="s">
        <v>1801</v>
      </c>
      <c r="B1176" s="5">
        <v>45350</v>
      </c>
      <c r="C1176" s="4" t="s">
        <v>1090</v>
      </c>
      <c r="D1176" s="4" t="s">
        <v>1105</v>
      </c>
      <c r="E1176" s="4" t="s">
        <v>54</v>
      </c>
      <c r="F1176" s="4" t="s">
        <v>71</v>
      </c>
      <c r="G1176" s="4" t="s">
        <v>24</v>
      </c>
      <c r="H1176" s="4" t="s">
        <v>166</v>
      </c>
      <c r="I1176" s="6">
        <v>7</v>
      </c>
      <c r="J1176" s="6">
        <v>19005</v>
      </c>
      <c r="K1176" s="6">
        <v>12303.66</v>
      </c>
      <c r="L1176" s="6">
        <v>6701.34</v>
      </c>
    </row>
    <row r="1177" spans="1:12" x14ac:dyDescent="0.3">
      <c r="A1177" s="4" t="s">
        <v>1802</v>
      </c>
      <c r="B1177" s="5">
        <v>45842</v>
      </c>
      <c r="C1177" s="4" t="s">
        <v>1371</v>
      </c>
      <c r="D1177" s="4" t="s">
        <v>722</v>
      </c>
      <c r="E1177" s="4" t="s">
        <v>29</v>
      </c>
      <c r="F1177" s="4" t="s">
        <v>30</v>
      </c>
      <c r="G1177" s="4" t="s">
        <v>40</v>
      </c>
      <c r="H1177" s="4" t="s">
        <v>99</v>
      </c>
      <c r="I1177" s="6">
        <v>3</v>
      </c>
      <c r="J1177" s="6">
        <v>7191</v>
      </c>
      <c r="K1177" s="6">
        <v>6051.09</v>
      </c>
      <c r="L1177" s="6">
        <v>1139.9100000000001</v>
      </c>
    </row>
    <row r="1178" spans="1:12" x14ac:dyDescent="0.3">
      <c r="A1178" s="4" t="s">
        <v>1803</v>
      </c>
      <c r="B1178" s="5">
        <v>45744</v>
      </c>
      <c r="C1178" s="4" t="s">
        <v>101</v>
      </c>
      <c r="D1178" s="4" t="s">
        <v>1180</v>
      </c>
      <c r="E1178" s="4" t="s">
        <v>22</v>
      </c>
      <c r="F1178" s="4" t="s">
        <v>79</v>
      </c>
      <c r="G1178" s="4" t="s">
        <v>40</v>
      </c>
      <c r="H1178" s="4" t="s">
        <v>99</v>
      </c>
      <c r="I1178" s="6">
        <v>10</v>
      </c>
      <c r="J1178" s="6">
        <v>48120</v>
      </c>
      <c r="K1178" s="6">
        <v>29442.11</v>
      </c>
      <c r="L1178" s="6">
        <v>18677.89</v>
      </c>
    </row>
    <row r="1179" spans="1:12" x14ac:dyDescent="0.3">
      <c r="A1179" s="4" t="s">
        <v>1804</v>
      </c>
      <c r="B1179" s="5">
        <v>45736</v>
      </c>
      <c r="C1179" s="4" t="s">
        <v>269</v>
      </c>
      <c r="D1179" s="4" t="s">
        <v>605</v>
      </c>
      <c r="E1179" s="4" t="s">
        <v>54</v>
      </c>
      <c r="F1179" s="4" t="s">
        <v>142</v>
      </c>
      <c r="G1179" s="4" t="s">
        <v>17</v>
      </c>
      <c r="H1179" s="4" t="s">
        <v>72</v>
      </c>
      <c r="I1179" s="6">
        <v>7</v>
      </c>
      <c r="J1179" s="6">
        <v>11025</v>
      </c>
      <c r="K1179" s="6">
        <v>7539.08</v>
      </c>
      <c r="L1179" s="6">
        <v>3485.92</v>
      </c>
    </row>
    <row r="1180" spans="1:12" x14ac:dyDescent="0.3">
      <c r="A1180" s="4" t="s">
        <v>1805</v>
      </c>
      <c r="B1180" s="5">
        <v>45472</v>
      </c>
      <c r="C1180" s="4" t="s">
        <v>342</v>
      </c>
      <c r="D1180" s="4" t="s">
        <v>989</v>
      </c>
      <c r="E1180" s="4" t="s">
        <v>22</v>
      </c>
      <c r="F1180" s="4" t="s">
        <v>23</v>
      </c>
      <c r="G1180" s="4" t="s">
        <v>35</v>
      </c>
      <c r="H1180" s="4" t="s">
        <v>80</v>
      </c>
      <c r="I1180" s="6">
        <v>3</v>
      </c>
      <c r="J1180" s="6">
        <v>12189</v>
      </c>
      <c r="K1180" s="6">
        <v>7380.54</v>
      </c>
      <c r="L1180" s="6">
        <v>4808.46</v>
      </c>
    </row>
    <row r="1181" spans="1:12" x14ac:dyDescent="0.3">
      <c r="A1181" s="4" t="s">
        <v>1806</v>
      </c>
      <c r="B1181" s="5">
        <v>45473</v>
      </c>
      <c r="C1181" s="4" t="s">
        <v>594</v>
      </c>
      <c r="D1181" s="4" t="s">
        <v>1145</v>
      </c>
      <c r="E1181" s="4" t="s">
        <v>22</v>
      </c>
      <c r="F1181" s="4" t="s">
        <v>79</v>
      </c>
      <c r="G1181" s="4" t="s">
        <v>24</v>
      </c>
      <c r="H1181" s="4" t="s">
        <v>166</v>
      </c>
      <c r="I1181" s="6">
        <v>5</v>
      </c>
      <c r="J1181" s="6">
        <v>2360</v>
      </c>
      <c r="K1181" s="6">
        <v>1517.59</v>
      </c>
      <c r="L1181" s="6">
        <v>842.41</v>
      </c>
    </row>
    <row r="1182" spans="1:12" x14ac:dyDescent="0.3">
      <c r="A1182" s="4" t="s">
        <v>1807</v>
      </c>
      <c r="B1182" s="5">
        <v>45952</v>
      </c>
      <c r="C1182" s="4" t="s">
        <v>132</v>
      </c>
      <c r="D1182" s="4" t="s">
        <v>1117</v>
      </c>
      <c r="E1182" s="4" t="s">
        <v>15</v>
      </c>
      <c r="F1182" s="4" t="s">
        <v>16</v>
      </c>
      <c r="G1182" s="4" t="s">
        <v>24</v>
      </c>
      <c r="H1182" s="4" t="s">
        <v>50</v>
      </c>
      <c r="I1182" s="6">
        <v>7</v>
      </c>
      <c r="J1182" s="6">
        <v>16163</v>
      </c>
      <c r="K1182" s="6">
        <v>11096.02</v>
      </c>
      <c r="L1182" s="6">
        <v>5066.9799999999996</v>
      </c>
    </row>
    <row r="1183" spans="1:12" x14ac:dyDescent="0.3">
      <c r="A1183" s="4" t="s">
        <v>1808</v>
      </c>
      <c r="B1183" s="5">
        <v>45313</v>
      </c>
      <c r="C1183" s="4" t="s">
        <v>1700</v>
      </c>
      <c r="D1183" s="4" t="s">
        <v>249</v>
      </c>
      <c r="E1183" s="4" t="s">
        <v>29</v>
      </c>
      <c r="F1183" s="4" t="s">
        <v>30</v>
      </c>
      <c r="G1183" s="4" t="s">
        <v>24</v>
      </c>
      <c r="H1183" s="4" t="s">
        <v>25</v>
      </c>
      <c r="I1183" s="6">
        <v>10</v>
      </c>
      <c r="J1183" s="6">
        <v>11160</v>
      </c>
      <c r="K1183" s="6">
        <v>7403.13</v>
      </c>
      <c r="L1183" s="6">
        <v>3756.87</v>
      </c>
    </row>
    <row r="1184" spans="1:12" x14ac:dyDescent="0.3">
      <c r="A1184" s="4" t="s">
        <v>1809</v>
      </c>
      <c r="B1184" s="5">
        <v>45934</v>
      </c>
      <c r="C1184" s="4" t="s">
        <v>1786</v>
      </c>
      <c r="D1184" s="4" t="s">
        <v>629</v>
      </c>
      <c r="E1184" s="4" t="s">
        <v>15</v>
      </c>
      <c r="F1184" s="4" t="s">
        <v>16</v>
      </c>
      <c r="G1184" s="4" t="s">
        <v>40</v>
      </c>
      <c r="H1184" s="4" t="s">
        <v>56</v>
      </c>
      <c r="I1184" s="6">
        <v>2</v>
      </c>
      <c r="J1184" s="6">
        <v>4984</v>
      </c>
      <c r="K1184" s="6">
        <v>2954.47</v>
      </c>
      <c r="L1184" s="6">
        <v>2029.53</v>
      </c>
    </row>
    <row r="1185" spans="1:12" x14ac:dyDescent="0.3">
      <c r="A1185" s="4" t="s">
        <v>1810</v>
      </c>
      <c r="B1185" s="5">
        <v>45783</v>
      </c>
      <c r="C1185" s="4" t="s">
        <v>228</v>
      </c>
      <c r="D1185" s="4" t="s">
        <v>356</v>
      </c>
      <c r="E1185" s="4" t="s">
        <v>15</v>
      </c>
      <c r="F1185" s="4" t="s">
        <v>90</v>
      </c>
      <c r="G1185" s="4" t="s">
        <v>17</v>
      </c>
      <c r="H1185" s="4" t="s">
        <v>18</v>
      </c>
      <c r="I1185" s="6">
        <v>6</v>
      </c>
      <c r="J1185" s="6">
        <v>5976</v>
      </c>
      <c r="K1185" s="6">
        <v>3649.52</v>
      </c>
      <c r="L1185" s="6">
        <v>2326.48</v>
      </c>
    </row>
    <row r="1186" spans="1:12" x14ac:dyDescent="0.3">
      <c r="A1186" s="4" t="s">
        <v>1811</v>
      </c>
      <c r="B1186" s="5">
        <v>45848</v>
      </c>
      <c r="C1186" s="4" t="s">
        <v>337</v>
      </c>
      <c r="D1186" s="4" t="s">
        <v>145</v>
      </c>
      <c r="E1186" s="4" t="s">
        <v>29</v>
      </c>
      <c r="F1186" s="4" t="s">
        <v>49</v>
      </c>
      <c r="G1186" s="4" t="s">
        <v>40</v>
      </c>
      <c r="H1186" s="4" t="s">
        <v>41</v>
      </c>
      <c r="I1186" s="6">
        <v>8</v>
      </c>
      <c r="J1186" s="6">
        <v>12520</v>
      </c>
      <c r="K1186" s="6">
        <v>7801.75</v>
      </c>
      <c r="L1186" s="6">
        <v>4718.25</v>
      </c>
    </row>
    <row r="1187" spans="1:12" x14ac:dyDescent="0.3">
      <c r="A1187" s="4" t="s">
        <v>1812</v>
      </c>
      <c r="B1187" s="5">
        <v>45815</v>
      </c>
      <c r="C1187" s="4" t="s">
        <v>217</v>
      </c>
      <c r="D1187" s="4" t="s">
        <v>888</v>
      </c>
      <c r="E1187" s="4" t="s">
        <v>15</v>
      </c>
      <c r="F1187" s="4" t="s">
        <v>16</v>
      </c>
      <c r="G1187" s="4" t="s">
        <v>24</v>
      </c>
      <c r="H1187" s="4" t="s">
        <v>25</v>
      </c>
      <c r="I1187" s="6">
        <v>2</v>
      </c>
      <c r="J1187" s="6">
        <v>9522</v>
      </c>
      <c r="K1187" s="6">
        <v>6084.76</v>
      </c>
      <c r="L1187" s="6">
        <v>3437.24</v>
      </c>
    </row>
    <row r="1188" spans="1:12" x14ac:dyDescent="0.3">
      <c r="A1188" s="4" t="s">
        <v>1813</v>
      </c>
      <c r="B1188" s="5">
        <v>45653</v>
      </c>
      <c r="C1188" s="4" t="s">
        <v>1271</v>
      </c>
      <c r="D1188" s="4" t="s">
        <v>621</v>
      </c>
      <c r="E1188" s="4" t="s">
        <v>15</v>
      </c>
      <c r="F1188" s="4" t="s">
        <v>16</v>
      </c>
      <c r="G1188" s="4" t="s">
        <v>24</v>
      </c>
      <c r="H1188" s="4" t="s">
        <v>25</v>
      </c>
      <c r="I1188" s="6">
        <v>4</v>
      </c>
      <c r="J1188" s="6">
        <v>15196</v>
      </c>
      <c r="K1188" s="6">
        <v>10114.68</v>
      </c>
      <c r="L1188" s="6">
        <v>5081.32</v>
      </c>
    </row>
    <row r="1189" spans="1:12" x14ac:dyDescent="0.3">
      <c r="A1189" s="4" t="s">
        <v>1814</v>
      </c>
      <c r="B1189" s="5">
        <v>45404</v>
      </c>
      <c r="C1189" s="4" t="s">
        <v>236</v>
      </c>
      <c r="D1189" s="4" t="s">
        <v>1539</v>
      </c>
      <c r="E1189" s="4" t="s">
        <v>22</v>
      </c>
      <c r="F1189" s="4" t="s">
        <v>79</v>
      </c>
      <c r="G1189" s="4" t="s">
        <v>17</v>
      </c>
      <c r="H1189" s="4" t="s">
        <v>18</v>
      </c>
      <c r="I1189" s="6">
        <v>2</v>
      </c>
      <c r="J1189" s="6">
        <v>8656</v>
      </c>
      <c r="K1189" s="6">
        <v>5201.1099999999997</v>
      </c>
      <c r="L1189" s="6">
        <v>3454.89</v>
      </c>
    </row>
    <row r="1190" spans="1:12" x14ac:dyDescent="0.3">
      <c r="A1190" s="4" t="s">
        <v>1815</v>
      </c>
      <c r="B1190" s="5">
        <v>45378</v>
      </c>
      <c r="C1190" s="4" t="s">
        <v>834</v>
      </c>
      <c r="D1190" s="4" t="s">
        <v>607</v>
      </c>
      <c r="E1190" s="4" t="s">
        <v>54</v>
      </c>
      <c r="F1190" s="4" t="s">
        <v>55</v>
      </c>
      <c r="G1190" s="4" t="s">
        <v>24</v>
      </c>
      <c r="H1190" s="4" t="s">
        <v>50</v>
      </c>
      <c r="I1190" s="6">
        <v>10</v>
      </c>
      <c r="J1190" s="6">
        <v>30330</v>
      </c>
      <c r="K1190" s="6">
        <v>17758.38</v>
      </c>
      <c r="L1190" s="6">
        <v>12571.62</v>
      </c>
    </row>
    <row r="1191" spans="1:12" x14ac:dyDescent="0.3">
      <c r="A1191" s="4" t="s">
        <v>1816</v>
      </c>
      <c r="B1191" s="5">
        <v>45445</v>
      </c>
      <c r="C1191" s="4" t="s">
        <v>1414</v>
      </c>
      <c r="D1191" s="4" t="s">
        <v>589</v>
      </c>
      <c r="E1191" s="4" t="s">
        <v>29</v>
      </c>
      <c r="F1191" s="4" t="s">
        <v>49</v>
      </c>
      <c r="G1191" s="4" t="s">
        <v>35</v>
      </c>
      <c r="H1191" s="4" t="s">
        <v>45</v>
      </c>
      <c r="I1191" s="6">
        <v>6</v>
      </c>
      <c r="J1191" s="6">
        <v>10710</v>
      </c>
      <c r="K1191" s="6">
        <v>8073.52</v>
      </c>
      <c r="L1191" s="6">
        <v>2636.48</v>
      </c>
    </row>
    <row r="1192" spans="1:12" x14ac:dyDescent="0.3">
      <c r="A1192" s="4" t="s">
        <v>1817</v>
      </c>
      <c r="B1192" s="5">
        <v>46020</v>
      </c>
      <c r="C1192" s="4" t="s">
        <v>831</v>
      </c>
      <c r="D1192" s="4" t="s">
        <v>338</v>
      </c>
      <c r="E1192" s="4" t="s">
        <v>54</v>
      </c>
      <c r="F1192" s="4" t="s">
        <v>142</v>
      </c>
      <c r="G1192" s="4" t="s">
        <v>40</v>
      </c>
      <c r="H1192" s="4" t="s">
        <v>99</v>
      </c>
      <c r="I1192" s="6">
        <v>8</v>
      </c>
      <c r="J1192" s="6">
        <v>26584</v>
      </c>
      <c r="K1192" s="6">
        <v>22061.119999999999</v>
      </c>
      <c r="L1192" s="6">
        <v>4522.88</v>
      </c>
    </row>
    <row r="1193" spans="1:12" x14ac:dyDescent="0.3">
      <c r="A1193" s="4" t="s">
        <v>1818</v>
      </c>
      <c r="B1193" s="5">
        <v>45781</v>
      </c>
      <c r="C1193" s="4" t="s">
        <v>1024</v>
      </c>
      <c r="D1193" s="4" t="s">
        <v>987</v>
      </c>
      <c r="E1193" s="4" t="s">
        <v>29</v>
      </c>
      <c r="F1193" s="4" t="s">
        <v>30</v>
      </c>
      <c r="G1193" s="4" t="s">
        <v>24</v>
      </c>
      <c r="H1193" s="4" t="s">
        <v>166</v>
      </c>
      <c r="I1193" s="6">
        <v>6</v>
      </c>
      <c r="J1193" s="6">
        <v>9060</v>
      </c>
      <c r="K1193" s="6">
        <v>6044.65</v>
      </c>
      <c r="L1193" s="6">
        <v>3015.35</v>
      </c>
    </row>
    <row r="1194" spans="1:12" x14ac:dyDescent="0.3">
      <c r="A1194" s="4" t="s">
        <v>1819</v>
      </c>
      <c r="B1194" s="5">
        <v>45422</v>
      </c>
      <c r="C1194" s="4" t="s">
        <v>565</v>
      </c>
      <c r="D1194" s="4" t="s">
        <v>75</v>
      </c>
      <c r="E1194" s="4" t="s">
        <v>22</v>
      </c>
      <c r="F1194" s="4" t="s">
        <v>79</v>
      </c>
      <c r="G1194" s="4" t="s">
        <v>40</v>
      </c>
      <c r="H1194" s="4" t="s">
        <v>99</v>
      </c>
      <c r="I1194" s="6">
        <v>3</v>
      </c>
      <c r="J1194" s="6">
        <v>3120</v>
      </c>
      <c r="K1194" s="6">
        <v>2018.38</v>
      </c>
      <c r="L1194" s="6">
        <v>1101.6199999999999</v>
      </c>
    </row>
    <row r="1195" spans="1:12" x14ac:dyDescent="0.3">
      <c r="A1195" s="4" t="s">
        <v>1820</v>
      </c>
      <c r="B1195" s="5">
        <v>45715</v>
      </c>
      <c r="C1195" s="4" t="s">
        <v>1821</v>
      </c>
      <c r="D1195" s="4" t="s">
        <v>377</v>
      </c>
      <c r="E1195" s="4" t="s">
        <v>54</v>
      </c>
      <c r="F1195" s="4" t="s">
        <v>55</v>
      </c>
      <c r="G1195" s="4" t="s">
        <v>35</v>
      </c>
      <c r="H1195" s="4" t="s">
        <v>80</v>
      </c>
      <c r="I1195" s="6">
        <v>7</v>
      </c>
      <c r="J1195" s="6">
        <v>29694</v>
      </c>
      <c r="K1195" s="6">
        <v>22508.83</v>
      </c>
      <c r="L1195" s="6">
        <v>7185.17</v>
      </c>
    </row>
    <row r="1196" spans="1:12" x14ac:dyDescent="0.3">
      <c r="A1196" s="4" t="s">
        <v>1822</v>
      </c>
      <c r="B1196" s="5">
        <v>45796</v>
      </c>
      <c r="C1196" s="4" t="s">
        <v>92</v>
      </c>
      <c r="D1196" s="4" t="s">
        <v>78</v>
      </c>
      <c r="E1196" s="4" t="s">
        <v>29</v>
      </c>
      <c r="F1196" s="4" t="s">
        <v>49</v>
      </c>
      <c r="G1196" s="4" t="s">
        <v>35</v>
      </c>
      <c r="H1196" s="4" t="s">
        <v>36</v>
      </c>
      <c r="I1196" s="6">
        <v>9</v>
      </c>
      <c r="J1196" s="6">
        <v>39348</v>
      </c>
      <c r="K1196" s="6">
        <v>28000.99</v>
      </c>
      <c r="L1196" s="6">
        <v>11347.01</v>
      </c>
    </row>
    <row r="1197" spans="1:12" x14ac:dyDescent="0.3">
      <c r="A1197" s="4" t="s">
        <v>1823</v>
      </c>
      <c r="B1197" s="5">
        <v>46002</v>
      </c>
      <c r="C1197" s="4" t="s">
        <v>101</v>
      </c>
      <c r="D1197" s="4" t="s">
        <v>14</v>
      </c>
      <c r="E1197" s="4" t="s">
        <v>29</v>
      </c>
      <c r="F1197" s="4" t="s">
        <v>49</v>
      </c>
      <c r="G1197" s="4" t="s">
        <v>24</v>
      </c>
      <c r="H1197" s="4" t="s">
        <v>50</v>
      </c>
      <c r="I1197" s="6">
        <v>10</v>
      </c>
      <c r="J1197" s="6">
        <v>37550</v>
      </c>
      <c r="K1197" s="6">
        <v>26588.55</v>
      </c>
      <c r="L1197" s="6">
        <v>10961.45</v>
      </c>
    </row>
    <row r="1198" spans="1:12" x14ac:dyDescent="0.3">
      <c r="A1198" s="4" t="s">
        <v>1824</v>
      </c>
      <c r="B1198" s="5">
        <v>45777</v>
      </c>
      <c r="C1198" s="4" t="s">
        <v>1069</v>
      </c>
      <c r="D1198" s="4" t="s">
        <v>602</v>
      </c>
      <c r="E1198" s="4" t="s">
        <v>29</v>
      </c>
      <c r="F1198" s="4" t="s">
        <v>49</v>
      </c>
      <c r="G1198" s="4" t="s">
        <v>24</v>
      </c>
      <c r="H1198" s="4" t="s">
        <v>25</v>
      </c>
      <c r="I1198" s="6">
        <v>4</v>
      </c>
      <c r="J1198" s="6">
        <v>1760</v>
      </c>
      <c r="K1198" s="6">
        <v>1159.3499999999999</v>
      </c>
      <c r="L1198" s="6">
        <v>600.65</v>
      </c>
    </row>
    <row r="1199" spans="1:12" x14ac:dyDescent="0.3">
      <c r="A1199" s="4" t="s">
        <v>1825</v>
      </c>
      <c r="B1199" s="5">
        <v>45856</v>
      </c>
      <c r="C1199" s="4" t="s">
        <v>818</v>
      </c>
      <c r="D1199" s="4" t="s">
        <v>703</v>
      </c>
      <c r="E1199" s="4" t="s">
        <v>15</v>
      </c>
      <c r="F1199" s="4" t="s">
        <v>63</v>
      </c>
      <c r="G1199" s="4" t="s">
        <v>40</v>
      </c>
      <c r="H1199" s="4" t="s">
        <v>41</v>
      </c>
      <c r="I1199" s="6">
        <v>3</v>
      </c>
      <c r="J1199" s="6">
        <v>8142</v>
      </c>
      <c r="K1199" s="6">
        <v>5602.64</v>
      </c>
      <c r="L1199" s="6">
        <v>2539.36</v>
      </c>
    </row>
    <row r="1200" spans="1:12" x14ac:dyDescent="0.3">
      <c r="A1200" s="4" t="s">
        <v>1826</v>
      </c>
      <c r="B1200" s="5">
        <v>46012</v>
      </c>
      <c r="C1200" s="4" t="s">
        <v>364</v>
      </c>
      <c r="D1200" s="4" t="s">
        <v>894</v>
      </c>
      <c r="E1200" s="4" t="s">
        <v>29</v>
      </c>
      <c r="F1200" s="4" t="s">
        <v>102</v>
      </c>
      <c r="G1200" s="4" t="s">
        <v>24</v>
      </c>
      <c r="H1200" s="4" t="s">
        <v>25</v>
      </c>
      <c r="I1200" s="6">
        <v>3</v>
      </c>
      <c r="J1200" s="6">
        <v>3780</v>
      </c>
      <c r="K1200" s="6">
        <v>3169.97</v>
      </c>
      <c r="L1200" s="6">
        <v>610.03</v>
      </c>
    </row>
    <row r="1201" spans="1:12" x14ac:dyDescent="0.3">
      <c r="A1201" s="4" t="s">
        <v>1827</v>
      </c>
      <c r="B1201" s="5">
        <v>45970</v>
      </c>
      <c r="C1201" s="4" t="s">
        <v>951</v>
      </c>
      <c r="D1201" s="4" t="s">
        <v>681</v>
      </c>
      <c r="E1201" s="4" t="s">
        <v>15</v>
      </c>
      <c r="F1201" s="4" t="s">
        <v>90</v>
      </c>
      <c r="G1201" s="4" t="s">
        <v>35</v>
      </c>
      <c r="H1201" s="4" t="s">
        <v>36</v>
      </c>
      <c r="I1201" s="6">
        <v>6</v>
      </c>
      <c r="J1201" s="6">
        <v>4458</v>
      </c>
      <c r="K1201" s="6">
        <v>3389.95</v>
      </c>
      <c r="L1201" s="6">
        <v>1068.05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D3DD-2BD1-403C-B7D9-CBF33175FD89}">
  <dimension ref="A1:O1201"/>
  <sheetViews>
    <sheetView workbookViewId="0">
      <selection activeCell="D23" sqref="D23"/>
    </sheetView>
  </sheetViews>
  <sheetFormatPr defaultRowHeight="14.4" x14ac:dyDescent="0.3"/>
  <cols>
    <col min="1" max="1" width="9.88671875" style="2" customWidth="1"/>
    <col min="2" max="2" width="12" style="1" customWidth="1"/>
    <col min="3" max="3" width="13.21875" style="2" customWidth="1"/>
    <col min="4" max="4" width="16.44140625" style="2" customWidth="1"/>
    <col min="5" max="5" width="8.6640625" style="2" customWidth="1"/>
    <col min="6" max="6" width="11.44140625" style="2" bestFit="1" customWidth="1"/>
    <col min="7" max="7" width="17.5546875" style="2" customWidth="1"/>
    <col min="8" max="8" width="15" style="2" customWidth="1"/>
    <col min="9" max="12" width="10.33203125" style="3" customWidth="1"/>
    <col min="13" max="13" width="13.6640625" style="9" customWidth="1"/>
    <col min="16" max="16" width="14.33203125" customWidth="1"/>
  </cols>
  <sheetData>
    <row r="1" spans="1:15" x14ac:dyDescent="0.3">
      <c r="A1" s="2" t="s">
        <v>0</v>
      </c>
      <c r="B1" s="1" t="s">
        <v>1</v>
      </c>
      <c r="C1" s="2" t="s">
        <v>2</v>
      </c>
      <c r="D1" s="2" t="s">
        <v>3</v>
      </c>
      <c r="E1" s="2" t="s">
        <v>4</v>
      </c>
      <c r="F1" s="2" t="s">
        <v>5</v>
      </c>
      <c r="G1" s="2" t="s">
        <v>6</v>
      </c>
      <c r="H1" s="2" t="s">
        <v>7</v>
      </c>
      <c r="I1" s="3" t="s">
        <v>8</v>
      </c>
      <c r="J1" s="3" t="s">
        <v>9</v>
      </c>
      <c r="K1" s="3" t="s">
        <v>10</v>
      </c>
      <c r="L1" s="3" t="s">
        <v>11</v>
      </c>
      <c r="M1" s="9" t="s">
        <v>1832</v>
      </c>
      <c r="N1" s="3" t="s">
        <v>1833</v>
      </c>
      <c r="O1" t="s">
        <v>1834</v>
      </c>
    </row>
    <row r="2" spans="1:15" x14ac:dyDescent="0.3">
      <c r="A2" s="4" t="s">
        <v>12</v>
      </c>
      <c r="B2" s="5">
        <v>45396</v>
      </c>
      <c r="C2" s="4" t="s">
        <v>13</v>
      </c>
      <c r="D2" s="4" t="s">
        <v>14</v>
      </c>
      <c r="E2" s="4" t="s">
        <v>15</v>
      </c>
      <c r="F2" s="4" t="s">
        <v>16</v>
      </c>
      <c r="G2" s="4" t="s">
        <v>17</v>
      </c>
      <c r="H2" s="4" t="s">
        <v>18</v>
      </c>
      <c r="I2" s="6">
        <v>5</v>
      </c>
      <c r="J2" s="6">
        <v>11530</v>
      </c>
      <c r="K2" s="6">
        <v>7113.59</v>
      </c>
      <c r="L2" s="6">
        <v>4416.41</v>
      </c>
      <c r="M2" s="10">
        <f>Table13[[#This Row],[Profit]]/Table13[[#This Row],[Sales]]</f>
        <v>0.38303642671292282</v>
      </c>
      <c r="N2" s="7" t="str">
        <f>TEXT(Table13[[#This Row],[Order Date]],"mmm")</f>
        <v>Apr</v>
      </c>
      <c r="O2" s="6">
        <f>YEAR(Table13[[#This Row],[Order Date]])</f>
        <v>2024</v>
      </c>
    </row>
    <row r="3" spans="1:15" x14ac:dyDescent="0.3">
      <c r="A3" s="4" t="s">
        <v>19</v>
      </c>
      <c r="B3" s="5">
        <v>45908</v>
      </c>
      <c r="C3" s="4" t="s">
        <v>20</v>
      </c>
      <c r="D3" s="4" t="s">
        <v>21</v>
      </c>
      <c r="E3" s="4" t="s">
        <v>22</v>
      </c>
      <c r="F3" s="4" t="s">
        <v>23</v>
      </c>
      <c r="G3" s="4" t="s">
        <v>24</v>
      </c>
      <c r="H3" s="4" t="s">
        <v>25</v>
      </c>
      <c r="I3" s="6">
        <v>2</v>
      </c>
      <c r="J3" s="6">
        <v>4182</v>
      </c>
      <c r="K3" s="6">
        <v>2592</v>
      </c>
      <c r="L3" s="6">
        <v>1590</v>
      </c>
      <c r="M3" s="11">
        <f>Table13[[#This Row],[Profit]]/Table13[[#This Row],[Sales]]</f>
        <v>0.38020086083213772</v>
      </c>
      <c r="N3" s="6" t="str">
        <f>TEXT(Table13[[#This Row],[Order Date]],"mmm")</f>
        <v>Sep</v>
      </c>
      <c r="O3" s="6">
        <f>YEAR(Table13[[#This Row],[Order Date]])</f>
        <v>2025</v>
      </c>
    </row>
    <row r="4" spans="1:15" x14ac:dyDescent="0.3">
      <c r="A4" s="4" t="s">
        <v>26</v>
      </c>
      <c r="B4" s="5">
        <v>45895</v>
      </c>
      <c r="C4" s="4" t="s">
        <v>27</v>
      </c>
      <c r="D4" s="4" t="s">
        <v>28</v>
      </c>
      <c r="E4" s="4" t="s">
        <v>29</v>
      </c>
      <c r="F4" s="4" t="s">
        <v>30</v>
      </c>
      <c r="G4" s="4" t="s">
        <v>17</v>
      </c>
      <c r="H4" s="4" t="s">
        <v>31</v>
      </c>
      <c r="I4" s="6">
        <v>9</v>
      </c>
      <c r="J4" s="6">
        <v>33624</v>
      </c>
      <c r="K4" s="6">
        <v>20716.830000000002</v>
      </c>
      <c r="L4" s="6">
        <v>12907.17</v>
      </c>
      <c r="M4" s="11">
        <f>Table13[[#This Row],[Profit]]/Table13[[#This Row],[Sales]]</f>
        <v>0.38386777301927194</v>
      </c>
      <c r="N4" s="6" t="str">
        <f>TEXT(Table13[[#This Row],[Order Date]],"mmm")</f>
        <v>Aug</v>
      </c>
      <c r="O4" s="6">
        <f>YEAR(Table13[[#This Row],[Order Date]])</f>
        <v>2025</v>
      </c>
    </row>
    <row r="5" spans="1:15" x14ac:dyDescent="0.3">
      <c r="A5" s="4" t="s">
        <v>32</v>
      </c>
      <c r="B5" s="5">
        <v>45636</v>
      </c>
      <c r="C5" s="4" t="s">
        <v>33</v>
      </c>
      <c r="D5" s="4" t="s">
        <v>34</v>
      </c>
      <c r="E5" s="4" t="s">
        <v>29</v>
      </c>
      <c r="F5" s="4" t="s">
        <v>30</v>
      </c>
      <c r="G5" s="4" t="s">
        <v>35</v>
      </c>
      <c r="H5" s="4" t="s">
        <v>36</v>
      </c>
      <c r="I5" s="6">
        <v>6</v>
      </c>
      <c r="J5" s="6">
        <v>15456</v>
      </c>
      <c r="K5" s="6">
        <v>9221.73</v>
      </c>
      <c r="L5" s="6">
        <v>6234.27</v>
      </c>
      <c r="M5" s="11">
        <f>Table13[[#This Row],[Profit]]/Table13[[#This Row],[Sales]]</f>
        <v>0.40335597826086961</v>
      </c>
      <c r="N5" s="6" t="str">
        <f>TEXT(Table13[[#This Row],[Order Date]],"mmm")</f>
        <v>Dec</v>
      </c>
      <c r="O5" s="6">
        <f>YEAR(Table13[[#This Row],[Order Date]])</f>
        <v>2024</v>
      </c>
    </row>
    <row r="6" spans="1:15" x14ac:dyDescent="0.3">
      <c r="A6" s="4" t="s">
        <v>37</v>
      </c>
      <c r="B6" s="5">
        <v>45762</v>
      </c>
      <c r="C6" s="4" t="s">
        <v>38</v>
      </c>
      <c r="D6" s="4" t="s">
        <v>39</v>
      </c>
      <c r="E6" s="4" t="s">
        <v>22</v>
      </c>
      <c r="F6" s="4" t="s">
        <v>23</v>
      </c>
      <c r="G6" s="4" t="s">
        <v>40</v>
      </c>
      <c r="H6" s="4" t="s">
        <v>41</v>
      </c>
      <c r="I6" s="6">
        <v>6</v>
      </c>
      <c r="J6" s="6">
        <v>14796</v>
      </c>
      <c r="K6" s="6">
        <v>11720.48</v>
      </c>
      <c r="L6" s="6">
        <v>3075.52</v>
      </c>
      <c r="M6" s="11">
        <f>Table13[[#This Row],[Profit]]/Table13[[#This Row],[Sales]]</f>
        <v>0.20786158421194917</v>
      </c>
      <c r="N6" s="6" t="str">
        <f>TEXT(Table13[[#This Row],[Order Date]],"mmm")</f>
        <v>Apr</v>
      </c>
      <c r="O6" s="6">
        <f>YEAR(Table13[[#This Row],[Order Date]])</f>
        <v>2025</v>
      </c>
    </row>
    <row r="7" spans="1:15" x14ac:dyDescent="0.3">
      <c r="A7" s="4" t="s">
        <v>42</v>
      </c>
      <c r="B7" s="5">
        <v>46013</v>
      </c>
      <c r="C7" s="4" t="s">
        <v>43</v>
      </c>
      <c r="D7" s="4" t="s">
        <v>44</v>
      </c>
      <c r="E7" s="4" t="s">
        <v>22</v>
      </c>
      <c r="F7" s="4" t="s">
        <v>23</v>
      </c>
      <c r="G7" s="4" t="s">
        <v>35</v>
      </c>
      <c r="H7" s="4" t="s">
        <v>45</v>
      </c>
      <c r="I7" s="6">
        <v>5</v>
      </c>
      <c r="J7" s="6">
        <v>16310</v>
      </c>
      <c r="K7" s="6">
        <v>11795.48</v>
      </c>
      <c r="L7" s="6">
        <v>4514.5200000000004</v>
      </c>
      <c r="M7" s="11">
        <f>Table13[[#This Row],[Profit]]/Table13[[#This Row],[Sales]]</f>
        <v>0.27679460453709381</v>
      </c>
      <c r="N7" s="6" t="str">
        <f>TEXT(Table13[[#This Row],[Order Date]],"mmm")</f>
        <v>Dec</v>
      </c>
      <c r="O7" s="6">
        <f>YEAR(Table13[[#This Row],[Order Date]])</f>
        <v>2025</v>
      </c>
    </row>
    <row r="8" spans="1:15" x14ac:dyDescent="0.3">
      <c r="A8" s="4" t="s">
        <v>46</v>
      </c>
      <c r="B8" s="5">
        <v>45756</v>
      </c>
      <c r="C8" s="4" t="s">
        <v>47</v>
      </c>
      <c r="D8" s="4" t="s">
        <v>48</v>
      </c>
      <c r="E8" s="4" t="s">
        <v>29</v>
      </c>
      <c r="F8" s="4" t="s">
        <v>49</v>
      </c>
      <c r="G8" s="4" t="s">
        <v>24</v>
      </c>
      <c r="H8" s="4" t="s">
        <v>50</v>
      </c>
      <c r="I8" s="6">
        <v>4</v>
      </c>
      <c r="J8" s="6">
        <v>4508</v>
      </c>
      <c r="K8" s="6">
        <v>2993.48</v>
      </c>
      <c r="L8" s="6">
        <v>1514.52</v>
      </c>
      <c r="M8" s="11">
        <f>Table13[[#This Row],[Profit]]/Table13[[#This Row],[Sales]]</f>
        <v>0.33596273291925466</v>
      </c>
      <c r="N8" s="6" t="str">
        <f>TEXT(Table13[[#This Row],[Order Date]],"mmm")</f>
        <v>Apr</v>
      </c>
      <c r="O8" s="6">
        <f>YEAR(Table13[[#This Row],[Order Date]])</f>
        <v>2025</v>
      </c>
    </row>
    <row r="9" spans="1:15" x14ac:dyDescent="0.3">
      <c r="A9" s="4" t="s">
        <v>51</v>
      </c>
      <c r="B9" s="5">
        <v>45467</v>
      </c>
      <c r="C9" s="4" t="s">
        <v>52</v>
      </c>
      <c r="D9" s="4" t="s">
        <v>53</v>
      </c>
      <c r="E9" s="4" t="s">
        <v>54</v>
      </c>
      <c r="F9" s="4" t="s">
        <v>55</v>
      </c>
      <c r="G9" s="4" t="s">
        <v>40</v>
      </c>
      <c r="H9" s="4" t="s">
        <v>56</v>
      </c>
      <c r="I9" s="6">
        <v>5</v>
      </c>
      <c r="J9" s="6">
        <v>4420</v>
      </c>
      <c r="K9" s="6">
        <v>3238.71</v>
      </c>
      <c r="L9" s="6">
        <v>1181.29</v>
      </c>
      <c r="M9" s="11">
        <f>Table13[[#This Row],[Profit]]/Table13[[#This Row],[Sales]]</f>
        <v>0.26726018099547511</v>
      </c>
      <c r="N9" s="6" t="str">
        <f>TEXT(Table13[[#This Row],[Order Date]],"mmm")</f>
        <v>Jun</v>
      </c>
      <c r="O9" s="6">
        <f>YEAR(Table13[[#This Row],[Order Date]])</f>
        <v>2024</v>
      </c>
    </row>
    <row r="10" spans="1:15" x14ac:dyDescent="0.3">
      <c r="A10" s="4" t="s">
        <v>57</v>
      </c>
      <c r="B10" s="5">
        <v>45624</v>
      </c>
      <c r="C10" s="4" t="s">
        <v>58</v>
      </c>
      <c r="D10" s="4" t="s">
        <v>59</v>
      </c>
      <c r="E10" s="4" t="s">
        <v>29</v>
      </c>
      <c r="F10" s="4" t="s">
        <v>49</v>
      </c>
      <c r="G10" s="4" t="s">
        <v>35</v>
      </c>
      <c r="H10" s="4" t="s">
        <v>36</v>
      </c>
      <c r="I10" s="6">
        <v>5</v>
      </c>
      <c r="J10" s="6">
        <v>24310</v>
      </c>
      <c r="K10" s="6">
        <v>14972.15</v>
      </c>
      <c r="L10" s="6">
        <v>9337.85</v>
      </c>
      <c r="M10" s="11">
        <f>Table13[[#This Row],[Profit]]/Table13[[#This Row],[Sales]]</f>
        <v>0.38411559029206088</v>
      </c>
      <c r="N10" s="6" t="str">
        <f>TEXT(Table13[[#This Row],[Order Date]],"mmm")</f>
        <v>Nov</v>
      </c>
      <c r="O10" s="6">
        <f>YEAR(Table13[[#This Row],[Order Date]])</f>
        <v>2024</v>
      </c>
    </row>
    <row r="11" spans="1:15" x14ac:dyDescent="0.3">
      <c r="A11" s="4" t="s">
        <v>60</v>
      </c>
      <c r="B11" s="5">
        <v>45872</v>
      </c>
      <c r="C11" s="4" t="s">
        <v>61</v>
      </c>
      <c r="D11" s="4" t="s">
        <v>62</v>
      </c>
      <c r="E11" s="4" t="s">
        <v>15</v>
      </c>
      <c r="F11" s="4" t="s">
        <v>63</v>
      </c>
      <c r="G11" s="4" t="s">
        <v>35</v>
      </c>
      <c r="H11" s="4" t="s">
        <v>36</v>
      </c>
      <c r="I11" s="6">
        <v>5</v>
      </c>
      <c r="J11" s="6">
        <v>4210</v>
      </c>
      <c r="K11" s="6">
        <v>2581.9699999999998</v>
      </c>
      <c r="L11" s="6">
        <v>1628.03</v>
      </c>
      <c r="M11" s="11">
        <f>Table13[[#This Row],[Profit]]/Table13[[#This Row],[Sales]]</f>
        <v>0.38670546318289784</v>
      </c>
      <c r="N11" s="6" t="str">
        <f>TEXT(Table13[[#This Row],[Order Date]],"mmm")</f>
        <v>Aug</v>
      </c>
      <c r="O11" s="6">
        <f>YEAR(Table13[[#This Row],[Order Date]])</f>
        <v>2025</v>
      </c>
    </row>
    <row r="12" spans="1:15" x14ac:dyDescent="0.3">
      <c r="A12" s="4" t="s">
        <v>64</v>
      </c>
      <c r="B12" s="5">
        <v>45544</v>
      </c>
      <c r="C12" s="4" t="s">
        <v>65</v>
      </c>
      <c r="D12" s="4" t="s">
        <v>66</v>
      </c>
      <c r="E12" s="4" t="s">
        <v>22</v>
      </c>
      <c r="F12" s="4" t="s">
        <v>67</v>
      </c>
      <c r="G12" s="4" t="s">
        <v>17</v>
      </c>
      <c r="H12" s="4" t="s">
        <v>31</v>
      </c>
      <c r="I12" s="6">
        <v>8</v>
      </c>
      <c r="J12" s="6">
        <v>11760</v>
      </c>
      <c r="K12" s="6">
        <v>7402.5</v>
      </c>
      <c r="L12" s="6">
        <v>4357.5</v>
      </c>
      <c r="M12" s="11">
        <f>Table13[[#This Row],[Profit]]/Table13[[#This Row],[Sales]]</f>
        <v>0.3705357142857143</v>
      </c>
      <c r="N12" s="6" t="str">
        <f>TEXT(Table13[[#This Row],[Order Date]],"mmm")</f>
        <v>Sep</v>
      </c>
      <c r="O12" s="6">
        <f>YEAR(Table13[[#This Row],[Order Date]])</f>
        <v>2024</v>
      </c>
    </row>
    <row r="13" spans="1:15" x14ac:dyDescent="0.3">
      <c r="A13" s="4" t="s">
        <v>68</v>
      </c>
      <c r="B13" s="5">
        <v>45433</v>
      </c>
      <c r="C13" s="4" t="s">
        <v>69</v>
      </c>
      <c r="D13" s="4" t="s">
        <v>70</v>
      </c>
      <c r="E13" s="4" t="s">
        <v>54</v>
      </c>
      <c r="F13" s="4" t="s">
        <v>71</v>
      </c>
      <c r="G13" s="4" t="s">
        <v>17</v>
      </c>
      <c r="H13" s="4" t="s">
        <v>72</v>
      </c>
      <c r="I13" s="6">
        <v>7</v>
      </c>
      <c r="J13" s="6">
        <v>24997</v>
      </c>
      <c r="K13" s="6">
        <v>16463</v>
      </c>
      <c r="L13" s="6">
        <v>8534</v>
      </c>
      <c r="M13" s="11">
        <f>Table13[[#This Row],[Profit]]/Table13[[#This Row],[Sales]]</f>
        <v>0.34140096811617393</v>
      </c>
      <c r="N13" s="6" t="str">
        <f>TEXT(Table13[[#This Row],[Order Date]],"mmm")</f>
        <v>May</v>
      </c>
      <c r="O13" s="6">
        <f>YEAR(Table13[[#This Row],[Order Date]])</f>
        <v>2024</v>
      </c>
    </row>
    <row r="14" spans="1:15" x14ac:dyDescent="0.3">
      <c r="A14" s="4" t="s">
        <v>73</v>
      </c>
      <c r="B14" s="5">
        <v>45724</v>
      </c>
      <c r="C14" s="4" t="s">
        <v>74</v>
      </c>
      <c r="D14" s="4" t="s">
        <v>75</v>
      </c>
      <c r="E14" s="4" t="s">
        <v>15</v>
      </c>
      <c r="F14" s="4" t="s">
        <v>16</v>
      </c>
      <c r="G14" s="4" t="s">
        <v>24</v>
      </c>
      <c r="H14" s="4" t="s">
        <v>50</v>
      </c>
      <c r="I14" s="6">
        <v>3</v>
      </c>
      <c r="J14" s="6">
        <v>4830</v>
      </c>
      <c r="K14" s="6">
        <v>3804.22</v>
      </c>
      <c r="L14" s="6">
        <v>1025.78</v>
      </c>
      <c r="M14" s="11">
        <f>Table13[[#This Row],[Profit]]/Table13[[#This Row],[Sales]]</f>
        <v>0.21237681159420288</v>
      </c>
      <c r="N14" s="6" t="str">
        <f>TEXT(Table13[[#This Row],[Order Date]],"mmm")</f>
        <v>Mar</v>
      </c>
      <c r="O14" s="6">
        <f>YEAR(Table13[[#This Row],[Order Date]])</f>
        <v>2025</v>
      </c>
    </row>
    <row r="15" spans="1:15" x14ac:dyDescent="0.3">
      <c r="A15" s="4" t="s">
        <v>76</v>
      </c>
      <c r="B15" s="5">
        <v>45303</v>
      </c>
      <c r="C15" s="4" t="s">
        <v>77</v>
      </c>
      <c r="D15" s="4" t="s">
        <v>78</v>
      </c>
      <c r="E15" s="4" t="s">
        <v>22</v>
      </c>
      <c r="F15" s="4" t="s">
        <v>79</v>
      </c>
      <c r="G15" s="4" t="s">
        <v>35</v>
      </c>
      <c r="H15" s="4" t="s">
        <v>80</v>
      </c>
      <c r="I15" s="6">
        <v>9</v>
      </c>
      <c r="J15" s="6">
        <v>21231</v>
      </c>
      <c r="K15" s="6">
        <v>17862.14</v>
      </c>
      <c r="L15" s="6">
        <v>3368.86</v>
      </c>
      <c r="M15" s="11">
        <f>Table13[[#This Row],[Profit]]/Table13[[#This Row],[Sales]]</f>
        <v>0.15867646366162688</v>
      </c>
      <c r="N15" s="6" t="str">
        <f>TEXT(Table13[[#This Row],[Order Date]],"mmm")</f>
        <v>Jan</v>
      </c>
      <c r="O15" s="6">
        <f>YEAR(Table13[[#This Row],[Order Date]])</f>
        <v>2024</v>
      </c>
    </row>
    <row r="16" spans="1:15" x14ac:dyDescent="0.3">
      <c r="A16" s="4" t="s">
        <v>81</v>
      </c>
      <c r="B16" s="5">
        <v>45756</v>
      </c>
      <c r="C16" s="4" t="s">
        <v>82</v>
      </c>
      <c r="D16" s="4" t="s">
        <v>83</v>
      </c>
      <c r="E16" s="4" t="s">
        <v>54</v>
      </c>
      <c r="F16" s="4" t="s">
        <v>71</v>
      </c>
      <c r="G16" s="4" t="s">
        <v>40</v>
      </c>
      <c r="H16" s="4" t="s">
        <v>41</v>
      </c>
      <c r="I16" s="6">
        <v>2</v>
      </c>
      <c r="J16" s="6">
        <v>5408</v>
      </c>
      <c r="K16" s="6">
        <v>3679.76</v>
      </c>
      <c r="L16" s="6">
        <v>1728.24</v>
      </c>
      <c r="M16" s="11">
        <f>Table13[[#This Row],[Profit]]/Table13[[#This Row],[Sales]]</f>
        <v>0.31957100591715976</v>
      </c>
      <c r="N16" s="6" t="str">
        <f>TEXT(Table13[[#This Row],[Order Date]],"mmm")</f>
        <v>Apr</v>
      </c>
      <c r="O16" s="6">
        <f>YEAR(Table13[[#This Row],[Order Date]])</f>
        <v>2025</v>
      </c>
    </row>
    <row r="17" spans="1:15" x14ac:dyDescent="0.3">
      <c r="A17" s="4" t="s">
        <v>84</v>
      </c>
      <c r="B17" s="5">
        <v>45448</v>
      </c>
      <c r="C17" s="4" t="s">
        <v>85</v>
      </c>
      <c r="D17" s="4" t="s">
        <v>86</v>
      </c>
      <c r="E17" s="4" t="s">
        <v>29</v>
      </c>
      <c r="F17" s="4" t="s">
        <v>30</v>
      </c>
      <c r="G17" s="4" t="s">
        <v>24</v>
      </c>
      <c r="H17" s="4" t="s">
        <v>50</v>
      </c>
      <c r="I17" s="6">
        <v>5</v>
      </c>
      <c r="J17" s="6">
        <v>22290</v>
      </c>
      <c r="K17" s="6">
        <v>16331.68</v>
      </c>
      <c r="L17" s="6">
        <v>5958.32</v>
      </c>
      <c r="M17" s="11">
        <f>Table13[[#This Row],[Profit]]/Table13[[#This Row],[Sales]]</f>
        <v>0.26730910722296991</v>
      </c>
      <c r="N17" s="6" t="str">
        <f>TEXT(Table13[[#This Row],[Order Date]],"mmm")</f>
        <v>Jun</v>
      </c>
      <c r="O17" s="6">
        <f>YEAR(Table13[[#This Row],[Order Date]])</f>
        <v>2024</v>
      </c>
    </row>
    <row r="18" spans="1:15" x14ac:dyDescent="0.3">
      <c r="A18" s="4" t="s">
        <v>87</v>
      </c>
      <c r="B18" s="5">
        <v>45663</v>
      </c>
      <c r="C18" s="4" t="s">
        <v>88</v>
      </c>
      <c r="D18" s="4" t="s">
        <v>89</v>
      </c>
      <c r="E18" s="4" t="s">
        <v>15</v>
      </c>
      <c r="F18" s="4" t="s">
        <v>90</v>
      </c>
      <c r="G18" s="4" t="s">
        <v>40</v>
      </c>
      <c r="H18" s="4" t="s">
        <v>41</v>
      </c>
      <c r="I18" s="6">
        <v>8</v>
      </c>
      <c r="J18" s="6">
        <v>3672</v>
      </c>
      <c r="K18" s="6">
        <v>2142.83</v>
      </c>
      <c r="L18" s="6">
        <v>1529.17</v>
      </c>
      <c r="M18" s="11">
        <f>Table13[[#This Row],[Profit]]/Table13[[#This Row],[Sales]]</f>
        <v>0.41644063180827889</v>
      </c>
      <c r="N18" s="6" t="str">
        <f>TEXT(Table13[[#This Row],[Order Date]],"mmm")</f>
        <v>Jan</v>
      </c>
      <c r="O18" s="6">
        <f>YEAR(Table13[[#This Row],[Order Date]])</f>
        <v>2025</v>
      </c>
    </row>
    <row r="19" spans="1:15" x14ac:dyDescent="0.3">
      <c r="A19" s="4" t="s">
        <v>91</v>
      </c>
      <c r="B19" s="5">
        <v>45362</v>
      </c>
      <c r="C19" s="4" t="s">
        <v>92</v>
      </c>
      <c r="D19" s="4" t="s">
        <v>93</v>
      </c>
      <c r="E19" s="4" t="s">
        <v>15</v>
      </c>
      <c r="F19" s="4" t="s">
        <v>16</v>
      </c>
      <c r="G19" s="4" t="s">
        <v>17</v>
      </c>
      <c r="H19" s="4" t="s">
        <v>72</v>
      </c>
      <c r="I19" s="6">
        <v>2</v>
      </c>
      <c r="J19" s="6">
        <v>2002</v>
      </c>
      <c r="K19" s="6">
        <v>1540.68</v>
      </c>
      <c r="L19" s="6">
        <v>461.32</v>
      </c>
      <c r="M19" s="11">
        <f>Table13[[#This Row],[Profit]]/Table13[[#This Row],[Sales]]</f>
        <v>0.23042957042957044</v>
      </c>
      <c r="N19" s="6" t="str">
        <f>TEXT(Table13[[#This Row],[Order Date]],"mmm")</f>
        <v>Mar</v>
      </c>
      <c r="O19" s="6">
        <f>YEAR(Table13[[#This Row],[Order Date]])</f>
        <v>2024</v>
      </c>
    </row>
    <row r="20" spans="1:15" x14ac:dyDescent="0.3">
      <c r="A20" s="4" t="s">
        <v>94</v>
      </c>
      <c r="B20" s="5">
        <v>45913</v>
      </c>
      <c r="C20" s="4" t="s">
        <v>95</v>
      </c>
      <c r="D20" s="4" t="s">
        <v>62</v>
      </c>
      <c r="E20" s="4" t="s">
        <v>29</v>
      </c>
      <c r="F20" s="4" t="s">
        <v>30</v>
      </c>
      <c r="G20" s="4" t="s">
        <v>35</v>
      </c>
      <c r="H20" s="4" t="s">
        <v>80</v>
      </c>
      <c r="I20" s="6">
        <v>9</v>
      </c>
      <c r="J20" s="6">
        <v>14868</v>
      </c>
      <c r="K20" s="6">
        <v>9359.66</v>
      </c>
      <c r="L20" s="6">
        <v>5508.34</v>
      </c>
      <c r="M20" s="11">
        <f>Table13[[#This Row],[Profit]]/Table13[[#This Row],[Sales]]</f>
        <v>0.37048291633037395</v>
      </c>
      <c r="N20" s="6" t="str">
        <f>TEXT(Table13[[#This Row],[Order Date]],"mmm")</f>
        <v>Sep</v>
      </c>
      <c r="O20" s="6">
        <f>YEAR(Table13[[#This Row],[Order Date]])</f>
        <v>2025</v>
      </c>
    </row>
    <row r="21" spans="1:15" x14ac:dyDescent="0.3">
      <c r="A21" s="4" t="s">
        <v>96</v>
      </c>
      <c r="B21" s="5">
        <v>45821</v>
      </c>
      <c r="C21" s="4" t="s">
        <v>97</v>
      </c>
      <c r="D21" s="4" t="s">
        <v>98</v>
      </c>
      <c r="E21" s="4" t="s">
        <v>29</v>
      </c>
      <c r="F21" s="4" t="s">
        <v>30</v>
      </c>
      <c r="G21" s="4" t="s">
        <v>40</v>
      </c>
      <c r="H21" s="4" t="s">
        <v>99</v>
      </c>
      <c r="I21" s="6">
        <v>7</v>
      </c>
      <c r="J21" s="6">
        <v>23513</v>
      </c>
      <c r="K21" s="6">
        <v>16022.46</v>
      </c>
      <c r="L21" s="6">
        <v>7490.54</v>
      </c>
      <c r="M21" s="11">
        <f>Table13[[#This Row],[Profit]]/Table13[[#This Row],[Sales]]</f>
        <v>0.31857015268149536</v>
      </c>
      <c r="N21" s="6" t="str">
        <f>TEXT(Table13[[#This Row],[Order Date]],"mmm")</f>
        <v>Jun</v>
      </c>
      <c r="O21" s="6">
        <f>YEAR(Table13[[#This Row],[Order Date]])</f>
        <v>2025</v>
      </c>
    </row>
    <row r="22" spans="1:15" x14ac:dyDescent="0.3">
      <c r="A22" s="4" t="s">
        <v>100</v>
      </c>
      <c r="B22" s="5">
        <v>45527</v>
      </c>
      <c r="C22" s="4" t="s">
        <v>101</v>
      </c>
      <c r="D22" s="4" t="s">
        <v>28</v>
      </c>
      <c r="E22" s="4" t="s">
        <v>29</v>
      </c>
      <c r="F22" s="4" t="s">
        <v>102</v>
      </c>
      <c r="G22" s="4" t="s">
        <v>24</v>
      </c>
      <c r="H22" s="4" t="s">
        <v>50</v>
      </c>
      <c r="I22" s="6">
        <v>6</v>
      </c>
      <c r="J22" s="6">
        <v>2832</v>
      </c>
      <c r="K22" s="6">
        <v>2057.4299999999998</v>
      </c>
      <c r="L22" s="6">
        <v>774.57</v>
      </c>
      <c r="M22" s="11">
        <f>Table13[[#This Row],[Profit]]/Table13[[#This Row],[Sales]]</f>
        <v>0.2735063559322034</v>
      </c>
      <c r="N22" s="6" t="str">
        <f>TEXT(Table13[[#This Row],[Order Date]],"mmm")</f>
        <v>Aug</v>
      </c>
      <c r="O22" s="6">
        <f>YEAR(Table13[[#This Row],[Order Date]])</f>
        <v>2024</v>
      </c>
    </row>
    <row r="23" spans="1:15" x14ac:dyDescent="0.3">
      <c r="A23" s="4" t="s">
        <v>103</v>
      </c>
      <c r="B23" s="5">
        <v>45324</v>
      </c>
      <c r="C23" s="4" t="s">
        <v>104</v>
      </c>
      <c r="D23" s="4" t="s">
        <v>105</v>
      </c>
      <c r="E23" s="4" t="s">
        <v>15</v>
      </c>
      <c r="F23" s="4" t="s">
        <v>90</v>
      </c>
      <c r="G23" s="4" t="s">
        <v>17</v>
      </c>
      <c r="H23" s="4" t="s">
        <v>31</v>
      </c>
      <c r="I23" s="6">
        <v>1</v>
      </c>
      <c r="J23" s="6">
        <v>2175</v>
      </c>
      <c r="K23" s="6">
        <v>1240.23</v>
      </c>
      <c r="L23" s="6">
        <v>934.77</v>
      </c>
      <c r="M23" s="11">
        <f>Table13[[#This Row],[Profit]]/Table13[[#This Row],[Sales]]</f>
        <v>0.42977931034482758</v>
      </c>
      <c r="N23" s="6" t="str">
        <f>TEXT(Table13[[#This Row],[Order Date]],"mmm")</f>
        <v>Feb</v>
      </c>
      <c r="O23" s="6">
        <f>YEAR(Table13[[#This Row],[Order Date]])</f>
        <v>2024</v>
      </c>
    </row>
    <row r="24" spans="1:15" x14ac:dyDescent="0.3">
      <c r="A24" s="4" t="s">
        <v>106</v>
      </c>
      <c r="B24" s="5">
        <v>45876</v>
      </c>
      <c r="C24" s="4" t="s">
        <v>107</v>
      </c>
      <c r="D24" s="4" t="s">
        <v>108</v>
      </c>
      <c r="E24" s="4" t="s">
        <v>29</v>
      </c>
      <c r="F24" s="4" t="s">
        <v>49</v>
      </c>
      <c r="G24" s="4" t="s">
        <v>17</v>
      </c>
      <c r="H24" s="4" t="s">
        <v>31</v>
      </c>
      <c r="I24" s="6">
        <v>8</v>
      </c>
      <c r="J24" s="6">
        <v>16440</v>
      </c>
      <c r="K24" s="6">
        <v>11701.5</v>
      </c>
      <c r="L24" s="6">
        <v>4738.5</v>
      </c>
      <c r="M24" s="11">
        <f>Table13[[#This Row],[Profit]]/Table13[[#This Row],[Sales]]</f>
        <v>0.28822992700729927</v>
      </c>
      <c r="N24" s="6" t="str">
        <f>TEXT(Table13[[#This Row],[Order Date]],"mmm")</f>
        <v>Aug</v>
      </c>
      <c r="O24" s="6">
        <f>YEAR(Table13[[#This Row],[Order Date]])</f>
        <v>2025</v>
      </c>
    </row>
    <row r="25" spans="1:15" x14ac:dyDescent="0.3">
      <c r="A25" s="4" t="s">
        <v>109</v>
      </c>
      <c r="B25" s="5">
        <v>45733</v>
      </c>
      <c r="C25" s="4" t="s">
        <v>110</v>
      </c>
      <c r="D25" s="4" t="s">
        <v>111</v>
      </c>
      <c r="E25" s="4" t="s">
        <v>29</v>
      </c>
      <c r="F25" s="4" t="s">
        <v>49</v>
      </c>
      <c r="G25" s="4" t="s">
        <v>35</v>
      </c>
      <c r="H25" s="4" t="s">
        <v>36</v>
      </c>
      <c r="I25" s="6">
        <v>4</v>
      </c>
      <c r="J25" s="6">
        <v>4288</v>
      </c>
      <c r="K25" s="6">
        <v>2483.09</v>
      </c>
      <c r="L25" s="6">
        <v>1804.91</v>
      </c>
      <c r="M25" s="11">
        <f>Table13[[#This Row],[Profit]]/Table13[[#This Row],[Sales]]</f>
        <v>0.42092117537313434</v>
      </c>
      <c r="N25" s="6" t="str">
        <f>TEXT(Table13[[#This Row],[Order Date]],"mmm")</f>
        <v>Mar</v>
      </c>
      <c r="O25" s="6">
        <f>YEAR(Table13[[#This Row],[Order Date]])</f>
        <v>2025</v>
      </c>
    </row>
    <row r="26" spans="1:15" x14ac:dyDescent="0.3">
      <c r="A26" s="4" t="s">
        <v>112</v>
      </c>
      <c r="B26" s="5">
        <v>45639</v>
      </c>
      <c r="C26" s="4" t="s">
        <v>113</v>
      </c>
      <c r="D26" s="4" t="s">
        <v>114</v>
      </c>
      <c r="E26" s="4" t="s">
        <v>22</v>
      </c>
      <c r="F26" s="4" t="s">
        <v>67</v>
      </c>
      <c r="G26" s="4" t="s">
        <v>17</v>
      </c>
      <c r="H26" s="4" t="s">
        <v>18</v>
      </c>
      <c r="I26" s="6">
        <v>1</v>
      </c>
      <c r="J26" s="6">
        <v>1106</v>
      </c>
      <c r="K26" s="6">
        <v>628.41</v>
      </c>
      <c r="L26" s="6">
        <v>477.59</v>
      </c>
      <c r="M26" s="11">
        <f>Table13[[#This Row],[Profit]]/Table13[[#This Row],[Sales]]</f>
        <v>0.43181735985533454</v>
      </c>
      <c r="N26" s="6" t="str">
        <f>TEXT(Table13[[#This Row],[Order Date]],"mmm")</f>
        <v>Dec</v>
      </c>
      <c r="O26" s="6">
        <f>YEAR(Table13[[#This Row],[Order Date]])</f>
        <v>2024</v>
      </c>
    </row>
    <row r="27" spans="1:15" x14ac:dyDescent="0.3">
      <c r="A27" s="4" t="s">
        <v>115</v>
      </c>
      <c r="B27" s="5">
        <v>45577</v>
      </c>
      <c r="C27" s="4" t="s">
        <v>116</v>
      </c>
      <c r="D27" s="4" t="s">
        <v>114</v>
      </c>
      <c r="E27" s="4" t="s">
        <v>29</v>
      </c>
      <c r="F27" s="4" t="s">
        <v>102</v>
      </c>
      <c r="G27" s="4" t="s">
        <v>35</v>
      </c>
      <c r="H27" s="4" t="s">
        <v>45</v>
      </c>
      <c r="I27" s="6">
        <v>8</v>
      </c>
      <c r="J27" s="6">
        <v>11584</v>
      </c>
      <c r="K27" s="6">
        <v>7837.32</v>
      </c>
      <c r="L27" s="6">
        <v>3746.68</v>
      </c>
      <c r="M27" s="11">
        <f>Table13[[#This Row],[Profit]]/Table13[[#This Row],[Sales]]</f>
        <v>0.32343577348066299</v>
      </c>
      <c r="N27" s="6" t="str">
        <f>TEXT(Table13[[#This Row],[Order Date]],"mmm")</f>
        <v>Oct</v>
      </c>
      <c r="O27" s="6">
        <f>YEAR(Table13[[#This Row],[Order Date]])</f>
        <v>2024</v>
      </c>
    </row>
    <row r="28" spans="1:15" x14ac:dyDescent="0.3">
      <c r="A28" s="4" t="s">
        <v>117</v>
      </c>
      <c r="B28" s="5">
        <v>45845</v>
      </c>
      <c r="C28" s="4" t="s">
        <v>118</v>
      </c>
      <c r="D28" s="4" t="s">
        <v>34</v>
      </c>
      <c r="E28" s="4" t="s">
        <v>15</v>
      </c>
      <c r="F28" s="4" t="s">
        <v>63</v>
      </c>
      <c r="G28" s="4" t="s">
        <v>35</v>
      </c>
      <c r="H28" s="4" t="s">
        <v>45</v>
      </c>
      <c r="I28" s="6">
        <v>2</v>
      </c>
      <c r="J28" s="6">
        <v>1428</v>
      </c>
      <c r="K28" s="6">
        <v>1064.78</v>
      </c>
      <c r="L28" s="6">
        <v>363.22</v>
      </c>
      <c r="M28" s="11">
        <f>Table13[[#This Row],[Profit]]/Table13[[#This Row],[Sales]]</f>
        <v>0.25435574229691876</v>
      </c>
      <c r="N28" s="6" t="str">
        <f>TEXT(Table13[[#This Row],[Order Date]],"mmm")</f>
        <v>Jul</v>
      </c>
      <c r="O28" s="6">
        <f>YEAR(Table13[[#This Row],[Order Date]])</f>
        <v>2025</v>
      </c>
    </row>
    <row r="29" spans="1:15" x14ac:dyDescent="0.3">
      <c r="A29" s="4" t="s">
        <v>119</v>
      </c>
      <c r="B29" s="5">
        <v>45702</v>
      </c>
      <c r="C29" s="4" t="s">
        <v>120</v>
      </c>
      <c r="D29" s="4" t="s">
        <v>121</v>
      </c>
      <c r="E29" s="4" t="s">
        <v>29</v>
      </c>
      <c r="F29" s="4" t="s">
        <v>102</v>
      </c>
      <c r="G29" s="4" t="s">
        <v>35</v>
      </c>
      <c r="H29" s="4" t="s">
        <v>36</v>
      </c>
      <c r="I29" s="6">
        <v>8</v>
      </c>
      <c r="J29" s="6">
        <v>33944</v>
      </c>
      <c r="K29" s="6">
        <v>20845.830000000002</v>
      </c>
      <c r="L29" s="6">
        <v>13098.17</v>
      </c>
      <c r="M29" s="11">
        <f>Table13[[#This Row],[Profit]]/Table13[[#This Row],[Sales]]</f>
        <v>0.38587585434833843</v>
      </c>
      <c r="N29" s="6" t="str">
        <f>TEXT(Table13[[#This Row],[Order Date]],"mmm")</f>
        <v>Feb</v>
      </c>
      <c r="O29" s="6">
        <f>YEAR(Table13[[#This Row],[Order Date]])</f>
        <v>2025</v>
      </c>
    </row>
    <row r="30" spans="1:15" x14ac:dyDescent="0.3">
      <c r="A30" s="4" t="s">
        <v>122</v>
      </c>
      <c r="B30" s="5">
        <v>46005</v>
      </c>
      <c r="C30" s="4" t="s">
        <v>123</v>
      </c>
      <c r="D30" s="4" t="s">
        <v>124</v>
      </c>
      <c r="E30" s="4" t="s">
        <v>22</v>
      </c>
      <c r="F30" s="4" t="s">
        <v>23</v>
      </c>
      <c r="G30" s="4" t="s">
        <v>35</v>
      </c>
      <c r="H30" s="4" t="s">
        <v>36</v>
      </c>
      <c r="I30" s="6">
        <v>5</v>
      </c>
      <c r="J30" s="6">
        <v>20135</v>
      </c>
      <c r="K30" s="6">
        <v>12797.3</v>
      </c>
      <c r="L30" s="6">
        <v>7337.7</v>
      </c>
      <c r="M30" s="11">
        <f>Table13[[#This Row],[Profit]]/Table13[[#This Row],[Sales]]</f>
        <v>0.36442513037000246</v>
      </c>
      <c r="N30" s="6" t="str">
        <f>TEXT(Table13[[#This Row],[Order Date]],"mmm")</f>
        <v>Dec</v>
      </c>
      <c r="O30" s="6">
        <f>YEAR(Table13[[#This Row],[Order Date]])</f>
        <v>2025</v>
      </c>
    </row>
    <row r="31" spans="1:15" x14ac:dyDescent="0.3">
      <c r="A31" s="4" t="s">
        <v>125</v>
      </c>
      <c r="B31" s="5">
        <v>45847</v>
      </c>
      <c r="C31" s="4" t="s">
        <v>126</v>
      </c>
      <c r="D31" s="4" t="s">
        <v>127</v>
      </c>
      <c r="E31" s="4" t="s">
        <v>29</v>
      </c>
      <c r="F31" s="4" t="s">
        <v>102</v>
      </c>
      <c r="G31" s="4" t="s">
        <v>40</v>
      </c>
      <c r="H31" s="4" t="s">
        <v>99</v>
      </c>
      <c r="I31" s="6">
        <v>4</v>
      </c>
      <c r="J31" s="6">
        <v>3116</v>
      </c>
      <c r="K31" s="6">
        <v>2255.2199999999998</v>
      </c>
      <c r="L31" s="6">
        <v>860.78</v>
      </c>
      <c r="M31" s="11">
        <f>Table13[[#This Row],[Profit]]/Table13[[#This Row],[Sales]]</f>
        <v>0.27624518613607185</v>
      </c>
      <c r="N31" s="6" t="str">
        <f>TEXT(Table13[[#This Row],[Order Date]],"mmm")</f>
        <v>Jul</v>
      </c>
      <c r="O31" s="6">
        <f>YEAR(Table13[[#This Row],[Order Date]])</f>
        <v>2025</v>
      </c>
    </row>
    <row r="32" spans="1:15" x14ac:dyDescent="0.3">
      <c r="A32" s="4" t="s">
        <v>128</v>
      </c>
      <c r="B32" s="5">
        <v>45835</v>
      </c>
      <c r="C32" s="4" t="s">
        <v>129</v>
      </c>
      <c r="D32" s="4" t="s">
        <v>130</v>
      </c>
      <c r="E32" s="4" t="s">
        <v>15</v>
      </c>
      <c r="F32" s="4" t="s">
        <v>16</v>
      </c>
      <c r="G32" s="4" t="s">
        <v>17</v>
      </c>
      <c r="H32" s="4" t="s">
        <v>72</v>
      </c>
      <c r="I32" s="6">
        <v>8</v>
      </c>
      <c r="J32" s="6">
        <v>35352</v>
      </c>
      <c r="K32" s="6">
        <v>29194.25</v>
      </c>
      <c r="L32" s="6">
        <v>6157.75</v>
      </c>
      <c r="M32" s="11">
        <f>Table13[[#This Row],[Profit]]/Table13[[#This Row],[Sales]]</f>
        <v>0.17418392170174249</v>
      </c>
      <c r="N32" s="6" t="str">
        <f>TEXT(Table13[[#This Row],[Order Date]],"mmm")</f>
        <v>Jun</v>
      </c>
      <c r="O32" s="6">
        <f>YEAR(Table13[[#This Row],[Order Date]])</f>
        <v>2025</v>
      </c>
    </row>
    <row r="33" spans="1:15" x14ac:dyDescent="0.3">
      <c r="A33" s="4" t="s">
        <v>131</v>
      </c>
      <c r="B33" s="5">
        <v>45532</v>
      </c>
      <c r="C33" s="4" t="s">
        <v>132</v>
      </c>
      <c r="D33" s="4" t="s">
        <v>98</v>
      </c>
      <c r="E33" s="4" t="s">
        <v>15</v>
      </c>
      <c r="F33" s="4" t="s">
        <v>16</v>
      </c>
      <c r="G33" s="4" t="s">
        <v>24</v>
      </c>
      <c r="H33" s="4" t="s">
        <v>50</v>
      </c>
      <c r="I33" s="6">
        <v>10</v>
      </c>
      <c r="J33" s="6">
        <v>8560</v>
      </c>
      <c r="K33" s="6">
        <v>6441.95</v>
      </c>
      <c r="L33" s="6">
        <v>2118.0500000000002</v>
      </c>
      <c r="M33" s="11">
        <f>Table13[[#This Row],[Profit]]/Table13[[#This Row],[Sales]]</f>
        <v>0.24743574766355142</v>
      </c>
      <c r="N33" s="6" t="str">
        <f>TEXT(Table13[[#This Row],[Order Date]],"mmm")</f>
        <v>Aug</v>
      </c>
      <c r="O33" s="6">
        <f>YEAR(Table13[[#This Row],[Order Date]])</f>
        <v>2024</v>
      </c>
    </row>
    <row r="34" spans="1:15" x14ac:dyDescent="0.3">
      <c r="A34" s="4" t="s">
        <v>133</v>
      </c>
      <c r="B34" s="5">
        <v>45889</v>
      </c>
      <c r="C34" s="4" t="s">
        <v>134</v>
      </c>
      <c r="D34" s="4" t="s">
        <v>135</v>
      </c>
      <c r="E34" s="4" t="s">
        <v>29</v>
      </c>
      <c r="F34" s="4" t="s">
        <v>30</v>
      </c>
      <c r="G34" s="4" t="s">
        <v>17</v>
      </c>
      <c r="H34" s="4" t="s">
        <v>72</v>
      </c>
      <c r="I34" s="6">
        <v>1</v>
      </c>
      <c r="J34" s="6">
        <v>971</v>
      </c>
      <c r="K34" s="6">
        <v>656.17</v>
      </c>
      <c r="L34" s="6">
        <v>314.83</v>
      </c>
      <c r="M34" s="11">
        <f>Table13[[#This Row],[Profit]]/Table13[[#This Row],[Sales]]</f>
        <v>0.32423274974253347</v>
      </c>
      <c r="N34" s="6" t="str">
        <f>TEXT(Table13[[#This Row],[Order Date]],"mmm")</f>
        <v>Aug</v>
      </c>
      <c r="O34" s="6">
        <f>YEAR(Table13[[#This Row],[Order Date]])</f>
        <v>2025</v>
      </c>
    </row>
    <row r="35" spans="1:15" x14ac:dyDescent="0.3">
      <c r="A35" s="4" t="s">
        <v>136</v>
      </c>
      <c r="B35" s="5">
        <v>45426</v>
      </c>
      <c r="C35" s="4" t="s">
        <v>137</v>
      </c>
      <c r="D35" s="4" t="s">
        <v>138</v>
      </c>
      <c r="E35" s="4" t="s">
        <v>54</v>
      </c>
      <c r="F35" s="4" t="s">
        <v>55</v>
      </c>
      <c r="G35" s="4" t="s">
        <v>40</v>
      </c>
      <c r="H35" s="4" t="s">
        <v>56</v>
      </c>
      <c r="I35" s="6">
        <v>6</v>
      </c>
      <c r="J35" s="6">
        <v>13530</v>
      </c>
      <c r="K35" s="6">
        <v>8519.6299999999992</v>
      </c>
      <c r="L35" s="6">
        <v>5010.37</v>
      </c>
      <c r="M35" s="11">
        <f>Table13[[#This Row],[Profit]]/Table13[[#This Row],[Sales]]</f>
        <v>0.37031559497413158</v>
      </c>
      <c r="N35" s="6" t="str">
        <f>TEXT(Table13[[#This Row],[Order Date]],"mmm")</f>
        <v>May</v>
      </c>
      <c r="O35" s="6">
        <f>YEAR(Table13[[#This Row],[Order Date]])</f>
        <v>2024</v>
      </c>
    </row>
    <row r="36" spans="1:15" x14ac:dyDescent="0.3">
      <c r="A36" s="4" t="s">
        <v>139</v>
      </c>
      <c r="B36" s="5">
        <v>45367</v>
      </c>
      <c r="C36" s="4" t="s">
        <v>140</v>
      </c>
      <c r="D36" s="4" t="s">
        <v>141</v>
      </c>
      <c r="E36" s="4" t="s">
        <v>54</v>
      </c>
      <c r="F36" s="4" t="s">
        <v>142</v>
      </c>
      <c r="G36" s="4" t="s">
        <v>24</v>
      </c>
      <c r="H36" s="4" t="s">
        <v>25</v>
      </c>
      <c r="I36" s="6">
        <v>8</v>
      </c>
      <c r="J36" s="6">
        <v>39296</v>
      </c>
      <c r="K36" s="6">
        <v>33355.58</v>
      </c>
      <c r="L36" s="6">
        <v>5940.42</v>
      </c>
      <c r="M36" s="11">
        <f>Table13[[#This Row],[Profit]]/Table13[[#This Row],[Sales]]</f>
        <v>0.15117111156351792</v>
      </c>
      <c r="N36" s="6" t="str">
        <f>TEXT(Table13[[#This Row],[Order Date]],"mmm")</f>
        <v>Mar</v>
      </c>
      <c r="O36" s="6">
        <f>YEAR(Table13[[#This Row],[Order Date]])</f>
        <v>2024</v>
      </c>
    </row>
    <row r="37" spans="1:15" x14ac:dyDescent="0.3">
      <c r="A37" s="4" t="s">
        <v>143</v>
      </c>
      <c r="B37" s="5">
        <v>45453</v>
      </c>
      <c r="C37" s="4" t="s">
        <v>144</v>
      </c>
      <c r="D37" s="4" t="s">
        <v>145</v>
      </c>
      <c r="E37" s="4" t="s">
        <v>54</v>
      </c>
      <c r="F37" s="4" t="s">
        <v>142</v>
      </c>
      <c r="G37" s="4" t="s">
        <v>40</v>
      </c>
      <c r="H37" s="4" t="s">
        <v>41</v>
      </c>
      <c r="I37" s="6">
        <v>2</v>
      </c>
      <c r="J37" s="6">
        <v>4602</v>
      </c>
      <c r="K37" s="6">
        <v>3041.27</v>
      </c>
      <c r="L37" s="6">
        <v>1560.73</v>
      </c>
      <c r="M37" s="11">
        <f>Table13[[#This Row],[Profit]]/Table13[[#This Row],[Sales]]</f>
        <v>0.33914167753150803</v>
      </c>
      <c r="N37" s="6" t="str">
        <f>TEXT(Table13[[#This Row],[Order Date]],"mmm")</f>
        <v>Jun</v>
      </c>
      <c r="O37" s="6">
        <f>YEAR(Table13[[#This Row],[Order Date]])</f>
        <v>2024</v>
      </c>
    </row>
    <row r="38" spans="1:15" x14ac:dyDescent="0.3">
      <c r="A38" s="4" t="s">
        <v>146</v>
      </c>
      <c r="B38" s="5">
        <v>45859</v>
      </c>
      <c r="C38" s="4" t="s">
        <v>137</v>
      </c>
      <c r="D38" s="4" t="s">
        <v>147</v>
      </c>
      <c r="E38" s="4" t="s">
        <v>54</v>
      </c>
      <c r="F38" s="4" t="s">
        <v>71</v>
      </c>
      <c r="G38" s="4" t="s">
        <v>17</v>
      </c>
      <c r="H38" s="4" t="s">
        <v>31</v>
      </c>
      <c r="I38" s="6">
        <v>9</v>
      </c>
      <c r="J38" s="6">
        <v>3276</v>
      </c>
      <c r="K38" s="6">
        <v>2458.1799999999998</v>
      </c>
      <c r="L38" s="6">
        <v>817.82</v>
      </c>
      <c r="M38" s="11">
        <f>Table13[[#This Row],[Profit]]/Table13[[#This Row],[Sales]]</f>
        <v>0.24963980463980465</v>
      </c>
      <c r="N38" s="6" t="str">
        <f>TEXT(Table13[[#This Row],[Order Date]],"mmm")</f>
        <v>Jul</v>
      </c>
      <c r="O38" s="6">
        <f>YEAR(Table13[[#This Row],[Order Date]])</f>
        <v>2025</v>
      </c>
    </row>
    <row r="39" spans="1:15" x14ac:dyDescent="0.3">
      <c r="A39" s="4" t="s">
        <v>148</v>
      </c>
      <c r="B39" s="5">
        <v>45580</v>
      </c>
      <c r="C39" s="4" t="s">
        <v>149</v>
      </c>
      <c r="D39" s="4" t="s">
        <v>150</v>
      </c>
      <c r="E39" s="4" t="s">
        <v>29</v>
      </c>
      <c r="F39" s="4" t="s">
        <v>49</v>
      </c>
      <c r="G39" s="4" t="s">
        <v>24</v>
      </c>
      <c r="H39" s="4" t="s">
        <v>50</v>
      </c>
      <c r="I39" s="6">
        <v>2</v>
      </c>
      <c r="J39" s="6">
        <v>9664</v>
      </c>
      <c r="K39" s="6">
        <v>5765.87</v>
      </c>
      <c r="L39" s="6">
        <v>3898.13</v>
      </c>
      <c r="M39" s="11">
        <f>Table13[[#This Row],[Profit]]/Table13[[#This Row],[Sales]]</f>
        <v>0.4033661009933775</v>
      </c>
      <c r="N39" s="6" t="str">
        <f>TEXT(Table13[[#This Row],[Order Date]],"mmm")</f>
        <v>Oct</v>
      </c>
      <c r="O39" s="6">
        <f>YEAR(Table13[[#This Row],[Order Date]])</f>
        <v>2024</v>
      </c>
    </row>
    <row r="40" spans="1:15" x14ac:dyDescent="0.3">
      <c r="A40" s="4" t="s">
        <v>151</v>
      </c>
      <c r="B40" s="5">
        <v>45344</v>
      </c>
      <c r="C40" s="4" t="s">
        <v>152</v>
      </c>
      <c r="D40" s="4" t="s">
        <v>111</v>
      </c>
      <c r="E40" s="4" t="s">
        <v>29</v>
      </c>
      <c r="F40" s="4" t="s">
        <v>30</v>
      </c>
      <c r="G40" s="4" t="s">
        <v>17</v>
      </c>
      <c r="H40" s="4" t="s">
        <v>31</v>
      </c>
      <c r="I40" s="6">
        <v>5</v>
      </c>
      <c r="J40" s="6">
        <v>22200</v>
      </c>
      <c r="K40" s="6">
        <v>15463.62</v>
      </c>
      <c r="L40" s="6">
        <v>6736.38</v>
      </c>
      <c r="M40" s="11">
        <f>Table13[[#This Row],[Profit]]/Table13[[#This Row],[Sales]]</f>
        <v>0.30344054054054054</v>
      </c>
      <c r="N40" s="6" t="str">
        <f>TEXT(Table13[[#This Row],[Order Date]],"mmm")</f>
        <v>Feb</v>
      </c>
      <c r="O40" s="6">
        <f>YEAR(Table13[[#This Row],[Order Date]])</f>
        <v>2024</v>
      </c>
    </row>
    <row r="41" spans="1:15" x14ac:dyDescent="0.3">
      <c r="A41" s="4" t="s">
        <v>153</v>
      </c>
      <c r="B41" s="5">
        <v>45560</v>
      </c>
      <c r="C41" s="4" t="s">
        <v>154</v>
      </c>
      <c r="D41" s="4" t="s">
        <v>155</v>
      </c>
      <c r="E41" s="4" t="s">
        <v>54</v>
      </c>
      <c r="F41" s="4" t="s">
        <v>142</v>
      </c>
      <c r="G41" s="4" t="s">
        <v>24</v>
      </c>
      <c r="H41" s="4" t="s">
        <v>25</v>
      </c>
      <c r="I41" s="6">
        <v>6</v>
      </c>
      <c r="J41" s="6">
        <v>8226</v>
      </c>
      <c r="K41" s="6">
        <v>6096.57</v>
      </c>
      <c r="L41" s="6">
        <v>2129.4299999999998</v>
      </c>
      <c r="M41" s="11">
        <f>Table13[[#This Row],[Profit]]/Table13[[#This Row],[Sales]]</f>
        <v>0.2588657913931437</v>
      </c>
      <c r="N41" s="6" t="str">
        <f>TEXT(Table13[[#This Row],[Order Date]],"mmm")</f>
        <v>Sep</v>
      </c>
      <c r="O41" s="6">
        <f>YEAR(Table13[[#This Row],[Order Date]])</f>
        <v>2024</v>
      </c>
    </row>
    <row r="42" spans="1:15" x14ac:dyDescent="0.3">
      <c r="A42" s="4" t="s">
        <v>156</v>
      </c>
      <c r="B42" s="5">
        <v>45999</v>
      </c>
      <c r="C42" s="4" t="s">
        <v>157</v>
      </c>
      <c r="D42" s="4" t="s">
        <v>158</v>
      </c>
      <c r="E42" s="4" t="s">
        <v>22</v>
      </c>
      <c r="F42" s="4" t="s">
        <v>79</v>
      </c>
      <c r="G42" s="4" t="s">
        <v>24</v>
      </c>
      <c r="H42" s="4" t="s">
        <v>25</v>
      </c>
      <c r="I42" s="6">
        <v>2</v>
      </c>
      <c r="J42" s="6">
        <v>1832</v>
      </c>
      <c r="K42" s="6">
        <v>1527</v>
      </c>
      <c r="L42" s="6">
        <v>305</v>
      </c>
      <c r="M42" s="11">
        <f>Table13[[#This Row],[Profit]]/Table13[[#This Row],[Sales]]</f>
        <v>0.16648471615720525</v>
      </c>
      <c r="N42" s="6" t="str">
        <f>TEXT(Table13[[#This Row],[Order Date]],"mmm")</f>
        <v>Dec</v>
      </c>
      <c r="O42" s="6">
        <f>YEAR(Table13[[#This Row],[Order Date]])</f>
        <v>2025</v>
      </c>
    </row>
    <row r="43" spans="1:15" x14ac:dyDescent="0.3">
      <c r="A43" s="4" t="s">
        <v>159</v>
      </c>
      <c r="B43" s="5">
        <v>45334</v>
      </c>
      <c r="C43" s="4" t="s">
        <v>88</v>
      </c>
      <c r="D43" s="4" t="s">
        <v>160</v>
      </c>
      <c r="E43" s="4" t="s">
        <v>15</v>
      </c>
      <c r="F43" s="4" t="s">
        <v>63</v>
      </c>
      <c r="G43" s="4" t="s">
        <v>17</v>
      </c>
      <c r="H43" s="4" t="s">
        <v>72</v>
      </c>
      <c r="I43" s="6">
        <v>9</v>
      </c>
      <c r="J43" s="6">
        <v>13617</v>
      </c>
      <c r="K43" s="6">
        <v>9245.07</v>
      </c>
      <c r="L43" s="6">
        <v>4371.93</v>
      </c>
      <c r="M43" s="11">
        <f>Table13[[#This Row],[Profit]]/Table13[[#This Row],[Sales]]</f>
        <v>0.32106411103767352</v>
      </c>
      <c r="N43" s="6" t="str">
        <f>TEXT(Table13[[#This Row],[Order Date]],"mmm")</f>
        <v>Feb</v>
      </c>
      <c r="O43" s="6">
        <f>YEAR(Table13[[#This Row],[Order Date]])</f>
        <v>2024</v>
      </c>
    </row>
    <row r="44" spans="1:15" x14ac:dyDescent="0.3">
      <c r="A44" s="4" t="s">
        <v>161</v>
      </c>
      <c r="B44" s="5">
        <v>45865</v>
      </c>
      <c r="C44" s="4" t="s">
        <v>162</v>
      </c>
      <c r="D44" s="4" t="s">
        <v>163</v>
      </c>
      <c r="E44" s="4" t="s">
        <v>15</v>
      </c>
      <c r="F44" s="4" t="s">
        <v>63</v>
      </c>
      <c r="G44" s="4" t="s">
        <v>40</v>
      </c>
      <c r="H44" s="4" t="s">
        <v>56</v>
      </c>
      <c r="I44" s="6">
        <v>4</v>
      </c>
      <c r="J44" s="6">
        <v>4568</v>
      </c>
      <c r="K44" s="6">
        <v>2997.08</v>
      </c>
      <c r="L44" s="6">
        <v>1570.92</v>
      </c>
      <c r="M44" s="11">
        <f>Table13[[#This Row],[Profit]]/Table13[[#This Row],[Sales]]</f>
        <v>0.34389667250437828</v>
      </c>
      <c r="N44" s="6" t="str">
        <f>TEXT(Table13[[#This Row],[Order Date]],"mmm")</f>
        <v>Jul</v>
      </c>
      <c r="O44" s="6">
        <f>YEAR(Table13[[#This Row],[Order Date]])</f>
        <v>2025</v>
      </c>
    </row>
    <row r="45" spans="1:15" x14ac:dyDescent="0.3">
      <c r="A45" s="4" t="s">
        <v>164</v>
      </c>
      <c r="B45" s="5">
        <v>45632</v>
      </c>
      <c r="C45" s="4" t="s">
        <v>165</v>
      </c>
      <c r="D45" s="4" t="s">
        <v>114</v>
      </c>
      <c r="E45" s="4" t="s">
        <v>29</v>
      </c>
      <c r="F45" s="4" t="s">
        <v>102</v>
      </c>
      <c r="G45" s="4" t="s">
        <v>24</v>
      </c>
      <c r="H45" s="4" t="s">
        <v>166</v>
      </c>
      <c r="I45" s="6">
        <v>7</v>
      </c>
      <c r="J45" s="6">
        <v>3521</v>
      </c>
      <c r="K45" s="6">
        <v>2126.0100000000002</v>
      </c>
      <c r="L45" s="6">
        <v>1394.99</v>
      </c>
      <c r="M45" s="11">
        <f>Table13[[#This Row],[Profit]]/Table13[[#This Row],[Sales]]</f>
        <v>0.39619142289122411</v>
      </c>
      <c r="N45" s="6" t="str">
        <f>TEXT(Table13[[#This Row],[Order Date]],"mmm")</f>
        <v>Dec</v>
      </c>
      <c r="O45" s="6">
        <f>YEAR(Table13[[#This Row],[Order Date]])</f>
        <v>2024</v>
      </c>
    </row>
    <row r="46" spans="1:15" x14ac:dyDescent="0.3">
      <c r="A46" s="4" t="s">
        <v>167</v>
      </c>
      <c r="B46" s="5">
        <v>45773</v>
      </c>
      <c r="C46" s="4" t="s">
        <v>168</v>
      </c>
      <c r="D46" s="4" t="s">
        <v>169</v>
      </c>
      <c r="E46" s="4" t="s">
        <v>54</v>
      </c>
      <c r="F46" s="4" t="s">
        <v>142</v>
      </c>
      <c r="G46" s="4" t="s">
        <v>17</v>
      </c>
      <c r="H46" s="4" t="s">
        <v>18</v>
      </c>
      <c r="I46" s="6">
        <v>2</v>
      </c>
      <c r="J46" s="6">
        <v>6866</v>
      </c>
      <c r="K46" s="6">
        <v>5572.79</v>
      </c>
      <c r="L46" s="6">
        <v>1293.21</v>
      </c>
      <c r="M46" s="11">
        <f>Table13[[#This Row],[Profit]]/Table13[[#This Row],[Sales]]</f>
        <v>0.1883498397902709</v>
      </c>
      <c r="N46" s="6" t="str">
        <f>TEXT(Table13[[#This Row],[Order Date]],"mmm")</f>
        <v>Apr</v>
      </c>
      <c r="O46" s="6">
        <f>YEAR(Table13[[#This Row],[Order Date]])</f>
        <v>2025</v>
      </c>
    </row>
    <row r="47" spans="1:15" x14ac:dyDescent="0.3">
      <c r="A47" s="4" t="s">
        <v>170</v>
      </c>
      <c r="B47" s="5">
        <v>45489</v>
      </c>
      <c r="C47" s="4" t="s">
        <v>171</v>
      </c>
      <c r="D47" s="4" t="s">
        <v>172</v>
      </c>
      <c r="E47" s="4" t="s">
        <v>22</v>
      </c>
      <c r="F47" s="4" t="s">
        <v>67</v>
      </c>
      <c r="G47" s="4" t="s">
        <v>40</v>
      </c>
      <c r="H47" s="4" t="s">
        <v>99</v>
      </c>
      <c r="I47" s="6">
        <v>4</v>
      </c>
      <c r="J47" s="6">
        <v>8504</v>
      </c>
      <c r="K47" s="6">
        <v>4737.57</v>
      </c>
      <c r="L47" s="6">
        <v>3766.43</v>
      </c>
      <c r="M47" s="11">
        <f>Table13[[#This Row],[Profit]]/Table13[[#This Row],[Sales]]</f>
        <v>0.44290098777046094</v>
      </c>
      <c r="N47" s="6" t="str">
        <f>TEXT(Table13[[#This Row],[Order Date]],"mmm")</f>
        <v>Jul</v>
      </c>
      <c r="O47" s="6">
        <f>YEAR(Table13[[#This Row],[Order Date]])</f>
        <v>2024</v>
      </c>
    </row>
    <row r="48" spans="1:15" x14ac:dyDescent="0.3">
      <c r="A48" s="4" t="s">
        <v>173</v>
      </c>
      <c r="B48" s="5">
        <v>45841</v>
      </c>
      <c r="C48" s="4" t="s">
        <v>104</v>
      </c>
      <c r="D48" s="4" t="s">
        <v>174</v>
      </c>
      <c r="E48" s="4" t="s">
        <v>54</v>
      </c>
      <c r="F48" s="4" t="s">
        <v>142</v>
      </c>
      <c r="G48" s="4" t="s">
        <v>40</v>
      </c>
      <c r="H48" s="4" t="s">
        <v>99</v>
      </c>
      <c r="I48" s="6">
        <v>6</v>
      </c>
      <c r="J48" s="6">
        <v>26838</v>
      </c>
      <c r="K48" s="6">
        <v>17978.87</v>
      </c>
      <c r="L48" s="6">
        <v>8859.1299999999992</v>
      </c>
      <c r="M48" s="11">
        <f>Table13[[#This Row],[Profit]]/Table13[[#This Row],[Sales]]</f>
        <v>0.33009650495565984</v>
      </c>
      <c r="N48" s="6" t="str">
        <f>TEXT(Table13[[#This Row],[Order Date]],"mmm")</f>
        <v>Jul</v>
      </c>
      <c r="O48" s="6">
        <f>YEAR(Table13[[#This Row],[Order Date]])</f>
        <v>2025</v>
      </c>
    </row>
    <row r="49" spans="1:15" x14ac:dyDescent="0.3">
      <c r="A49" s="4" t="s">
        <v>175</v>
      </c>
      <c r="B49" s="5">
        <v>45902</v>
      </c>
      <c r="C49" s="4" t="s">
        <v>176</v>
      </c>
      <c r="D49" s="4" t="s">
        <v>177</v>
      </c>
      <c r="E49" s="4" t="s">
        <v>15</v>
      </c>
      <c r="F49" s="4" t="s">
        <v>63</v>
      </c>
      <c r="G49" s="4" t="s">
        <v>24</v>
      </c>
      <c r="H49" s="4" t="s">
        <v>166</v>
      </c>
      <c r="I49" s="6">
        <v>10</v>
      </c>
      <c r="J49" s="6">
        <v>24740</v>
      </c>
      <c r="K49" s="6">
        <v>13890.94</v>
      </c>
      <c r="L49" s="6">
        <v>10849.06</v>
      </c>
      <c r="M49" s="11">
        <f>Table13[[#This Row],[Profit]]/Table13[[#This Row],[Sales]]</f>
        <v>0.43852303961196443</v>
      </c>
      <c r="N49" s="6" t="str">
        <f>TEXT(Table13[[#This Row],[Order Date]],"mmm")</f>
        <v>Sep</v>
      </c>
      <c r="O49" s="6">
        <f>YEAR(Table13[[#This Row],[Order Date]])</f>
        <v>2025</v>
      </c>
    </row>
    <row r="50" spans="1:15" x14ac:dyDescent="0.3">
      <c r="A50" s="4" t="s">
        <v>178</v>
      </c>
      <c r="B50" s="5">
        <v>45882</v>
      </c>
      <c r="C50" s="4" t="s">
        <v>179</v>
      </c>
      <c r="D50" s="4" t="s">
        <v>180</v>
      </c>
      <c r="E50" s="4" t="s">
        <v>54</v>
      </c>
      <c r="F50" s="4" t="s">
        <v>55</v>
      </c>
      <c r="G50" s="4" t="s">
        <v>17</v>
      </c>
      <c r="H50" s="4" t="s">
        <v>72</v>
      </c>
      <c r="I50" s="6">
        <v>9</v>
      </c>
      <c r="J50" s="6">
        <v>11223</v>
      </c>
      <c r="K50" s="6">
        <v>7469.56</v>
      </c>
      <c r="L50" s="6">
        <v>3753.44</v>
      </c>
      <c r="M50" s="11">
        <f>Table13[[#This Row],[Profit]]/Table13[[#This Row],[Sales]]</f>
        <v>0.33444177136238085</v>
      </c>
      <c r="N50" s="6" t="str">
        <f>TEXT(Table13[[#This Row],[Order Date]],"mmm")</f>
        <v>Aug</v>
      </c>
      <c r="O50" s="6">
        <f>YEAR(Table13[[#This Row],[Order Date]])</f>
        <v>2025</v>
      </c>
    </row>
    <row r="51" spans="1:15" x14ac:dyDescent="0.3">
      <c r="A51" s="4" t="s">
        <v>181</v>
      </c>
      <c r="B51" s="5">
        <v>45843</v>
      </c>
      <c r="C51" s="4" t="s">
        <v>182</v>
      </c>
      <c r="D51" s="4" t="s">
        <v>160</v>
      </c>
      <c r="E51" s="4" t="s">
        <v>15</v>
      </c>
      <c r="F51" s="4" t="s">
        <v>90</v>
      </c>
      <c r="G51" s="4" t="s">
        <v>35</v>
      </c>
      <c r="H51" s="4" t="s">
        <v>36</v>
      </c>
      <c r="I51" s="6">
        <v>1</v>
      </c>
      <c r="J51" s="6">
        <v>4559</v>
      </c>
      <c r="K51" s="6">
        <v>3773.36</v>
      </c>
      <c r="L51" s="6">
        <v>785.64</v>
      </c>
      <c r="M51" s="11">
        <f>Table13[[#This Row],[Profit]]/Table13[[#This Row],[Sales]]</f>
        <v>0.1723272647510419</v>
      </c>
      <c r="N51" s="6" t="str">
        <f>TEXT(Table13[[#This Row],[Order Date]],"mmm")</f>
        <v>Jul</v>
      </c>
      <c r="O51" s="6">
        <f>YEAR(Table13[[#This Row],[Order Date]])</f>
        <v>2025</v>
      </c>
    </row>
    <row r="52" spans="1:15" x14ac:dyDescent="0.3">
      <c r="A52" s="4" t="s">
        <v>183</v>
      </c>
      <c r="B52" s="5">
        <v>45419</v>
      </c>
      <c r="C52" s="4" t="s">
        <v>137</v>
      </c>
      <c r="D52" s="4" t="s">
        <v>184</v>
      </c>
      <c r="E52" s="4" t="s">
        <v>22</v>
      </c>
      <c r="F52" s="4" t="s">
        <v>23</v>
      </c>
      <c r="G52" s="4" t="s">
        <v>17</v>
      </c>
      <c r="H52" s="4" t="s">
        <v>31</v>
      </c>
      <c r="I52" s="6">
        <v>6</v>
      </c>
      <c r="J52" s="6">
        <v>17226</v>
      </c>
      <c r="K52" s="6">
        <v>12902.55</v>
      </c>
      <c r="L52" s="6">
        <v>4323.45</v>
      </c>
      <c r="M52" s="11">
        <f>Table13[[#This Row],[Profit]]/Table13[[#This Row],[Sales]]</f>
        <v>0.25098397770811565</v>
      </c>
      <c r="N52" s="6" t="str">
        <f>TEXT(Table13[[#This Row],[Order Date]],"mmm")</f>
        <v>May</v>
      </c>
      <c r="O52" s="6">
        <f>YEAR(Table13[[#This Row],[Order Date]])</f>
        <v>2024</v>
      </c>
    </row>
    <row r="53" spans="1:15" x14ac:dyDescent="0.3">
      <c r="A53" s="4" t="s">
        <v>185</v>
      </c>
      <c r="B53" s="5">
        <v>45859</v>
      </c>
      <c r="C53" s="4" t="s">
        <v>186</v>
      </c>
      <c r="D53" s="4" t="s">
        <v>187</v>
      </c>
      <c r="E53" s="4" t="s">
        <v>54</v>
      </c>
      <c r="F53" s="4" t="s">
        <v>71</v>
      </c>
      <c r="G53" s="4" t="s">
        <v>35</v>
      </c>
      <c r="H53" s="4" t="s">
        <v>36</v>
      </c>
      <c r="I53" s="6">
        <v>6</v>
      </c>
      <c r="J53" s="6">
        <v>21576</v>
      </c>
      <c r="K53" s="6">
        <v>16379.69</v>
      </c>
      <c r="L53" s="6">
        <v>5196.3100000000004</v>
      </c>
      <c r="M53" s="11">
        <f>Table13[[#This Row],[Profit]]/Table13[[#This Row],[Sales]]</f>
        <v>0.2408375046347794</v>
      </c>
      <c r="N53" s="6" t="str">
        <f>TEXT(Table13[[#This Row],[Order Date]],"mmm")</f>
        <v>Jul</v>
      </c>
      <c r="O53" s="6">
        <f>YEAR(Table13[[#This Row],[Order Date]])</f>
        <v>2025</v>
      </c>
    </row>
    <row r="54" spans="1:15" x14ac:dyDescent="0.3">
      <c r="A54" s="4" t="s">
        <v>188</v>
      </c>
      <c r="B54" s="5">
        <v>45853</v>
      </c>
      <c r="C54" s="4" t="s">
        <v>189</v>
      </c>
      <c r="D54" s="4" t="s">
        <v>190</v>
      </c>
      <c r="E54" s="4" t="s">
        <v>22</v>
      </c>
      <c r="F54" s="4" t="s">
        <v>79</v>
      </c>
      <c r="G54" s="4" t="s">
        <v>35</v>
      </c>
      <c r="H54" s="4" t="s">
        <v>36</v>
      </c>
      <c r="I54" s="6">
        <v>3</v>
      </c>
      <c r="J54" s="6">
        <v>14886</v>
      </c>
      <c r="K54" s="6">
        <v>9531.2800000000007</v>
      </c>
      <c r="L54" s="6">
        <v>5354.72</v>
      </c>
      <c r="M54" s="11">
        <f>Table13[[#This Row],[Profit]]/Table13[[#This Row],[Sales]]</f>
        <v>0.3597151686148059</v>
      </c>
      <c r="N54" s="6" t="str">
        <f>TEXT(Table13[[#This Row],[Order Date]],"mmm")</f>
        <v>Jul</v>
      </c>
      <c r="O54" s="6">
        <f>YEAR(Table13[[#This Row],[Order Date]])</f>
        <v>2025</v>
      </c>
    </row>
    <row r="55" spans="1:15" x14ac:dyDescent="0.3">
      <c r="A55" s="4" t="s">
        <v>191</v>
      </c>
      <c r="B55" s="5">
        <v>45744</v>
      </c>
      <c r="C55" s="4" t="s">
        <v>192</v>
      </c>
      <c r="D55" s="4" t="s">
        <v>193</v>
      </c>
      <c r="E55" s="4" t="s">
        <v>54</v>
      </c>
      <c r="F55" s="4" t="s">
        <v>142</v>
      </c>
      <c r="G55" s="4" t="s">
        <v>35</v>
      </c>
      <c r="H55" s="4" t="s">
        <v>36</v>
      </c>
      <c r="I55" s="6">
        <v>10</v>
      </c>
      <c r="J55" s="6">
        <v>29390</v>
      </c>
      <c r="K55" s="6">
        <v>20264.3</v>
      </c>
      <c r="L55" s="6">
        <v>9125.7000000000007</v>
      </c>
      <c r="M55" s="11">
        <f>Table13[[#This Row],[Profit]]/Table13[[#This Row],[Sales]]</f>
        <v>0.31050357264375639</v>
      </c>
      <c r="N55" s="6" t="str">
        <f>TEXT(Table13[[#This Row],[Order Date]],"mmm")</f>
        <v>Mar</v>
      </c>
      <c r="O55" s="6">
        <f>YEAR(Table13[[#This Row],[Order Date]])</f>
        <v>2025</v>
      </c>
    </row>
    <row r="56" spans="1:15" x14ac:dyDescent="0.3">
      <c r="A56" s="4" t="s">
        <v>194</v>
      </c>
      <c r="B56" s="5">
        <v>45940</v>
      </c>
      <c r="C56" s="4" t="s">
        <v>195</v>
      </c>
      <c r="D56" s="4" t="s">
        <v>34</v>
      </c>
      <c r="E56" s="4" t="s">
        <v>22</v>
      </c>
      <c r="F56" s="4" t="s">
        <v>79</v>
      </c>
      <c r="G56" s="4" t="s">
        <v>24</v>
      </c>
      <c r="H56" s="4" t="s">
        <v>166</v>
      </c>
      <c r="I56" s="6">
        <v>2</v>
      </c>
      <c r="J56" s="6">
        <v>5248</v>
      </c>
      <c r="K56" s="6">
        <v>3697.93</v>
      </c>
      <c r="L56" s="6">
        <v>1550.07</v>
      </c>
      <c r="M56" s="11">
        <f>Table13[[#This Row],[Profit]]/Table13[[#This Row],[Sales]]</f>
        <v>0.29536394817073169</v>
      </c>
      <c r="N56" s="6" t="str">
        <f>TEXT(Table13[[#This Row],[Order Date]],"mmm")</f>
        <v>Oct</v>
      </c>
      <c r="O56" s="6">
        <f>YEAR(Table13[[#This Row],[Order Date]])</f>
        <v>2025</v>
      </c>
    </row>
    <row r="57" spans="1:15" x14ac:dyDescent="0.3">
      <c r="A57" s="4" t="s">
        <v>196</v>
      </c>
      <c r="B57" s="5">
        <v>45339</v>
      </c>
      <c r="C57" s="4" t="s">
        <v>197</v>
      </c>
      <c r="D57" s="4" t="s">
        <v>198</v>
      </c>
      <c r="E57" s="4" t="s">
        <v>29</v>
      </c>
      <c r="F57" s="4" t="s">
        <v>30</v>
      </c>
      <c r="G57" s="4" t="s">
        <v>40</v>
      </c>
      <c r="H57" s="4" t="s">
        <v>99</v>
      </c>
      <c r="I57" s="6">
        <v>4</v>
      </c>
      <c r="J57" s="6">
        <v>7724</v>
      </c>
      <c r="K57" s="6">
        <v>4589.6499999999996</v>
      </c>
      <c r="L57" s="6">
        <v>3134.35</v>
      </c>
      <c r="M57" s="11">
        <f>Table13[[#This Row],[Profit]]/Table13[[#This Row],[Sales]]</f>
        <v>0.40579363024339721</v>
      </c>
      <c r="N57" s="6" t="str">
        <f>TEXT(Table13[[#This Row],[Order Date]],"mmm")</f>
        <v>Feb</v>
      </c>
      <c r="O57" s="6">
        <f>YEAR(Table13[[#This Row],[Order Date]])</f>
        <v>2024</v>
      </c>
    </row>
    <row r="58" spans="1:15" x14ac:dyDescent="0.3">
      <c r="A58" s="4" t="s">
        <v>199</v>
      </c>
      <c r="B58" s="5">
        <v>45685</v>
      </c>
      <c r="C58" s="4" t="s">
        <v>200</v>
      </c>
      <c r="D58" s="4" t="s">
        <v>201</v>
      </c>
      <c r="E58" s="4" t="s">
        <v>15</v>
      </c>
      <c r="F58" s="4" t="s">
        <v>63</v>
      </c>
      <c r="G58" s="4" t="s">
        <v>35</v>
      </c>
      <c r="H58" s="4" t="s">
        <v>36</v>
      </c>
      <c r="I58" s="6">
        <v>10</v>
      </c>
      <c r="J58" s="6">
        <v>18920</v>
      </c>
      <c r="K58" s="6">
        <v>14483.33</v>
      </c>
      <c r="L58" s="6">
        <v>4436.67</v>
      </c>
      <c r="M58" s="11">
        <f>Table13[[#This Row],[Profit]]/Table13[[#This Row],[Sales]]</f>
        <v>0.23449630021141649</v>
      </c>
      <c r="N58" s="6" t="str">
        <f>TEXT(Table13[[#This Row],[Order Date]],"mmm")</f>
        <v>Jan</v>
      </c>
      <c r="O58" s="6">
        <f>YEAR(Table13[[#This Row],[Order Date]])</f>
        <v>2025</v>
      </c>
    </row>
    <row r="59" spans="1:15" x14ac:dyDescent="0.3">
      <c r="A59" s="4" t="s">
        <v>202</v>
      </c>
      <c r="B59" s="5">
        <v>45516</v>
      </c>
      <c r="C59" s="4" t="s">
        <v>203</v>
      </c>
      <c r="D59" s="4" t="s">
        <v>204</v>
      </c>
      <c r="E59" s="4" t="s">
        <v>29</v>
      </c>
      <c r="F59" s="4" t="s">
        <v>102</v>
      </c>
      <c r="G59" s="4" t="s">
        <v>17</v>
      </c>
      <c r="H59" s="4" t="s">
        <v>31</v>
      </c>
      <c r="I59" s="6">
        <v>1</v>
      </c>
      <c r="J59" s="6">
        <v>1173</v>
      </c>
      <c r="K59" s="6">
        <v>919.08</v>
      </c>
      <c r="L59" s="6">
        <v>253.92</v>
      </c>
      <c r="M59" s="11">
        <f>Table13[[#This Row],[Profit]]/Table13[[#This Row],[Sales]]</f>
        <v>0.21647058823529411</v>
      </c>
      <c r="N59" s="6" t="str">
        <f>TEXT(Table13[[#This Row],[Order Date]],"mmm")</f>
        <v>Aug</v>
      </c>
      <c r="O59" s="6">
        <f>YEAR(Table13[[#This Row],[Order Date]])</f>
        <v>2024</v>
      </c>
    </row>
    <row r="60" spans="1:15" x14ac:dyDescent="0.3">
      <c r="A60" s="4" t="s">
        <v>205</v>
      </c>
      <c r="B60" s="5">
        <v>45767</v>
      </c>
      <c r="C60" s="4" t="s">
        <v>206</v>
      </c>
      <c r="D60" s="4" t="s">
        <v>207</v>
      </c>
      <c r="E60" s="4" t="s">
        <v>22</v>
      </c>
      <c r="F60" s="4" t="s">
        <v>23</v>
      </c>
      <c r="G60" s="4" t="s">
        <v>35</v>
      </c>
      <c r="H60" s="4" t="s">
        <v>45</v>
      </c>
      <c r="I60" s="6">
        <v>4</v>
      </c>
      <c r="J60" s="6">
        <v>5176</v>
      </c>
      <c r="K60" s="6">
        <v>3555.59</v>
      </c>
      <c r="L60" s="6">
        <v>1620.41</v>
      </c>
      <c r="M60" s="11">
        <f>Table13[[#This Row],[Profit]]/Table13[[#This Row],[Sales]]</f>
        <v>0.31306221020092739</v>
      </c>
      <c r="N60" s="6" t="str">
        <f>TEXT(Table13[[#This Row],[Order Date]],"mmm")</f>
        <v>Apr</v>
      </c>
      <c r="O60" s="6">
        <f>YEAR(Table13[[#This Row],[Order Date]])</f>
        <v>2025</v>
      </c>
    </row>
    <row r="61" spans="1:15" x14ac:dyDescent="0.3">
      <c r="A61" s="4" t="s">
        <v>208</v>
      </c>
      <c r="B61" s="5">
        <v>45853</v>
      </c>
      <c r="C61" s="4" t="s">
        <v>209</v>
      </c>
      <c r="D61" s="4" t="s">
        <v>210</v>
      </c>
      <c r="E61" s="4" t="s">
        <v>54</v>
      </c>
      <c r="F61" s="4" t="s">
        <v>55</v>
      </c>
      <c r="G61" s="4" t="s">
        <v>17</v>
      </c>
      <c r="H61" s="4" t="s">
        <v>72</v>
      </c>
      <c r="I61" s="6">
        <v>9</v>
      </c>
      <c r="J61" s="6">
        <v>34155</v>
      </c>
      <c r="K61" s="6">
        <v>27295.68</v>
      </c>
      <c r="L61" s="6">
        <v>6859.32</v>
      </c>
      <c r="M61" s="11">
        <f>Table13[[#This Row],[Profit]]/Table13[[#This Row],[Sales]]</f>
        <v>0.20082916117698726</v>
      </c>
      <c r="N61" s="6" t="str">
        <f>TEXT(Table13[[#This Row],[Order Date]],"mmm")</f>
        <v>Jul</v>
      </c>
      <c r="O61" s="6">
        <f>YEAR(Table13[[#This Row],[Order Date]])</f>
        <v>2025</v>
      </c>
    </row>
    <row r="62" spans="1:15" x14ac:dyDescent="0.3">
      <c r="A62" s="4" t="s">
        <v>211</v>
      </c>
      <c r="B62" s="5">
        <v>45825</v>
      </c>
      <c r="C62" s="4" t="s">
        <v>212</v>
      </c>
      <c r="D62" s="4" t="s">
        <v>89</v>
      </c>
      <c r="E62" s="4" t="s">
        <v>22</v>
      </c>
      <c r="F62" s="4" t="s">
        <v>67</v>
      </c>
      <c r="G62" s="4" t="s">
        <v>40</v>
      </c>
      <c r="H62" s="4" t="s">
        <v>99</v>
      </c>
      <c r="I62" s="6">
        <v>4</v>
      </c>
      <c r="J62" s="6">
        <v>10284</v>
      </c>
      <c r="K62" s="6">
        <v>8018.89</v>
      </c>
      <c r="L62" s="6">
        <v>2265.11</v>
      </c>
      <c r="M62" s="11">
        <f>Table13[[#This Row],[Profit]]/Table13[[#This Row],[Sales]]</f>
        <v>0.22025573706728901</v>
      </c>
      <c r="N62" s="6" t="str">
        <f>TEXT(Table13[[#This Row],[Order Date]],"mmm")</f>
        <v>Jun</v>
      </c>
      <c r="O62" s="6">
        <f>YEAR(Table13[[#This Row],[Order Date]])</f>
        <v>2025</v>
      </c>
    </row>
    <row r="63" spans="1:15" x14ac:dyDescent="0.3">
      <c r="A63" s="4" t="s">
        <v>213</v>
      </c>
      <c r="B63" s="5">
        <v>45619</v>
      </c>
      <c r="C63" s="4" t="s">
        <v>214</v>
      </c>
      <c r="D63" s="4" t="s">
        <v>215</v>
      </c>
      <c r="E63" s="4" t="s">
        <v>54</v>
      </c>
      <c r="F63" s="4" t="s">
        <v>55</v>
      </c>
      <c r="G63" s="4" t="s">
        <v>24</v>
      </c>
      <c r="H63" s="4" t="s">
        <v>50</v>
      </c>
      <c r="I63" s="6">
        <v>5</v>
      </c>
      <c r="J63" s="6">
        <v>11100</v>
      </c>
      <c r="K63" s="6">
        <v>7009.81</v>
      </c>
      <c r="L63" s="6">
        <v>4090.19</v>
      </c>
      <c r="M63" s="11">
        <f>Table13[[#This Row],[Profit]]/Table13[[#This Row],[Sales]]</f>
        <v>0.36848558558558558</v>
      </c>
      <c r="N63" s="6" t="str">
        <f>TEXT(Table13[[#This Row],[Order Date]],"mmm")</f>
        <v>Nov</v>
      </c>
      <c r="O63" s="6">
        <f>YEAR(Table13[[#This Row],[Order Date]])</f>
        <v>2024</v>
      </c>
    </row>
    <row r="64" spans="1:15" x14ac:dyDescent="0.3">
      <c r="A64" s="4" t="s">
        <v>216</v>
      </c>
      <c r="B64" s="5">
        <v>45357</v>
      </c>
      <c r="C64" s="4" t="s">
        <v>217</v>
      </c>
      <c r="D64" s="4" t="s">
        <v>218</v>
      </c>
      <c r="E64" s="4" t="s">
        <v>29</v>
      </c>
      <c r="F64" s="4" t="s">
        <v>102</v>
      </c>
      <c r="G64" s="4" t="s">
        <v>40</v>
      </c>
      <c r="H64" s="4" t="s">
        <v>56</v>
      </c>
      <c r="I64" s="6">
        <v>7</v>
      </c>
      <c r="J64" s="6">
        <v>10857</v>
      </c>
      <c r="K64" s="6">
        <v>8272.23</v>
      </c>
      <c r="L64" s="6">
        <v>2584.77</v>
      </c>
      <c r="M64" s="11">
        <f>Table13[[#This Row],[Profit]]/Table13[[#This Row],[Sales]]</f>
        <v>0.23807405360596851</v>
      </c>
      <c r="N64" s="6" t="str">
        <f>TEXT(Table13[[#This Row],[Order Date]],"mmm")</f>
        <v>Mar</v>
      </c>
      <c r="O64" s="6">
        <f>YEAR(Table13[[#This Row],[Order Date]])</f>
        <v>2024</v>
      </c>
    </row>
    <row r="65" spans="1:15" x14ac:dyDescent="0.3">
      <c r="A65" s="4" t="s">
        <v>219</v>
      </c>
      <c r="B65" s="5">
        <v>45722</v>
      </c>
      <c r="C65" s="4" t="s">
        <v>220</v>
      </c>
      <c r="D65" s="4" t="s">
        <v>221</v>
      </c>
      <c r="E65" s="4" t="s">
        <v>54</v>
      </c>
      <c r="F65" s="4" t="s">
        <v>71</v>
      </c>
      <c r="G65" s="4" t="s">
        <v>35</v>
      </c>
      <c r="H65" s="4" t="s">
        <v>80</v>
      </c>
      <c r="I65" s="6">
        <v>7</v>
      </c>
      <c r="J65" s="6">
        <v>5670</v>
      </c>
      <c r="K65" s="6">
        <v>3470.33</v>
      </c>
      <c r="L65" s="6">
        <v>2199.67</v>
      </c>
      <c r="M65" s="11">
        <f>Table13[[#This Row],[Profit]]/Table13[[#This Row],[Sales]]</f>
        <v>0.38794885361552028</v>
      </c>
      <c r="N65" s="6" t="str">
        <f>TEXT(Table13[[#This Row],[Order Date]],"mmm")</f>
        <v>Mar</v>
      </c>
      <c r="O65" s="6">
        <f>YEAR(Table13[[#This Row],[Order Date]])</f>
        <v>2025</v>
      </c>
    </row>
    <row r="66" spans="1:15" x14ac:dyDescent="0.3">
      <c r="A66" s="4" t="s">
        <v>222</v>
      </c>
      <c r="B66" s="5">
        <v>45597</v>
      </c>
      <c r="C66" s="4" t="s">
        <v>220</v>
      </c>
      <c r="D66" s="4" t="s">
        <v>223</v>
      </c>
      <c r="E66" s="4" t="s">
        <v>15</v>
      </c>
      <c r="F66" s="4" t="s">
        <v>90</v>
      </c>
      <c r="G66" s="4" t="s">
        <v>35</v>
      </c>
      <c r="H66" s="4" t="s">
        <v>36</v>
      </c>
      <c r="I66" s="6">
        <v>8</v>
      </c>
      <c r="J66" s="6">
        <v>2784</v>
      </c>
      <c r="K66" s="6">
        <v>2318.58</v>
      </c>
      <c r="L66" s="6">
        <v>465.42</v>
      </c>
      <c r="M66" s="11">
        <f>Table13[[#This Row],[Profit]]/Table13[[#This Row],[Sales]]</f>
        <v>0.16717672413793103</v>
      </c>
      <c r="N66" s="6" t="str">
        <f>TEXT(Table13[[#This Row],[Order Date]],"mmm")</f>
        <v>Nov</v>
      </c>
      <c r="O66" s="6">
        <f>YEAR(Table13[[#This Row],[Order Date]])</f>
        <v>2024</v>
      </c>
    </row>
    <row r="67" spans="1:15" x14ac:dyDescent="0.3">
      <c r="A67" s="4" t="s">
        <v>224</v>
      </c>
      <c r="B67" s="5">
        <v>45690</v>
      </c>
      <c r="C67" s="4" t="s">
        <v>225</v>
      </c>
      <c r="D67" s="4" t="s">
        <v>226</v>
      </c>
      <c r="E67" s="4" t="s">
        <v>29</v>
      </c>
      <c r="F67" s="4" t="s">
        <v>49</v>
      </c>
      <c r="G67" s="4" t="s">
        <v>40</v>
      </c>
      <c r="H67" s="4" t="s">
        <v>56</v>
      </c>
      <c r="I67" s="6">
        <v>5</v>
      </c>
      <c r="J67" s="6">
        <v>19350</v>
      </c>
      <c r="K67" s="6">
        <v>13461.65</v>
      </c>
      <c r="L67" s="6">
        <v>5888.35</v>
      </c>
      <c r="M67" s="11">
        <f>Table13[[#This Row],[Profit]]/Table13[[#This Row],[Sales]]</f>
        <v>0.30430749354005171</v>
      </c>
      <c r="N67" s="6" t="str">
        <f>TEXT(Table13[[#This Row],[Order Date]],"mmm")</f>
        <v>Feb</v>
      </c>
      <c r="O67" s="6">
        <f>YEAR(Table13[[#This Row],[Order Date]])</f>
        <v>2025</v>
      </c>
    </row>
    <row r="68" spans="1:15" x14ac:dyDescent="0.3">
      <c r="A68" s="4" t="s">
        <v>227</v>
      </c>
      <c r="B68" s="5">
        <v>45695</v>
      </c>
      <c r="C68" s="4" t="s">
        <v>228</v>
      </c>
      <c r="D68" s="4" t="s">
        <v>229</v>
      </c>
      <c r="E68" s="4" t="s">
        <v>29</v>
      </c>
      <c r="F68" s="4" t="s">
        <v>49</v>
      </c>
      <c r="G68" s="4" t="s">
        <v>24</v>
      </c>
      <c r="H68" s="4" t="s">
        <v>166</v>
      </c>
      <c r="I68" s="6">
        <v>10</v>
      </c>
      <c r="J68" s="6">
        <v>46750</v>
      </c>
      <c r="K68" s="6">
        <v>26090.7</v>
      </c>
      <c r="L68" s="6">
        <v>20659.3</v>
      </c>
      <c r="M68" s="11">
        <f>Table13[[#This Row],[Profit]]/Table13[[#This Row],[Sales]]</f>
        <v>0.44191016042780745</v>
      </c>
      <c r="N68" s="6" t="str">
        <f>TEXT(Table13[[#This Row],[Order Date]],"mmm")</f>
        <v>Feb</v>
      </c>
      <c r="O68" s="6">
        <f>YEAR(Table13[[#This Row],[Order Date]])</f>
        <v>2025</v>
      </c>
    </row>
    <row r="69" spans="1:15" x14ac:dyDescent="0.3">
      <c r="A69" s="4" t="s">
        <v>230</v>
      </c>
      <c r="B69" s="5">
        <v>45558</v>
      </c>
      <c r="C69" s="4" t="s">
        <v>231</v>
      </c>
      <c r="D69" s="4" t="s">
        <v>232</v>
      </c>
      <c r="E69" s="4" t="s">
        <v>15</v>
      </c>
      <c r="F69" s="4" t="s">
        <v>90</v>
      </c>
      <c r="G69" s="4" t="s">
        <v>35</v>
      </c>
      <c r="H69" s="4" t="s">
        <v>36</v>
      </c>
      <c r="I69" s="6">
        <v>3</v>
      </c>
      <c r="J69" s="6">
        <v>12246</v>
      </c>
      <c r="K69" s="6">
        <v>7402.94</v>
      </c>
      <c r="L69" s="6">
        <v>4843.0600000000004</v>
      </c>
      <c r="M69" s="11">
        <f>Table13[[#This Row],[Profit]]/Table13[[#This Row],[Sales]]</f>
        <v>0.39548097337906257</v>
      </c>
      <c r="N69" s="6" t="str">
        <f>TEXT(Table13[[#This Row],[Order Date]],"mmm")</f>
        <v>Sep</v>
      </c>
      <c r="O69" s="6">
        <f>YEAR(Table13[[#This Row],[Order Date]])</f>
        <v>2024</v>
      </c>
    </row>
    <row r="70" spans="1:15" x14ac:dyDescent="0.3">
      <c r="A70" s="4" t="s">
        <v>233</v>
      </c>
      <c r="B70" s="5">
        <v>45723</v>
      </c>
      <c r="C70" s="4" t="s">
        <v>234</v>
      </c>
      <c r="D70" s="4" t="s">
        <v>215</v>
      </c>
      <c r="E70" s="4" t="s">
        <v>29</v>
      </c>
      <c r="F70" s="4" t="s">
        <v>49</v>
      </c>
      <c r="G70" s="4" t="s">
        <v>40</v>
      </c>
      <c r="H70" s="4" t="s">
        <v>41</v>
      </c>
      <c r="I70" s="6">
        <v>6</v>
      </c>
      <c r="J70" s="6">
        <v>20430</v>
      </c>
      <c r="K70" s="6">
        <v>12941.93</v>
      </c>
      <c r="L70" s="6">
        <v>7488.07</v>
      </c>
      <c r="M70" s="11">
        <f>Table13[[#This Row],[Profit]]/Table13[[#This Row],[Sales]]</f>
        <v>0.36652325012236903</v>
      </c>
      <c r="N70" s="6" t="str">
        <f>TEXT(Table13[[#This Row],[Order Date]],"mmm")</f>
        <v>Mar</v>
      </c>
      <c r="O70" s="6">
        <f>YEAR(Table13[[#This Row],[Order Date]])</f>
        <v>2025</v>
      </c>
    </row>
    <row r="71" spans="1:15" x14ac:dyDescent="0.3">
      <c r="A71" s="4" t="s">
        <v>235</v>
      </c>
      <c r="B71" s="5">
        <v>45650</v>
      </c>
      <c r="C71" s="4" t="s">
        <v>236</v>
      </c>
      <c r="D71" s="4" t="s">
        <v>237</v>
      </c>
      <c r="E71" s="4" t="s">
        <v>22</v>
      </c>
      <c r="F71" s="4" t="s">
        <v>23</v>
      </c>
      <c r="G71" s="4" t="s">
        <v>17</v>
      </c>
      <c r="H71" s="4" t="s">
        <v>18</v>
      </c>
      <c r="I71" s="6">
        <v>9</v>
      </c>
      <c r="J71" s="6">
        <v>6534</v>
      </c>
      <c r="K71" s="6">
        <v>5553.72</v>
      </c>
      <c r="L71" s="6">
        <v>980.28</v>
      </c>
      <c r="M71" s="11">
        <f>Table13[[#This Row],[Profit]]/Table13[[#This Row],[Sales]]</f>
        <v>0.1500275482093664</v>
      </c>
      <c r="N71" s="6" t="str">
        <f>TEXT(Table13[[#This Row],[Order Date]],"mmm")</f>
        <v>Dec</v>
      </c>
      <c r="O71" s="6">
        <f>YEAR(Table13[[#This Row],[Order Date]])</f>
        <v>2024</v>
      </c>
    </row>
    <row r="72" spans="1:15" x14ac:dyDescent="0.3">
      <c r="A72" s="4" t="s">
        <v>238</v>
      </c>
      <c r="B72" s="5">
        <v>45536</v>
      </c>
      <c r="C72" s="4" t="s">
        <v>239</v>
      </c>
      <c r="D72" s="4" t="s">
        <v>108</v>
      </c>
      <c r="E72" s="4" t="s">
        <v>15</v>
      </c>
      <c r="F72" s="4" t="s">
        <v>16</v>
      </c>
      <c r="G72" s="4" t="s">
        <v>40</v>
      </c>
      <c r="H72" s="4" t="s">
        <v>56</v>
      </c>
      <c r="I72" s="6">
        <v>4</v>
      </c>
      <c r="J72" s="6">
        <v>1864</v>
      </c>
      <c r="K72" s="6">
        <v>1372.65</v>
      </c>
      <c r="L72" s="6">
        <v>491.35</v>
      </c>
      <c r="M72" s="11">
        <f>Table13[[#This Row],[Profit]]/Table13[[#This Row],[Sales]]</f>
        <v>0.26359978540772533</v>
      </c>
      <c r="N72" s="6" t="str">
        <f>TEXT(Table13[[#This Row],[Order Date]],"mmm")</f>
        <v>Sep</v>
      </c>
      <c r="O72" s="6">
        <f>YEAR(Table13[[#This Row],[Order Date]])</f>
        <v>2024</v>
      </c>
    </row>
    <row r="73" spans="1:15" x14ac:dyDescent="0.3">
      <c r="A73" s="4" t="s">
        <v>240</v>
      </c>
      <c r="B73" s="5">
        <v>45463</v>
      </c>
      <c r="C73" s="4" t="s">
        <v>77</v>
      </c>
      <c r="D73" s="4" t="s">
        <v>48</v>
      </c>
      <c r="E73" s="4" t="s">
        <v>15</v>
      </c>
      <c r="F73" s="4" t="s">
        <v>90</v>
      </c>
      <c r="G73" s="4" t="s">
        <v>40</v>
      </c>
      <c r="H73" s="4" t="s">
        <v>56</v>
      </c>
      <c r="I73" s="6">
        <v>8</v>
      </c>
      <c r="J73" s="6">
        <v>19192</v>
      </c>
      <c r="K73" s="6">
        <v>14971.09</v>
      </c>
      <c r="L73" s="6">
        <v>4220.91</v>
      </c>
      <c r="M73" s="11">
        <f>Table13[[#This Row],[Profit]]/Table13[[#This Row],[Sales]]</f>
        <v>0.21993070029178824</v>
      </c>
      <c r="N73" s="6" t="str">
        <f>TEXT(Table13[[#This Row],[Order Date]],"mmm")</f>
        <v>Jun</v>
      </c>
      <c r="O73" s="6">
        <f>YEAR(Table13[[#This Row],[Order Date]])</f>
        <v>2024</v>
      </c>
    </row>
    <row r="74" spans="1:15" x14ac:dyDescent="0.3">
      <c r="A74" s="4" t="s">
        <v>241</v>
      </c>
      <c r="B74" s="5">
        <v>45676</v>
      </c>
      <c r="C74" s="4" t="s">
        <v>242</v>
      </c>
      <c r="D74" s="4" t="s">
        <v>243</v>
      </c>
      <c r="E74" s="4" t="s">
        <v>54</v>
      </c>
      <c r="F74" s="4" t="s">
        <v>142</v>
      </c>
      <c r="G74" s="4" t="s">
        <v>17</v>
      </c>
      <c r="H74" s="4" t="s">
        <v>72</v>
      </c>
      <c r="I74" s="6">
        <v>1</v>
      </c>
      <c r="J74" s="6">
        <v>2855</v>
      </c>
      <c r="K74" s="6">
        <v>2063.42</v>
      </c>
      <c r="L74" s="6">
        <v>791.58</v>
      </c>
      <c r="M74" s="11">
        <f>Table13[[#This Row],[Profit]]/Table13[[#This Row],[Sales]]</f>
        <v>0.277260945709282</v>
      </c>
      <c r="N74" s="6" t="str">
        <f>TEXT(Table13[[#This Row],[Order Date]],"mmm")</f>
        <v>Jan</v>
      </c>
      <c r="O74" s="6">
        <f>YEAR(Table13[[#This Row],[Order Date]])</f>
        <v>2025</v>
      </c>
    </row>
    <row r="75" spans="1:15" x14ac:dyDescent="0.3">
      <c r="A75" s="4" t="s">
        <v>244</v>
      </c>
      <c r="B75" s="5">
        <v>45600</v>
      </c>
      <c r="C75" s="4" t="s">
        <v>245</v>
      </c>
      <c r="D75" s="4" t="s">
        <v>246</v>
      </c>
      <c r="E75" s="4" t="s">
        <v>15</v>
      </c>
      <c r="F75" s="4" t="s">
        <v>90</v>
      </c>
      <c r="G75" s="4" t="s">
        <v>17</v>
      </c>
      <c r="H75" s="4" t="s">
        <v>18</v>
      </c>
      <c r="I75" s="6">
        <v>4</v>
      </c>
      <c r="J75" s="6">
        <v>4536</v>
      </c>
      <c r="K75" s="6">
        <v>3443.54</v>
      </c>
      <c r="L75" s="6">
        <v>1092.46</v>
      </c>
      <c r="M75" s="11">
        <f>Table13[[#This Row],[Profit]]/Table13[[#This Row],[Sales]]</f>
        <v>0.24084215167548501</v>
      </c>
      <c r="N75" s="6" t="str">
        <f>TEXT(Table13[[#This Row],[Order Date]],"mmm")</f>
        <v>Nov</v>
      </c>
      <c r="O75" s="6">
        <f>YEAR(Table13[[#This Row],[Order Date]])</f>
        <v>2024</v>
      </c>
    </row>
    <row r="76" spans="1:15" x14ac:dyDescent="0.3">
      <c r="A76" s="4" t="s">
        <v>247</v>
      </c>
      <c r="B76" s="5">
        <v>45955</v>
      </c>
      <c r="C76" s="4" t="s">
        <v>248</v>
      </c>
      <c r="D76" s="4" t="s">
        <v>249</v>
      </c>
      <c r="E76" s="4" t="s">
        <v>15</v>
      </c>
      <c r="F76" s="4" t="s">
        <v>63</v>
      </c>
      <c r="G76" s="4" t="s">
        <v>35</v>
      </c>
      <c r="H76" s="4" t="s">
        <v>45</v>
      </c>
      <c r="I76" s="6">
        <v>7</v>
      </c>
      <c r="J76" s="6">
        <v>23345</v>
      </c>
      <c r="K76" s="6">
        <v>13322.69</v>
      </c>
      <c r="L76" s="6">
        <v>10022.31</v>
      </c>
      <c r="M76" s="11">
        <f>Table13[[#This Row],[Profit]]/Table13[[#This Row],[Sales]]</f>
        <v>0.42931291497108587</v>
      </c>
      <c r="N76" s="6" t="str">
        <f>TEXT(Table13[[#This Row],[Order Date]],"mmm")</f>
        <v>Oct</v>
      </c>
      <c r="O76" s="6">
        <f>YEAR(Table13[[#This Row],[Order Date]])</f>
        <v>2025</v>
      </c>
    </row>
    <row r="77" spans="1:15" x14ac:dyDescent="0.3">
      <c r="A77" s="4" t="s">
        <v>250</v>
      </c>
      <c r="B77" s="5">
        <v>45762</v>
      </c>
      <c r="C77" s="4" t="s">
        <v>251</v>
      </c>
      <c r="D77" s="4" t="s">
        <v>252</v>
      </c>
      <c r="E77" s="4" t="s">
        <v>22</v>
      </c>
      <c r="F77" s="4" t="s">
        <v>67</v>
      </c>
      <c r="G77" s="4" t="s">
        <v>24</v>
      </c>
      <c r="H77" s="4" t="s">
        <v>50</v>
      </c>
      <c r="I77" s="6">
        <v>7</v>
      </c>
      <c r="J77" s="6">
        <v>22869</v>
      </c>
      <c r="K77" s="6">
        <v>16938.509999999998</v>
      </c>
      <c r="L77" s="6">
        <v>5930.49</v>
      </c>
      <c r="M77" s="11">
        <f>Table13[[#This Row],[Profit]]/Table13[[#This Row],[Sales]]</f>
        <v>0.25932441296077657</v>
      </c>
      <c r="N77" s="6" t="str">
        <f>TEXT(Table13[[#This Row],[Order Date]],"mmm")</f>
        <v>Apr</v>
      </c>
      <c r="O77" s="6">
        <f>YEAR(Table13[[#This Row],[Order Date]])</f>
        <v>2025</v>
      </c>
    </row>
    <row r="78" spans="1:15" x14ac:dyDescent="0.3">
      <c r="A78" s="4" t="s">
        <v>253</v>
      </c>
      <c r="B78" s="5">
        <v>45768</v>
      </c>
      <c r="C78" s="4" t="s">
        <v>254</v>
      </c>
      <c r="D78" s="4" t="s">
        <v>255</v>
      </c>
      <c r="E78" s="4" t="s">
        <v>29</v>
      </c>
      <c r="F78" s="4" t="s">
        <v>30</v>
      </c>
      <c r="G78" s="4" t="s">
        <v>35</v>
      </c>
      <c r="H78" s="4" t="s">
        <v>45</v>
      </c>
      <c r="I78" s="6">
        <v>5</v>
      </c>
      <c r="J78" s="6">
        <v>23540</v>
      </c>
      <c r="K78" s="6">
        <v>18417.52</v>
      </c>
      <c r="L78" s="6">
        <v>5122.4799999999996</v>
      </c>
      <c r="M78" s="11">
        <f>Table13[[#This Row],[Profit]]/Table13[[#This Row],[Sales]]</f>
        <v>0.217607476635514</v>
      </c>
      <c r="N78" s="6" t="str">
        <f>TEXT(Table13[[#This Row],[Order Date]],"mmm")</f>
        <v>Apr</v>
      </c>
      <c r="O78" s="6">
        <f>YEAR(Table13[[#This Row],[Order Date]])</f>
        <v>2025</v>
      </c>
    </row>
    <row r="79" spans="1:15" x14ac:dyDescent="0.3">
      <c r="A79" s="4" t="s">
        <v>256</v>
      </c>
      <c r="B79" s="5">
        <v>45767</v>
      </c>
      <c r="C79" s="4" t="s">
        <v>257</v>
      </c>
      <c r="D79" s="4" t="s">
        <v>258</v>
      </c>
      <c r="E79" s="4" t="s">
        <v>54</v>
      </c>
      <c r="F79" s="4" t="s">
        <v>142</v>
      </c>
      <c r="G79" s="4" t="s">
        <v>24</v>
      </c>
      <c r="H79" s="4" t="s">
        <v>50</v>
      </c>
      <c r="I79" s="6">
        <v>5</v>
      </c>
      <c r="J79" s="6">
        <v>19960</v>
      </c>
      <c r="K79" s="6">
        <v>12438.25</v>
      </c>
      <c r="L79" s="6">
        <v>7521.75</v>
      </c>
      <c r="M79" s="11">
        <f>Table13[[#This Row],[Profit]]/Table13[[#This Row],[Sales]]</f>
        <v>0.37684118236472947</v>
      </c>
      <c r="N79" s="6" t="str">
        <f>TEXT(Table13[[#This Row],[Order Date]],"mmm")</f>
        <v>Apr</v>
      </c>
      <c r="O79" s="6">
        <f>YEAR(Table13[[#This Row],[Order Date]])</f>
        <v>2025</v>
      </c>
    </row>
    <row r="80" spans="1:15" x14ac:dyDescent="0.3">
      <c r="A80" s="4" t="s">
        <v>259</v>
      </c>
      <c r="B80" s="5">
        <v>45655</v>
      </c>
      <c r="C80" s="4" t="s">
        <v>260</v>
      </c>
      <c r="D80" s="4" t="s">
        <v>261</v>
      </c>
      <c r="E80" s="4" t="s">
        <v>54</v>
      </c>
      <c r="F80" s="4" t="s">
        <v>142</v>
      </c>
      <c r="G80" s="4" t="s">
        <v>35</v>
      </c>
      <c r="H80" s="4" t="s">
        <v>80</v>
      </c>
      <c r="I80" s="6">
        <v>6</v>
      </c>
      <c r="J80" s="6">
        <v>10734</v>
      </c>
      <c r="K80" s="6">
        <v>7473.71</v>
      </c>
      <c r="L80" s="6">
        <v>3260.29</v>
      </c>
      <c r="M80" s="11">
        <f>Table13[[#This Row],[Profit]]/Table13[[#This Row],[Sales]]</f>
        <v>0.30373486118874604</v>
      </c>
      <c r="N80" s="6" t="str">
        <f>TEXT(Table13[[#This Row],[Order Date]],"mmm")</f>
        <v>Dec</v>
      </c>
      <c r="O80" s="6">
        <f>YEAR(Table13[[#This Row],[Order Date]])</f>
        <v>2024</v>
      </c>
    </row>
    <row r="81" spans="1:15" x14ac:dyDescent="0.3">
      <c r="A81" s="4" t="s">
        <v>262</v>
      </c>
      <c r="B81" s="5">
        <v>45487</v>
      </c>
      <c r="C81" s="4" t="s">
        <v>263</v>
      </c>
      <c r="D81" s="4" t="s">
        <v>264</v>
      </c>
      <c r="E81" s="4" t="s">
        <v>54</v>
      </c>
      <c r="F81" s="4" t="s">
        <v>71</v>
      </c>
      <c r="G81" s="4" t="s">
        <v>17</v>
      </c>
      <c r="H81" s="4" t="s">
        <v>18</v>
      </c>
      <c r="I81" s="6">
        <v>5</v>
      </c>
      <c r="J81" s="6">
        <v>24265</v>
      </c>
      <c r="K81" s="6">
        <v>13419.65</v>
      </c>
      <c r="L81" s="6">
        <v>10845.35</v>
      </c>
      <c r="M81" s="11">
        <f>Table13[[#This Row],[Profit]]/Table13[[#This Row],[Sales]]</f>
        <v>0.4469544611580466</v>
      </c>
      <c r="N81" s="6" t="str">
        <f>TEXT(Table13[[#This Row],[Order Date]],"mmm")</f>
        <v>Jul</v>
      </c>
      <c r="O81" s="6">
        <f>YEAR(Table13[[#This Row],[Order Date]])</f>
        <v>2024</v>
      </c>
    </row>
    <row r="82" spans="1:15" x14ac:dyDescent="0.3">
      <c r="A82" s="4" t="s">
        <v>265</v>
      </c>
      <c r="B82" s="5">
        <v>45794</v>
      </c>
      <c r="C82" s="4" t="s">
        <v>266</v>
      </c>
      <c r="D82" s="4" t="s">
        <v>267</v>
      </c>
      <c r="E82" s="4" t="s">
        <v>22</v>
      </c>
      <c r="F82" s="4" t="s">
        <v>67</v>
      </c>
      <c r="G82" s="4" t="s">
        <v>35</v>
      </c>
      <c r="H82" s="4" t="s">
        <v>45</v>
      </c>
      <c r="I82" s="6">
        <v>4</v>
      </c>
      <c r="J82" s="6">
        <v>16800</v>
      </c>
      <c r="K82" s="6">
        <v>12495.35</v>
      </c>
      <c r="L82" s="6">
        <v>4304.6499999999996</v>
      </c>
      <c r="M82" s="11">
        <f>Table13[[#This Row],[Profit]]/Table13[[#This Row],[Sales]]</f>
        <v>0.25622916666666662</v>
      </c>
      <c r="N82" s="6" t="str">
        <f>TEXT(Table13[[#This Row],[Order Date]],"mmm")</f>
        <v>May</v>
      </c>
      <c r="O82" s="6">
        <f>YEAR(Table13[[#This Row],[Order Date]])</f>
        <v>2025</v>
      </c>
    </row>
    <row r="83" spans="1:15" x14ac:dyDescent="0.3">
      <c r="A83" s="4" t="s">
        <v>268</v>
      </c>
      <c r="B83" s="5">
        <v>45887</v>
      </c>
      <c r="C83" s="4" t="s">
        <v>269</v>
      </c>
      <c r="D83" s="4" t="s">
        <v>108</v>
      </c>
      <c r="E83" s="4" t="s">
        <v>15</v>
      </c>
      <c r="F83" s="4" t="s">
        <v>63</v>
      </c>
      <c r="G83" s="4" t="s">
        <v>40</v>
      </c>
      <c r="H83" s="4" t="s">
        <v>56</v>
      </c>
      <c r="I83" s="6">
        <v>7</v>
      </c>
      <c r="J83" s="6">
        <v>16051</v>
      </c>
      <c r="K83" s="6">
        <v>10302.52</v>
      </c>
      <c r="L83" s="6">
        <v>5748.48</v>
      </c>
      <c r="M83" s="11">
        <f>Table13[[#This Row],[Profit]]/Table13[[#This Row],[Sales]]</f>
        <v>0.35813843374244592</v>
      </c>
      <c r="N83" s="6" t="str">
        <f>TEXT(Table13[[#This Row],[Order Date]],"mmm")</f>
        <v>Aug</v>
      </c>
      <c r="O83" s="6">
        <f>YEAR(Table13[[#This Row],[Order Date]])</f>
        <v>2025</v>
      </c>
    </row>
    <row r="84" spans="1:15" x14ac:dyDescent="0.3">
      <c r="A84" s="4" t="s">
        <v>270</v>
      </c>
      <c r="B84" s="5">
        <v>45756</v>
      </c>
      <c r="C84" s="4" t="s">
        <v>271</v>
      </c>
      <c r="D84" s="4" t="s">
        <v>272</v>
      </c>
      <c r="E84" s="4" t="s">
        <v>54</v>
      </c>
      <c r="F84" s="4" t="s">
        <v>55</v>
      </c>
      <c r="G84" s="4" t="s">
        <v>17</v>
      </c>
      <c r="H84" s="4" t="s">
        <v>18</v>
      </c>
      <c r="I84" s="6">
        <v>9</v>
      </c>
      <c r="J84" s="6">
        <v>27081</v>
      </c>
      <c r="K84" s="6">
        <v>17752.759999999998</v>
      </c>
      <c r="L84" s="6">
        <v>9328.24</v>
      </c>
      <c r="M84" s="11">
        <f>Table13[[#This Row],[Profit]]/Table13[[#This Row],[Sales]]</f>
        <v>0.3444569993722536</v>
      </c>
      <c r="N84" s="6" t="str">
        <f>TEXT(Table13[[#This Row],[Order Date]],"mmm")</f>
        <v>Apr</v>
      </c>
      <c r="O84" s="6">
        <f>YEAR(Table13[[#This Row],[Order Date]])</f>
        <v>2025</v>
      </c>
    </row>
    <row r="85" spans="1:15" x14ac:dyDescent="0.3">
      <c r="A85" s="4" t="s">
        <v>273</v>
      </c>
      <c r="B85" s="5">
        <v>45840</v>
      </c>
      <c r="C85" s="4" t="s">
        <v>274</v>
      </c>
      <c r="D85" s="4" t="s">
        <v>187</v>
      </c>
      <c r="E85" s="4" t="s">
        <v>54</v>
      </c>
      <c r="F85" s="4" t="s">
        <v>142</v>
      </c>
      <c r="G85" s="4" t="s">
        <v>24</v>
      </c>
      <c r="H85" s="4" t="s">
        <v>50</v>
      </c>
      <c r="I85" s="6">
        <v>4</v>
      </c>
      <c r="J85" s="6">
        <v>11536</v>
      </c>
      <c r="K85" s="6">
        <v>6758.56</v>
      </c>
      <c r="L85" s="6">
        <v>4777.4399999999996</v>
      </c>
      <c r="M85" s="11">
        <f>Table13[[#This Row],[Profit]]/Table13[[#This Row],[Sales]]</f>
        <v>0.41413314840499305</v>
      </c>
      <c r="N85" s="6" t="str">
        <f>TEXT(Table13[[#This Row],[Order Date]],"mmm")</f>
        <v>Jul</v>
      </c>
      <c r="O85" s="6">
        <f>YEAR(Table13[[#This Row],[Order Date]])</f>
        <v>2025</v>
      </c>
    </row>
    <row r="86" spans="1:15" x14ac:dyDescent="0.3">
      <c r="A86" s="4" t="s">
        <v>275</v>
      </c>
      <c r="B86" s="5">
        <v>45394</v>
      </c>
      <c r="C86" s="4" t="s">
        <v>276</v>
      </c>
      <c r="D86" s="4" t="s">
        <v>277</v>
      </c>
      <c r="E86" s="4" t="s">
        <v>29</v>
      </c>
      <c r="F86" s="4" t="s">
        <v>30</v>
      </c>
      <c r="G86" s="4" t="s">
        <v>35</v>
      </c>
      <c r="H86" s="4" t="s">
        <v>80</v>
      </c>
      <c r="I86" s="6">
        <v>5</v>
      </c>
      <c r="J86" s="6">
        <v>22985</v>
      </c>
      <c r="K86" s="6">
        <v>16756.919999999998</v>
      </c>
      <c r="L86" s="6">
        <v>6228.08</v>
      </c>
      <c r="M86" s="11">
        <f>Table13[[#This Row],[Profit]]/Table13[[#This Row],[Sales]]</f>
        <v>0.27096280182727867</v>
      </c>
      <c r="N86" s="6" t="str">
        <f>TEXT(Table13[[#This Row],[Order Date]],"mmm")</f>
        <v>Apr</v>
      </c>
      <c r="O86" s="6">
        <f>YEAR(Table13[[#This Row],[Order Date]])</f>
        <v>2024</v>
      </c>
    </row>
    <row r="87" spans="1:15" x14ac:dyDescent="0.3">
      <c r="A87" s="4" t="s">
        <v>278</v>
      </c>
      <c r="B87" s="5">
        <v>45421</v>
      </c>
      <c r="C87" s="4" t="s">
        <v>279</v>
      </c>
      <c r="D87" s="4" t="s">
        <v>44</v>
      </c>
      <c r="E87" s="4" t="s">
        <v>29</v>
      </c>
      <c r="F87" s="4" t="s">
        <v>49</v>
      </c>
      <c r="G87" s="4" t="s">
        <v>24</v>
      </c>
      <c r="H87" s="4" t="s">
        <v>166</v>
      </c>
      <c r="I87" s="6">
        <v>5</v>
      </c>
      <c r="J87" s="6">
        <v>2075</v>
      </c>
      <c r="K87" s="6">
        <v>1581.99</v>
      </c>
      <c r="L87" s="6">
        <v>493.01</v>
      </c>
      <c r="M87" s="11">
        <f>Table13[[#This Row],[Profit]]/Table13[[#This Row],[Sales]]</f>
        <v>0.23759518072289157</v>
      </c>
      <c r="N87" s="6" t="str">
        <f>TEXT(Table13[[#This Row],[Order Date]],"mmm")</f>
        <v>May</v>
      </c>
      <c r="O87" s="6">
        <f>YEAR(Table13[[#This Row],[Order Date]])</f>
        <v>2024</v>
      </c>
    </row>
    <row r="88" spans="1:15" x14ac:dyDescent="0.3">
      <c r="A88" s="4" t="s">
        <v>280</v>
      </c>
      <c r="B88" s="5">
        <v>45304</v>
      </c>
      <c r="C88" s="4" t="s">
        <v>281</v>
      </c>
      <c r="D88" s="4" t="s">
        <v>282</v>
      </c>
      <c r="E88" s="4" t="s">
        <v>15</v>
      </c>
      <c r="F88" s="4" t="s">
        <v>90</v>
      </c>
      <c r="G88" s="4" t="s">
        <v>40</v>
      </c>
      <c r="H88" s="4" t="s">
        <v>99</v>
      </c>
      <c r="I88" s="6">
        <v>3</v>
      </c>
      <c r="J88" s="6">
        <v>12963</v>
      </c>
      <c r="K88" s="6">
        <v>7528.6</v>
      </c>
      <c r="L88" s="6">
        <v>5434.4</v>
      </c>
      <c r="M88" s="11">
        <f>Table13[[#This Row],[Profit]]/Table13[[#This Row],[Sales]]</f>
        <v>0.41922394507444261</v>
      </c>
      <c r="N88" s="6" t="str">
        <f>TEXT(Table13[[#This Row],[Order Date]],"mmm")</f>
        <v>Jan</v>
      </c>
      <c r="O88" s="6">
        <f>YEAR(Table13[[#This Row],[Order Date]])</f>
        <v>2024</v>
      </c>
    </row>
    <row r="89" spans="1:15" x14ac:dyDescent="0.3">
      <c r="A89" s="4" t="s">
        <v>283</v>
      </c>
      <c r="B89" s="5">
        <v>45550</v>
      </c>
      <c r="C89" s="4" t="s">
        <v>284</v>
      </c>
      <c r="D89" s="4" t="s">
        <v>285</v>
      </c>
      <c r="E89" s="4" t="s">
        <v>22</v>
      </c>
      <c r="F89" s="4" t="s">
        <v>67</v>
      </c>
      <c r="G89" s="4" t="s">
        <v>35</v>
      </c>
      <c r="H89" s="4" t="s">
        <v>80</v>
      </c>
      <c r="I89" s="6">
        <v>6</v>
      </c>
      <c r="J89" s="6">
        <v>10860</v>
      </c>
      <c r="K89" s="6">
        <v>9118.59</v>
      </c>
      <c r="L89" s="6">
        <v>1741.41</v>
      </c>
      <c r="M89" s="11">
        <f>Table13[[#This Row],[Profit]]/Table13[[#This Row],[Sales]]</f>
        <v>0.16035082872928177</v>
      </c>
      <c r="N89" s="6" t="str">
        <f>TEXT(Table13[[#This Row],[Order Date]],"mmm")</f>
        <v>Sep</v>
      </c>
      <c r="O89" s="6">
        <f>YEAR(Table13[[#This Row],[Order Date]])</f>
        <v>2024</v>
      </c>
    </row>
    <row r="90" spans="1:15" x14ac:dyDescent="0.3">
      <c r="A90" s="4" t="s">
        <v>286</v>
      </c>
      <c r="B90" s="5">
        <v>45868</v>
      </c>
      <c r="C90" s="4" t="s">
        <v>287</v>
      </c>
      <c r="D90" s="4" t="s">
        <v>288</v>
      </c>
      <c r="E90" s="4" t="s">
        <v>15</v>
      </c>
      <c r="F90" s="4" t="s">
        <v>63</v>
      </c>
      <c r="G90" s="4" t="s">
        <v>35</v>
      </c>
      <c r="H90" s="4" t="s">
        <v>80</v>
      </c>
      <c r="I90" s="6">
        <v>2</v>
      </c>
      <c r="J90" s="6">
        <v>1478</v>
      </c>
      <c r="K90" s="6">
        <v>880.18</v>
      </c>
      <c r="L90" s="6">
        <v>597.82000000000005</v>
      </c>
      <c r="M90" s="11">
        <f>Table13[[#This Row],[Profit]]/Table13[[#This Row],[Sales]]</f>
        <v>0.40447902571041949</v>
      </c>
      <c r="N90" s="6" t="str">
        <f>TEXT(Table13[[#This Row],[Order Date]],"mmm")</f>
        <v>Jul</v>
      </c>
      <c r="O90" s="6">
        <f>YEAR(Table13[[#This Row],[Order Date]])</f>
        <v>2025</v>
      </c>
    </row>
    <row r="91" spans="1:15" x14ac:dyDescent="0.3">
      <c r="A91" s="4" t="s">
        <v>289</v>
      </c>
      <c r="B91" s="5">
        <v>45681</v>
      </c>
      <c r="C91" s="4" t="s">
        <v>290</v>
      </c>
      <c r="D91" s="4" t="s">
        <v>155</v>
      </c>
      <c r="E91" s="4" t="s">
        <v>29</v>
      </c>
      <c r="F91" s="4" t="s">
        <v>102</v>
      </c>
      <c r="G91" s="4" t="s">
        <v>35</v>
      </c>
      <c r="H91" s="4" t="s">
        <v>45</v>
      </c>
      <c r="I91" s="6">
        <v>7</v>
      </c>
      <c r="J91" s="6">
        <v>15036</v>
      </c>
      <c r="K91" s="6">
        <v>11768.8</v>
      </c>
      <c r="L91" s="6">
        <v>3267.2</v>
      </c>
      <c r="M91" s="11">
        <f>Table13[[#This Row],[Profit]]/Table13[[#This Row],[Sales]]</f>
        <v>0.21729183293429102</v>
      </c>
      <c r="N91" s="6" t="str">
        <f>TEXT(Table13[[#This Row],[Order Date]],"mmm")</f>
        <v>Jan</v>
      </c>
      <c r="O91" s="6">
        <f>YEAR(Table13[[#This Row],[Order Date]])</f>
        <v>2025</v>
      </c>
    </row>
    <row r="92" spans="1:15" x14ac:dyDescent="0.3">
      <c r="A92" s="4" t="s">
        <v>291</v>
      </c>
      <c r="B92" s="5">
        <v>45916</v>
      </c>
      <c r="C92" s="4" t="s">
        <v>292</v>
      </c>
      <c r="D92" s="4" t="s">
        <v>293</v>
      </c>
      <c r="E92" s="4" t="s">
        <v>54</v>
      </c>
      <c r="F92" s="4" t="s">
        <v>71</v>
      </c>
      <c r="G92" s="4" t="s">
        <v>35</v>
      </c>
      <c r="H92" s="4" t="s">
        <v>36</v>
      </c>
      <c r="I92" s="6">
        <v>5</v>
      </c>
      <c r="J92" s="6">
        <v>24790</v>
      </c>
      <c r="K92" s="6">
        <v>18253.080000000002</v>
      </c>
      <c r="L92" s="6">
        <v>6536.92</v>
      </c>
      <c r="M92" s="11">
        <f>Table13[[#This Row],[Profit]]/Table13[[#This Row],[Sales]]</f>
        <v>0.26369181121419927</v>
      </c>
      <c r="N92" s="6" t="str">
        <f>TEXT(Table13[[#This Row],[Order Date]],"mmm")</f>
        <v>Sep</v>
      </c>
      <c r="O92" s="6">
        <f>YEAR(Table13[[#This Row],[Order Date]])</f>
        <v>2025</v>
      </c>
    </row>
    <row r="93" spans="1:15" x14ac:dyDescent="0.3">
      <c r="A93" s="4" t="s">
        <v>294</v>
      </c>
      <c r="B93" s="5">
        <v>45857</v>
      </c>
      <c r="C93" s="4" t="s">
        <v>295</v>
      </c>
      <c r="D93" s="4" t="s">
        <v>296</v>
      </c>
      <c r="E93" s="4" t="s">
        <v>29</v>
      </c>
      <c r="F93" s="4" t="s">
        <v>49</v>
      </c>
      <c r="G93" s="4" t="s">
        <v>17</v>
      </c>
      <c r="H93" s="4" t="s">
        <v>31</v>
      </c>
      <c r="I93" s="6">
        <v>2</v>
      </c>
      <c r="J93" s="6">
        <v>3172</v>
      </c>
      <c r="K93" s="6">
        <v>1972.86</v>
      </c>
      <c r="L93" s="6">
        <v>1199.1400000000001</v>
      </c>
      <c r="M93" s="11">
        <f>Table13[[#This Row],[Profit]]/Table13[[#This Row],[Sales]]</f>
        <v>0.37803909205548553</v>
      </c>
      <c r="N93" s="6" t="str">
        <f>TEXT(Table13[[#This Row],[Order Date]],"mmm")</f>
        <v>Jul</v>
      </c>
      <c r="O93" s="6">
        <f>YEAR(Table13[[#This Row],[Order Date]])</f>
        <v>2025</v>
      </c>
    </row>
    <row r="94" spans="1:15" x14ac:dyDescent="0.3">
      <c r="A94" s="4" t="s">
        <v>297</v>
      </c>
      <c r="B94" s="5">
        <v>45529</v>
      </c>
      <c r="C94" s="4" t="s">
        <v>298</v>
      </c>
      <c r="D94" s="4" t="s">
        <v>299</v>
      </c>
      <c r="E94" s="4" t="s">
        <v>15</v>
      </c>
      <c r="F94" s="4" t="s">
        <v>63</v>
      </c>
      <c r="G94" s="4" t="s">
        <v>35</v>
      </c>
      <c r="H94" s="4" t="s">
        <v>80</v>
      </c>
      <c r="I94" s="6">
        <v>10</v>
      </c>
      <c r="J94" s="6">
        <v>41490</v>
      </c>
      <c r="K94" s="6">
        <v>26444.799999999999</v>
      </c>
      <c r="L94" s="6">
        <v>15045.2</v>
      </c>
      <c r="M94" s="11">
        <f>Table13[[#This Row],[Profit]]/Table13[[#This Row],[Sales]]</f>
        <v>0.36262231863099542</v>
      </c>
      <c r="N94" s="6" t="str">
        <f>TEXT(Table13[[#This Row],[Order Date]],"mmm")</f>
        <v>Aug</v>
      </c>
      <c r="O94" s="6">
        <f>YEAR(Table13[[#This Row],[Order Date]])</f>
        <v>2024</v>
      </c>
    </row>
    <row r="95" spans="1:15" x14ac:dyDescent="0.3">
      <c r="A95" s="4" t="s">
        <v>300</v>
      </c>
      <c r="B95" s="5">
        <v>45932</v>
      </c>
      <c r="C95" s="4" t="s">
        <v>301</v>
      </c>
      <c r="D95" s="4" t="s">
        <v>302</v>
      </c>
      <c r="E95" s="4" t="s">
        <v>22</v>
      </c>
      <c r="F95" s="4" t="s">
        <v>23</v>
      </c>
      <c r="G95" s="4" t="s">
        <v>17</v>
      </c>
      <c r="H95" s="4" t="s">
        <v>31</v>
      </c>
      <c r="I95" s="6">
        <v>4</v>
      </c>
      <c r="J95" s="6">
        <v>9868</v>
      </c>
      <c r="K95" s="6">
        <v>7759.69</v>
      </c>
      <c r="L95" s="6">
        <v>2108.31</v>
      </c>
      <c r="M95" s="11">
        <f>Table13[[#This Row],[Profit]]/Table13[[#This Row],[Sales]]</f>
        <v>0.21365119578435346</v>
      </c>
      <c r="N95" s="6" t="str">
        <f>TEXT(Table13[[#This Row],[Order Date]],"mmm")</f>
        <v>Oct</v>
      </c>
      <c r="O95" s="6">
        <f>YEAR(Table13[[#This Row],[Order Date]])</f>
        <v>2025</v>
      </c>
    </row>
    <row r="96" spans="1:15" x14ac:dyDescent="0.3">
      <c r="A96" s="4" t="s">
        <v>303</v>
      </c>
      <c r="B96" s="5">
        <v>45365</v>
      </c>
      <c r="C96" s="4" t="s">
        <v>120</v>
      </c>
      <c r="D96" s="4" t="s">
        <v>121</v>
      </c>
      <c r="E96" s="4" t="s">
        <v>15</v>
      </c>
      <c r="F96" s="4" t="s">
        <v>90</v>
      </c>
      <c r="G96" s="4" t="s">
        <v>40</v>
      </c>
      <c r="H96" s="4" t="s">
        <v>56</v>
      </c>
      <c r="I96" s="6">
        <v>3</v>
      </c>
      <c r="J96" s="6">
        <v>7428</v>
      </c>
      <c r="K96" s="6">
        <v>5927.46</v>
      </c>
      <c r="L96" s="6">
        <v>1500.54</v>
      </c>
      <c r="M96" s="11">
        <f>Table13[[#This Row],[Profit]]/Table13[[#This Row],[Sales]]</f>
        <v>0.20201130856219709</v>
      </c>
      <c r="N96" s="6" t="str">
        <f>TEXT(Table13[[#This Row],[Order Date]],"mmm")</f>
        <v>Mar</v>
      </c>
      <c r="O96" s="6">
        <f>YEAR(Table13[[#This Row],[Order Date]])</f>
        <v>2024</v>
      </c>
    </row>
    <row r="97" spans="1:15" x14ac:dyDescent="0.3">
      <c r="A97" s="4" t="s">
        <v>304</v>
      </c>
      <c r="B97" s="5">
        <v>45771</v>
      </c>
      <c r="C97" s="4" t="s">
        <v>287</v>
      </c>
      <c r="D97" s="4" t="s">
        <v>305</v>
      </c>
      <c r="E97" s="4" t="s">
        <v>54</v>
      </c>
      <c r="F97" s="4" t="s">
        <v>71</v>
      </c>
      <c r="G97" s="4" t="s">
        <v>17</v>
      </c>
      <c r="H97" s="4" t="s">
        <v>18</v>
      </c>
      <c r="I97" s="6">
        <v>10</v>
      </c>
      <c r="J97" s="6">
        <v>26640</v>
      </c>
      <c r="K97" s="6">
        <v>18161.71</v>
      </c>
      <c r="L97" s="6">
        <v>8478.2900000000009</v>
      </c>
      <c r="M97" s="11">
        <f>Table13[[#This Row],[Profit]]/Table13[[#This Row],[Sales]]</f>
        <v>0.31825412912912915</v>
      </c>
      <c r="N97" s="6" t="str">
        <f>TEXT(Table13[[#This Row],[Order Date]],"mmm")</f>
        <v>Apr</v>
      </c>
      <c r="O97" s="6">
        <f>YEAR(Table13[[#This Row],[Order Date]])</f>
        <v>2025</v>
      </c>
    </row>
    <row r="98" spans="1:15" x14ac:dyDescent="0.3">
      <c r="A98" s="4" t="s">
        <v>306</v>
      </c>
      <c r="B98" s="5">
        <v>45332</v>
      </c>
      <c r="C98" s="4" t="s">
        <v>307</v>
      </c>
      <c r="D98" s="4" t="s">
        <v>308</v>
      </c>
      <c r="E98" s="4" t="s">
        <v>54</v>
      </c>
      <c r="F98" s="4" t="s">
        <v>71</v>
      </c>
      <c r="G98" s="4" t="s">
        <v>35</v>
      </c>
      <c r="H98" s="4" t="s">
        <v>45</v>
      </c>
      <c r="I98" s="6">
        <v>8</v>
      </c>
      <c r="J98" s="6">
        <v>31088</v>
      </c>
      <c r="K98" s="6">
        <v>17848.63</v>
      </c>
      <c r="L98" s="6">
        <v>13239.37</v>
      </c>
      <c r="M98" s="11">
        <f>Table13[[#This Row],[Profit]]/Table13[[#This Row],[Sales]]</f>
        <v>0.42586753731343285</v>
      </c>
      <c r="N98" s="6" t="str">
        <f>TEXT(Table13[[#This Row],[Order Date]],"mmm")</f>
        <v>Feb</v>
      </c>
      <c r="O98" s="6">
        <f>YEAR(Table13[[#This Row],[Order Date]])</f>
        <v>2024</v>
      </c>
    </row>
    <row r="99" spans="1:15" x14ac:dyDescent="0.3">
      <c r="A99" s="4" t="s">
        <v>309</v>
      </c>
      <c r="B99" s="5">
        <v>45980</v>
      </c>
      <c r="C99" s="4" t="s">
        <v>310</v>
      </c>
      <c r="D99" s="4" t="s">
        <v>311</v>
      </c>
      <c r="E99" s="4" t="s">
        <v>54</v>
      </c>
      <c r="F99" s="4" t="s">
        <v>142</v>
      </c>
      <c r="G99" s="4" t="s">
        <v>24</v>
      </c>
      <c r="H99" s="4" t="s">
        <v>50</v>
      </c>
      <c r="I99" s="6">
        <v>4</v>
      </c>
      <c r="J99" s="6">
        <v>1876</v>
      </c>
      <c r="K99" s="6">
        <v>1594.36</v>
      </c>
      <c r="L99" s="6">
        <v>281.64</v>
      </c>
      <c r="M99" s="11">
        <f>Table13[[#This Row],[Profit]]/Table13[[#This Row],[Sales]]</f>
        <v>0.15012793176972281</v>
      </c>
      <c r="N99" s="6" t="str">
        <f>TEXT(Table13[[#This Row],[Order Date]],"mmm")</f>
        <v>Nov</v>
      </c>
      <c r="O99" s="6">
        <f>YEAR(Table13[[#This Row],[Order Date]])</f>
        <v>2025</v>
      </c>
    </row>
    <row r="100" spans="1:15" x14ac:dyDescent="0.3">
      <c r="A100" s="4" t="s">
        <v>312</v>
      </c>
      <c r="B100" s="5">
        <v>45477</v>
      </c>
      <c r="C100" s="4" t="s">
        <v>313</v>
      </c>
      <c r="D100" s="4" t="s">
        <v>314</v>
      </c>
      <c r="E100" s="4" t="s">
        <v>15</v>
      </c>
      <c r="F100" s="4" t="s">
        <v>16</v>
      </c>
      <c r="G100" s="4" t="s">
        <v>35</v>
      </c>
      <c r="H100" s="4" t="s">
        <v>80</v>
      </c>
      <c r="I100" s="6">
        <v>9</v>
      </c>
      <c r="J100" s="6">
        <v>35298</v>
      </c>
      <c r="K100" s="6">
        <v>29114.560000000001</v>
      </c>
      <c r="L100" s="6">
        <v>6183.44</v>
      </c>
      <c r="M100" s="11">
        <f>Table13[[#This Row],[Profit]]/Table13[[#This Row],[Sales]]</f>
        <v>0.17517819706498949</v>
      </c>
      <c r="N100" s="6" t="str">
        <f>TEXT(Table13[[#This Row],[Order Date]],"mmm")</f>
        <v>Jul</v>
      </c>
      <c r="O100" s="6">
        <f>YEAR(Table13[[#This Row],[Order Date]])</f>
        <v>2024</v>
      </c>
    </row>
    <row r="101" spans="1:15" x14ac:dyDescent="0.3">
      <c r="A101" s="4" t="s">
        <v>315</v>
      </c>
      <c r="B101" s="5">
        <v>45978</v>
      </c>
      <c r="C101" s="4" t="s">
        <v>316</v>
      </c>
      <c r="D101" s="4" t="s">
        <v>86</v>
      </c>
      <c r="E101" s="4" t="s">
        <v>22</v>
      </c>
      <c r="F101" s="4" t="s">
        <v>23</v>
      </c>
      <c r="G101" s="4" t="s">
        <v>35</v>
      </c>
      <c r="H101" s="4" t="s">
        <v>80</v>
      </c>
      <c r="I101" s="6">
        <v>6</v>
      </c>
      <c r="J101" s="6">
        <v>21870</v>
      </c>
      <c r="K101" s="6">
        <v>14215.34</v>
      </c>
      <c r="L101" s="6">
        <v>7654.66</v>
      </c>
      <c r="M101" s="11">
        <f>Table13[[#This Row],[Profit]]/Table13[[#This Row],[Sales]]</f>
        <v>0.35000731595793322</v>
      </c>
      <c r="N101" s="6" t="str">
        <f>TEXT(Table13[[#This Row],[Order Date]],"mmm")</f>
        <v>Nov</v>
      </c>
      <c r="O101" s="6">
        <f>YEAR(Table13[[#This Row],[Order Date]])</f>
        <v>2025</v>
      </c>
    </row>
    <row r="102" spans="1:15" x14ac:dyDescent="0.3">
      <c r="A102" s="4" t="s">
        <v>317</v>
      </c>
      <c r="B102" s="5">
        <v>45702</v>
      </c>
      <c r="C102" s="4" t="s">
        <v>318</v>
      </c>
      <c r="D102" s="4" t="s">
        <v>319</v>
      </c>
      <c r="E102" s="4" t="s">
        <v>54</v>
      </c>
      <c r="F102" s="4" t="s">
        <v>55</v>
      </c>
      <c r="G102" s="4" t="s">
        <v>17</v>
      </c>
      <c r="H102" s="4" t="s">
        <v>18</v>
      </c>
      <c r="I102" s="6">
        <v>8</v>
      </c>
      <c r="J102" s="6">
        <v>21288</v>
      </c>
      <c r="K102" s="6">
        <v>15939.92</v>
      </c>
      <c r="L102" s="6">
        <v>5348.08</v>
      </c>
      <c r="M102" s="11">
        <f>Table13[[#This Row],[Profit]]/Table13[[#This Row],[Sales]]</f>
        <v>0.25122510334460729</v>
      </c>
      <c r="N102" s="6" t="str">
        <f>TEXT(Table13[[#This Row],[Order Date]],"mmm")</f>
        <v>Feb</v>
      </c>
      <c r="O102" s="6">
        <f>YEAR(Table13[[#This Row],[Order Date]])</f>
        <v>2025</v>
      </c>
    </row>
    <row r="103" spans="1:15" x14ac:dyDescent="0.3">
      <c r="A103" s="4" t="s">
        <v>320</v>
      </c>
      <c r="B103" s="5">
        <v>45705</v>
      </c>
      <c r="C103" s="4" t="s">
        <v>321</v>
      </c>
      <c r="D103" s="4" t="s">
        <v>322</v>
      </c>
      <c r="E103" s="4" t="s">
        <v>22</v>
      </c>
      <c r="F103" s="4" t="s">
        <v>23</v>
      </c>
      <c r="G103" s="4" t="s">
        <v>40</v>
      </c>
      <c r="H103" s="4" t="s">
        <v>41</v>
      </c>
      <c r="I103" s="6">
        <v>5</v>
      </c>
      <c r="J103" s="6">
        <v>14740</v>
      </c>
      <c r="K103" s="6">
        <v>8619.61</v>
      </c>
      <c r="L103" s="6">
        <v>6120.39</v>
      </c>
      <c r="M103" s="11">
        <f>Table13[[#This Row],[Profit]]/Table13[[#This Row],[Sales]]</f>
        <v>0.41522320217096337</v>
      </c>
      <c r="N103" s="6" t="str">
        <f>TEXT(Table13[[#This Row],[Order Date]],"mmm")</f>
        <v>Feb</v>
      </c>
      <c r="O103" s="6">
        <f>YEAR(Table13[[#This Row],[Order Date]])</f>
        <v>2025</v>
      </c>
    </row>
    <row r="104" spans="1:15" x14ac:dyDescent="0.3">
      <c r="A104" s="4" t="s">
        <v>323</v>
      </c>
      <c r="B104" s="5">
        <v>45802</v>
      </c>
      <c r="C104" s="4" t="s">
        <v>324</v>
      </c>
      <c r="D104" s="4" t="s">
        <v>325</v>
      </c>
      <c r="E104" s="4" t="s">
        <v>22</v>
      </c>
      <c r="F104" s="4" t="s">
        <v>67</v>
      </c>
      <c r="G104" s="4" t="s">
        <v>24</v>
      </c>
      <c r="H104" s="4" t="s">
        <v>25</v>
      </c>
      <c r="I104" s="6">
        <v>4</v>
      </c>
      <c r="J104" s="6">
        <v>18188</v>
      </c>
      <c r="K104" s="6">
        <v>11977.41</v>
      </c>
      <c r="L104" s="6">
        <v>6210.59</v>
      </c>
      <c r="M104" s="11">
        <f>Table13[[#This Row],[Profit]]/Table13[[#This Row],[Sales]]</f>
        <v>0.34146635144051024</v>
      </c>
      <c r="N104" s="6" t="str">
        <f>TEXT(Table13[[#This Row],[Order Date]],"mmm")</f>
        <v>May</v>
      </c>
      <c r="O104" s="6">
        <f>YEAR(Table13[[#This Row],[Order Date]])</f>
        <v>2025</v>
      </c>
    </row>
    <row r="105" spans="1:15" x14ac:dyDescent="0.3">
      <c r="A105" s="4" t="s">
        <v>326</v>
      </c>
      <c r="B105" s="5">
        <v>46007</v>
      </c>
      <c r="C105" s="4" t="s">
        <v>212</v>
      </c>
      <c r="D105" s="4" t="s">
        <v>327</v>
      </c>
      <c r="E105" s="4" t="s">
        <v>29</v>
      </c>
      <c r="F105" s="4" t="s">
        <v>49</v>
      </c>
      <c r="G105" s="4" t="s">
        <v>35</v>
      </c>
      <c r="H105" s="4" t="s">
        <v>45</v>
      </c>
      <c r="I105" s="6">
        <v>3</v>
      </c>
      <c r="J105" s="6">
        <v>7977</v>
      </c>
      <c r="K105" s="6">
        <v>5435.81</v>
      </c>
      <c r="L105" s="6">
        <v>2541.19</v>
      </c>
      <c r="M105" s="11">
        <f>Table13[[#This Row],[Profit]]/Table13[[#This Row],[Sales]]</f>
        <v>0.31856462329196439</v>
      </c>
      <c r="N105" s="6" t="str">
        <f>TEXT(Table13[[#This Row],[Order Date]],"mmm")</f>
        <v>Dec</v>
      </c>
      <c r="O105" s="6">
        <f>YEAR(Table13[[#This Row],[Order Date]])</f>
        <v>2025</v>
      </c>
    </row>
    <row r="106" spans="1:15" x14ac:dyDescent="0.3">
      <c r="A106" s="4" t="s">
        <v>328</v>
      </c>
      <c r="B106" s="5">
        <v>45306</v>
      </c>
      <c r="C106" s="4" t="s">
        <v>329</v>
      </c>
      <c r="D106" s="4" t="s">
        <v>218</v>
      </c>
      <c r="E106" s="4" t="s">
        <v>15</v>
      </c>
      <c r="F106" s="4" t="s">
        <v>90</v>
      </c>
      <c r="G106" s="4" t="s">
        <v>17</v>
      </c>
      <c r="H106" s="4" t="s">
        <v>72</v>
      </c>
      <c r="I106" s="6">
        <v>4</v>
      </c>
      <c r="J106" s="6">
        <v>6388</v>
      </c>
      <c r="K106" s="6">
        <v>4108.92</v>
      </c>
      <c r="L106" s="6">
        <v>2279.08</v>
      </c>
      <c r="M106" s="11">
        <f>Table13[[#This Row],[Profit]]/Table13[[#This Row],[Sales]]</f>
        <v>0.35677520350657482</v>
      </c>
      <c r="N106" s="6" t="str">
        <f>TEXT(Table13[[#This Row],[Order Date]],"mmm")</f>
        <v>Jan</v>
      </c>
      <c r="O106" s="6">
        <f>YEAR(Table13[[#This Row],[Order Date]])</f>
        <v>2024</v>
      </c>
    </row>
    <row r="107" spans="1:15" x14ac:dyDescent="0.3">
      <c r="A107" s="4" t="s">
        <v>330</v>
      </c>
      <c r="B107" s="5">
        <v>45449</v>
      </c>
      <c r="C107" s="4" t="s">
        <v>331</v>
      </c>
      <c r="D107" s="4" t="s">
        <v>332</v>
      </c>
      <c r="E107" s="4" t="s">
        <v>15</v>
      </c>
      <c r="F107" s="4" t="s">
        <v>16</v>
      </c>
      <c r="G107" s="4" t="s">
        <v>24</v>
      </c>
      <c r="H107" s="4" t="s">
        <v>50</v>
      </c>
      <c r="I107" s="6">
        <v>8</v>
      </c>
      <c r="J107" s="6">
        <v>10096</v>
      </c>
      <c r="K107" s="6">
        <v>7514.58</v>
      </c>
      <c r="L107" s="6">
        <v>2581.42</v>
      </c>
      <c r="M107" s="11">
        <f>Table13[[#This Row],[Profit]]/Table13[[#This Row],[Sales]]</f>
        <v>0.25568740095087161</v>
      </c>
      <c r="N107" s="6" t="str">
        <f>TEXT(Table13[[#This Row],[Order Date]],"mmm")</f>
        <v>Jun</v>
      </c>
      <c r="O107" s="6">
        <f>YEAR(Table13[[#This Row],[Order Date]])</f>
        <v>2024</v>
      </c>
    </row>
    <row r="108" spans="1:15" x14ac:dyDescent="0.3">
      <c r="A108" s="4" t="s">
        <v>333</v>
      </c>
      <c r="B108" s="5">
        <v>45440</v>
      </c>
      <c r="C108" s="4" t="s">
        <v>334</v>
      </c>
      <c r="D108" s="4" t="s">
        <v>335</v>
      </c>
      <c r="E108" s="4" t="s">
        <v>54</v>
      </c>
      <c r="F108" s="4" t="s">
        <v>55</v>
      </c>
      <c r="G108" s="4" t="s">
        <v>35</v>
      </c>
      <c r="H108" s="4" t="s">
        <v>80</v>
      </c>
      <c r="I108" s="6">
        <v>8</v>
      </c>
      <c r="J108" s="6">
        <v>18368</v>
      </c>
      <c r="K108" s="6">
        <v>12619.48</v>
      </c>
      <c r="L108" s="6">
        <v>5748.52</v>
      </c>
      <c r="M108" s="11">
        <f>Table13[[#This Row],[Profit]]/Table13[[#This Row],[Sales]]</f>
        <v>0.31296385017421607</v>
      </c>
      <c r="N108" s="6" t="str">
        <f>TEXT(Table13[[#This Row],[Order Date]],"mmm")</f>
        <v>May</v>
      </c>
      <c r="O108" s="6">
        <f>YEAR(Table13[[#This Row],[Order Date]])</f>
        <v>2024</v>
      </c>
    </row>
    <row r="109" spans="1:15" x14ac:dyDescent="0.3">
      <c r="A109" s="4" t="s">
        <v>336</v>
      </c>
      <c r="B109" s="5">
        <v>45811</v>
      </c>
      <c r="C109" s="4" t="s">
        <v>337</v>
      </c>
      <c r="D109" s="4" t="s">
        <v>338</v>
      </c>
      <c r="E109" s="4" t="s">
        <v>29</v>
      </c>
      <c r="F109" s="4" t="s">
        <v>102</v>
      </c>
      <c r="G109" s="4" t="s">
        <v>40</v>
      </c>
      <c r="H109" s="4" t="s">
        <v>99</v>
      </c>
      <c r="I109" s="6">
        <v>7</v>
      </c>
      <c r="J109" s="6">
        <v>21588</v>
      </c>
      <c r="K109" s="6">
        <v>17923.97</v>
      </c>
      <c r="L109" s="6">
        <v>3664.03</v>
      </c>
      <c r="M109" s="11">
        <f>Table13[[#This Row],[Profit]]/Table13[[#This Row],[Sales]]</f>
        <v>0.16972531035760607</v>
      </c>
      <c r="N109" s="6" t="str">
        <f>TEXT(Table13[[#This Row],[Order Date]],"mmm")</f>
        <v>Jun</v>
      </c>
      <c r="O109" s="6">
        <f>YEAR(Table13[[#This Row],[Order Date]])</f>
        <v>2025</v>
      </c>
    </row>
    <row r="110" spans="1:15" x14ac:dyDescent="0.3">
      <c r="A110" s="4" t="s">
        <v>339</v>
      </c>
      <c r="B110" s="5">
        <v>45749</v>
      </c>
      <c r="C110" s="4" t="s">
        <v>140</v>
      </c>
      <c r="D110" s="4" t="s">
        <v>340</v>
      </c>
      <c r="E110" s="4" t="s">
        <v>54</v>
      </c>
      <c r="F110" s="4" t="s">
        <v>71</v>
      </c>
      <c r="G110" s="4" t="s">
        <v>40</v>
      </c>
      <c r="H110" s="4" t="s">
        <v>99</v>
      </c>
      <c r="I110" s="6">
        <v>10</v>
      </c>
      <c r="J110" s="6">
        <v>43110</v>
      </c>
      <c r="K110" s="6">
        <v>34900.92</v>
      </c>
      <c r="L110" s="6">
        <v>8209.08</v>
      </c>
      <c r="M110" s="11">
        <f>Table13[[#This Row],[Profit]]/Table13[[#This Row],[Sales]]</f>
        <v>0.19042171189979124</v>
      </c>
      <c r="N110" s="6" t="str">
        <f>TEXT(Table13[[#This Row],[Order Date]],"mmm")</f>
        <v>Apr</v>
      </c>
      <c r="O110" s="6">
        <f>YEAR(Table13[[#This Row],[Order Date]])</f>
        <v>2025</v>
      </c>
    </row>
    <row r="111" spans="1:15" x14ac:dyDescent="0.3">
      <c r="A111" s="4" t="s">
        <v>341</v>
      </c>
      <c r="B111" s="5">
        <v>45621</v>
      </c>
      <c r="C111" s="4" t="s">
        <v>342</v>
      </c>
      <c r="D111" s="4" t="s">
        <v>89</v>
      </c>
      <c r="E111" s="4" t="s">
        <v>54</v>
      </c>
      <c r="F111" s="4" t="s">
        <v>55</v>
      </c>
      <c r="G111" s="4" t="s">
        <v>35</v>
      </c>
      <c r="H111" s="4" t="s">
        <v>45</v>
      </c>
      <c r="I111" s="6">
        <v>9</v>
      </c>
      <c r="J111" s="6">
        <v>30510</v>
      </c>
      <c r="K111" s="6">
        <v>20948.27</v>
      </c>
      <c r="L111" s="6">
        <v>9561.73</v>
      </c>
      <c r="M111" s="11">
        <f>Table13[[#This Row],[Profit]]/Table13[[#This Row],[Sales]]</f>
        <v>0.31339659128154701</v>
      </c>
      <c r="N111" s="6" t="str">
        <f>TEXT(Table13[[#This Row],[Order Date]],"mmm")</f>
        <v>Nov</v>
      </c>
      <c r="O111" s="6">
        <f>YEAR(Table13[[#This Row],[Order Date]])</f>
        <v>2024</v>
      </c>
    </row>
    <row r="112" spans="1:15" x14ac:dyDescent="0.3">
      <c r="A112" s="4" t="s">
        <v>343</v>
      </c>
      <c r="B112" s="5">
        <v>46014</v>
      </c>
      <c r="C112" s="4" t="s">
        <v>344</v>
      </c>
      <c r="D112" s="4" t="s">
        <v>75</v>
      </c>
      <c r="E112" s="4" t="s">
        <v>22</v>
      </c>
      <c r="F112" s="4" t="s">
        <v>23</v>
      </c>
      <c r="G112" s="4" t="s">
        <v>35</v>
      </c>
      <c r="H112" s="4" t="s">
        <v>36</v>
      </c>
      <c r="I112" s="6">
        <v>1</v>
      </c>
      <c r="J112" s="6">
        <v>2906</v>
      </c>
      <c r="K112" s="6">
        <v>2247.5300000000002</v>
      </c>
      <c r="L112" s="6">
        <v>658.47</v>
      </c>
      <c r="M112" s="11">
        <f>Table13[[#This Row],[Profit]]/Table13[[#This Row],[Sales]]</f>
        <v>0.22658981417756366</v>
      </c>
      <c r="N112" s="6" t="str">
        <f>TEXT(Table13[[#This Row],[Order Date]],"mmm")</f>
        <v>Dec</v>
      </c>
      <c r="O112" s="6">
        <f>YEAR(Table13[[#This Row],[Order Date]])</f>
        <v>2025</v>
      </c>
    </row>
    <row r="113" spans="1:15" x14ac:dyDescent="0.3">
      <c r="A113" s="4" t="s">
        <v>345</v>
      </c>
      <c r="B113" s="5">
        <v>45631</v>
      </c>
      <c r="C113" s="4" t="s">
        <v>346</v>
      </c>
      <c r="D113" s="4" t="s">
        <v>347</v>
      </c>
      <c r="E113" s="4" t="s">
        <v>29</v>
      </c>
      <c r="F113" s="4" t="s">
        <v>49</v>
      </c>
      <c r="G113" s="4" t="s">
        <v>24</v>
      </c>
      <c r="H113" s="4" t="s">
        <v>25</v>
      </c>
      <c r="I113" s="6">
        <v>3</v>
      </c>
      <c r="J113" s="6">
        <v>13242</v>
      </c>
      <c r="K113" s="6">
        <v>11118.06</v>
      </c>
      <c r="L113" s="6">
        <v>2123.94</v>
      </c>
      <c r="M113" s="11">
        <f>Table13[[#This Row],[Profit]]/Table13[[#This Row],[Sales]]</f>
        <v>0.16039420027186227</v>
      </c>
      <c r="N113" s="6" t="str">
        <f>TEXT(Table13[[#This Row],[Order Date]],"mmm")</f>
        <v>Dec</v>
      </c>
      <c r="O113" s="6">
        <f>YEAR(Table13[[#This Row],[Order Date]])</f>
        <v>2024</v>
      </c>
    </row>
    <row r="114" spans="1:15" x14ac:dyDescent="0.3">
      <c r="A114" s="4" t="s">
        <v>348</v>
      </c>
      <c r="B114" s="5">
        <v>45962</v>
      </c>
      <c r="C114" s="4" t="s">
        <v>349</v>
      </c>
      <c r="D114" s="4" t="s">
        <v>350</v>
      </c>
      <c r="E114" s="4" t="s">
        <v>15</v>
      </c>
      <c r="F114" s="4" t="s">
        <v>90</v>
      </c>
      <c r="G114" s="4" t="s">
        <v>35</v>
      </c>
      <c r="H114" s="4" t="s">
        <v>80</v>
      </c>
      <c r="I114" s="6">
        <v>1</v>
      </c>
      <c r="J114" s="6">
        <v>1480</v>
      </c>
      <c r="K114" s="6">
        <v>996.03</v>
      </c>
      <c r="L114" s="6">
        <v>483.97</v>
      </c>
      <c r="M114" s="11">
        <f>Table13[[#This Row],[Profit]]/Table13[[#This Row],[Sales]]</f>
        <v>0.32700675675675678</v>
      </c>
      <c r="N114" s="6" t="str">
        <f>TEXT(Table13[[#This Row],[Order Date]],"mmm")</f>
        <v>Nov</v>
      </c>
      <c r="O114" s="6">
        <f>YEAR(Table13[[#This Row],[Order Date]])</f>
        <v>2025</v>
      </c>
    </row>
    <row r="115" spans="1:15" x14ac:dyDescent="0.3">
      <c r="A115" s="4" t="s">
        <v>351</v>
      </c>
      <c r="B115" s="5">
        <v>45628</v>
      </c>
      <c r="C115" s="4" t="s">
        <v>52</v>
      </c>
      <c r="D115" s="4" t="s">
        <v>258</v>
      </c>
      <c r="E115" s="4" t="s">
        <v>22</v>
      </c>
      <c r="F115" s="4" t="s">
        <v>67</v>
      </c>
      <c r="G115" s="4" t="s">
        <v>40</v>
      </c>
      <c r="H115" s="4" t="s">
        <v>41</v>
      </c>
      <c r="I115" s="6">
        <v>10</v>
      </c>
      <c r="J115" s="6">
        <v>35560</v>
      </c>
      <c r="K115" s="6">
        <v>26490.46</v>
      </c>
      <c r="L115" s="6">
        <v>9069.5400000000009</v>
      </c>
      <c r="M115" s="11">
        <f>Table13[[#This Row],[Profit]]/Table13[[#This Row],[Sales]]</f>
        <v>0.25504893138357709</v>
      </c>
      <c r="N115" s="6" t="str">
        <f>TEXT(Table13[[#This Row],[Order Date]],"mmm")</f>
        <v>Dec</v>
      </c>
      <c r="O115" s="6">
        <f>YEAR(Table13[[#This Row],[Order Date]])</f>
        <v>2024</v>
      </c>
    </row>
    <row r="116" spans="1:15" x14ac:dyDescent="0.3">
      <c r="A116" s="4" t="s">
        <v>352</v>
      </c>
      <c r="B116" s="5">
        <v>45362</v>
      </c>
      <c r="C116" s="4" t="s">
        <v>353</v>
      </c>
      <c r="D116" s="4" t="s">
        <v>354</v>
      </c>
      <c r="E116" s="4" t="s">
        <v>54</v>
      </c>
      <c r="F116" s="4" t="s">
        <v>71</v>
      </c>
      <c r="G116" s="4" t="s">
        <v>17</v>
      </c>
      <c r="H116" s="4" t="s">
        <v>18</v>
      </c>
      <c r="I116" s="6">
        <v>8</v>
      </c>
      <c r="J116" s="6">
        <v>37856</v>
      </c>
      <c r="K116" s="6">
        <v>21228.5</v>
      </c>
      <c r="L116" s="6">
        <v>16627.5</v>
      </c>
      <c r="M116" s="11">
        <f>Table13[[#This Row],[Profit]]/Table13[[#This Row],[Sales]]</f>
        <v>0.43923024091293322</v>
      </c>
      <c r="N116" s="6" t="str">
        <f>TEXT(Table13[[#This Row],[Order Date]],"mmm")</f>
        <v>Mar</v>
      </c>
      <c r="O116" s="6">
        <f>YEAR(Table13[[#This Row],[Order Date]])</f>
        <v>2024</v>
      </c>
    </row>
    <row r="117" spans="1:15" x14ac:dyDescent="0.3">
      <c r="A117" s="4" t="s">
        <v>355</v>
      </c>
      <c r="B117" s="5">
        <v>46012</v>
      </c>
      <c r="C117" s="4" t="s">
        <v>346</v>
      </c>
      <c r="D117" s="4" t="s">
        <v>356</v>
      </c>
      <c r="E117" s="4" t="s">
        <v>29</v>
      </c>
      <c r="F117" s="4" t="s">
        <v>30</v>
      </c>
      <c r="G117" s="4" t="s">
        <v>24</v>
      </c>
      <c r="H117" s="4" t="s">
        <v>50</v>
      </c>
      <c r="I117" s="6">
        <v>7</v>
      </c>
      <c r="J117" s="6">
        <v>7742</v>
      </c>
      <c r="K117" s="6">
        <v>6024.13</v>
      </c>
      <c r="L117" s="6">
        <v>1717.87</v>
      </c>
      <c r="M117" s="11">
        <f>Table13[[#This Row],[Profit]]/Table13[[#This Row],[Sales]]</f>
        <v>0.22188969258589511</v>
      </c>
      <c r="N117" s="6" t="str">
        <f>TEXT(Table13[[#This Row],[Order Date]],"mmm")</f>
        <v>Dec</v>
      </c>
      <c r="O117" s="6">
        <f>YEAR(Table13[[#This Row],[Order Date]])</f>
        <v>2025</v>
      </c>
    </row>
    <row r="118" spans="1:15" x14ac:dyDescent="0.3">
      <c r="A118" s="4" t="s">
        <v>357</v>
      </c>
      <c r="B118" s="5">
        <v>45349</v>
      </c>
      <c r="C118" s="4" t="s">
        <v>358</v>
      </c>
      <c r="D118" s="4" t="s">
        <v>359</v>
      </c>
      <c r="E118" s="4" t="s">
        <v>29</v>
      </c>
      <c r="F118" s="4" t="s">
        <v>30</v>
      </c>
      <c r="G118" s="4" t="s">
        <v>40</v>
      </c>
      <c r="H118" s="4" t="s">
        <v>99</v>
      </c>
      <c r="I118" s="6">
        <v>1</v>
      </c>
      <c r="J118" s="6">
        <v>676</v>
      </c>
      <c r="K118" s="6">
        <v>437.58</v>
      </c>
      <c r="L118" s="6">
        <v>238.42</v>
      </c>
      <c r="M118" s="11">
        <f>Table13[[#This Row],[Profit]]/Table13[[#This Row],[Sales]]</f>
        <v>0.35269230769230769</v>
      </c>
      <c r="N118" s="6" t="str">
        <f>TEXT(Table13[[#This Row],[Order Date]],"mmm")</f>
        <v>Feb</v>
      </c>
      <c r="O118" s="6">
        <f>YEAR(Table13[[#This Row],[Order Date]])</f>
        <v>2024</v>
      </c>
    </row>
    <row r="119" spans="1:15" x14ac:dyDescent="0.3">
      <c r="A119" s="4" t="s">
        <v>360</v>
      </c>
      <c r="B119" s="5">
        <v>45990</v>
      </c>
      <c r="C119" s="4" t="s">
        <v>361</v>
      </c>
      <c r="D119" s="4" t="s">
        <v>362</v>
      </c>
      <c r="E119" s="4" t="s">
        <v>54</v>
      </c>
      <c r="F119" s="4" t="s">
        <v>55</v>
      </c>
      <c r="G119" s="4" t="s">
        <v>24</v>
      </c>
      <c r="H119" s="4" t="s">
        <v>166</v>
      </c>
      <c r="I119" s="6">
        <v>4</v>
      </c>
      <c r="J119" s="6">
        <v>18604</v>
      </c>
      <c r="K119" s="6">
        <v>12531.94</v>
      </c>
      <c r="L119" s="6">
        <v>6072.06</v>
      </c>
      <c r="M119" s="11">
        <f>Table13[[#This Row],[Profit]]/Table13[[#This Row],[Sales]]</f>
        <v>0.32638464846269621</v>
      </c>
      <c r="N119" s="6" t="str">
        <f>TEXT(Table13[[#This Row],[Order Date]],"mmm")</f>
        <v>Nov</v>
      </c>
      <c r="O119" s="6">
        <f>YEAR(Table13[[#This Row],[Order Date]])</f>
        <v>2025</v>
      </c>
    </row>
    <row r="120" spans="1:15" x14ac:dyDescent="0.3">
      <c r="A120" s="4" t="s">
        <v>363</v>
      </c>
      <c r="B120" s="5">
        <v>45889</v>
      </c>
      <c r="C120" s="4" t="s">
        <v>364</v>
      </c>
      <c r="D120" s="4" t="s">
        <v>365</v>
      </c>
      <c r="E120" s="4" t="s">
        <v>29</v>
      </c>
      <c r="F120" s="4" t="s">
        <v>102</v>
      </c>
      <c r="G120" s="4" t="s">
        <v>17</v>
      </c>
      <c r="H120" s="4" t="s">
        <v>72</v>
      </c>
      <c r="I120" s="6">
        <v>7</v>
      </c>
      <c r="J120" s="6">
        <v>15904</v>
      </c>
      <c r="K120" s="6">
        <v>11121.67</v>
      </c>
      <c r="L120" s="6">
        <v>4782.33</v>
      </c>
      <c r="M120" s="11">
        <f>Table13[[#This Row],[Profit]]/Table13[[#This Row],[Sales]]</f>
        <v>0.30069982394366196</v>
      </c>
      <c r="N120" s="6" t="str">
        <f>TEXT(Table13[[#This Row],[Order Date]],"mmm")</f>
        <v>Aug</v>
      </c>
      <c r="O120" s="6">
        <f>YEAR(Table13[[#This Row],[Order Date]])</f>
        <v>2025</v>
      </c>
    </row>
    <row r="121" spans="1:15" x14ac:dyDescent="0.3">
      <c r="A121" s="4" t="s">
        <v>366</v>
      </c>
      <c r="B121" s="5">
        <v>45768</v>
      </c>
      <c r="C121" s="4" t="s">
        <v>298</v>
      </c>
      <c r="D121" s="4" t="s">
        <v>158</v>
      </c>
      <c r="E121" s="4" t="s">
        <v>22</v>
      </c>
      <c r="F121" s="4" t="s">
        <v>79</v>
      </c>
      <c r="G121" s="4" t="s">
        <v>40</v>
      </c>
      <c r="H121" s="4" t="s">
        <v>99</v>
      </c>
      <c r="I121" s="6">
        <v>8</v>
      </c>
      <c r="J121" s="6">
        <v>19128</v>
      </c>
      <c r="K121" s="6">
        <v>14347</v>
      </c>
      <c r="L121" s="6">
        <v>4781</v>
      </c>
      <c r="M121" s="11">
        <f>Table13[[#This Row],[Profit]]/Table13[[#This Row],[Sales]]</f>
        <v>0.24994772061898787</v>
      </c>
      <c r="N121" s="6" t="str">
        <f>TEXT(Table13[[#This Row],[Order Date]],"mmm")</f>
        <v>Apr</v>
      </c>
      <c r="O121" s="6">
        <f>YEAR(Table13[[#This Row],[Order Date]])</f>
        <v>2025</v>
      </c>
    </row>
    <row r="122" spans="1:15" x14ac:dyDescent="0.3">
      <c r="A122" s="4" t="s">
        <v>367</v>
      </c>
      <c r="B122" s="5">
        <v>45726</v>
      </c>
      <c r="C122" s="4" t="s">
        <v>368</v>
      </c>
      <c r="D122" s="4" t="s">
        <v>369</v>
      </c>
      <c r="E122" s="4" t="s">
        <v>29</v>
      </c>
      <c r="F122" s="4" t="s">
        <v>102</v>
      </c>
      <c r="G122" s="4" t="s">
        <v>35</v>
      </c>
      <c r="H122" s="4" t="s">
        <v>80</v>
      </c>
      <c r="I122" s="6">
        <v>6</v>
      </c>
      <c r="J122" s="6">
        <v>16500</v>
      </c>
      <c r="K122" s="6">
        <v>12237.75</v>
      </c>
      <c r="L122" s="6">
        <v>4262.25</v>
      </c>
      <c r="M122" s="11">
        <f>Table13[[#This Row],[Profit]]/Table13[[#This Row],[Sales]]</f>
        <v>0.25831818181818184</v>
      </c>
      <c r="N122" s="6" t="str">
        <f>TEXT(Table13[[#This Row],[Order Date]],"mmm")</f>
        <v>Mar</v>
      </c>
      <c r="O122" s="6">
        <f>YEAR(Table13[[#This Row],[Order Date]])</f>
        <v>2025</v>
      </c>
    </row>
    <row r="123" spans="1:15" x14ac:dyDescent="0.3">
      <c r="A123" s="4" t="s">
        <v>370</v>
      </c>
      <c r="B123" s="5">
        <v>45877</v>
      </c>
      <c r="C123" s="4" t="s">
        <v>371</v>
      </c>
      <c r="D123" s="4" t="s">
        <v>372</v>
      </c>
      <c r="E123" s="4" t="s">
        <v>54</v>
      </c>
      <c r="F123" s="4" t="s">
        <v>142</v>
      </c>
      <c r="G123" s="4" t="s">
        <v>35</v>
      </c>
      <c r="H123" s="4" t="s">
        <v>36</v>
      </c>
      <c r="I123" s="6">
        <v>8</v>
      </c>
      <c r="J123" s="6">
        <v>9384</v>
      </c>
      <c r="K123" s="6">
        <v>5828.98</v>
      </c>
      <c r="L123" s="6">
        <v>3555.02</v>
      </c>
      <c r="M123" s="11">
        <f>Table13[[#This Row],[Profit]]/Table13[[#This Row],[Sales]]</f>
        <v>0.37883844842284742</v>
      </c>
      <c r="N123" s="6" t="str">
        <f>TEXT(Table13[[#This Row],[Order Date]],"mmm")</f>
        <v>Aug</v>
      </c>
      <c r="O123" s="6">
        <f>YEAR(Table13[[#This Row],[Order Date]])</f>
        <v>2025</v>
      </c>
    </row>
    <row r="124" spans="1:15" x14ac:dyDescent="0.3">
      <c r="A124" s="4" t="s">
        <v>373</v>
      </c>
      <c r="B124" s="5">
        <v>45871</v>
      </c>
      <c r="C124" s="4" t="s">
        <v>374</v>
      </c>
      <c r="D124" s="4" t="s">
        <v>375</v>
      </c>
      <c r="E124" s="4" t="s">
        <v>54</v>
      </c>
      <c r="F124" s="4" t="s">
        <v>71</v>
      </c>
      <c r="G124" s="4" t="s">
        <v>40</v>
      </c>
      <c r="H124" s="4" t="s">
        <v>99</v>
      </c>
      <c r="I124" s="6">
        <v>1</v>
      </c>
      <c r="J124" s="6">
        <v>3542</v>
      </c>
      <c r="K124" s="6">
        <v>2239.7600000000002</v>
      </c>
      <c r="L124" s="6">
        <v>1302.24</v>
      </c>
      <c r="M124" s="11">
        <f>Table13[[#This Row],[Profit]]/Table13[[#This Row],[Sales]]</f>
        <v>0.36765669113495203</v>
      </c>
      <c r="N124" s="6" t="str">
        <f>TEXT(Table13[[#This Row],[Order Date]],"mmm")</f>
        <v>Aug</v>
      </c>
      <c r="O124" s="6">
        <f>YEAR(Table13[[#This Row],[Order Date]])</f>
        <v>2025</v>
      </c>
    </row>
    <row r="125" spans="1:15" x14ac:dyDescent="0.3">
      <c r="A125" s="4" t="s">
        <v>376</v>
      </c>
      <c r="B125" s="5">
        <v>45927</v>
      </c>
      <c r="C125" s="4" t="s">
        <v>368</v>
      </c>
      <c r="D125" s="4" t="s">
        <v>377</v>
      </c>
      <c r="E125" s="4" t="s">
        <v>54</v>
      </c>
      <c r="F125" s="4" t="s">
        <v>142</v>
      </c>
      <c r="G125" s="4" t="s">
        <v>17</v>
      </c>
      <c r="H125" s="4" t="s">
        <v>72</v>
      </c>
      <c r="I125" s="6">
        <v>6</v>
      </c>
      <c r="J125" s="6">
        <v>12564</v>
      </c>
      <c r="K125" s="6">
        <v>9309.74</v>
      </c>
      <c r="L125" s="6">
        <v>3254.26</v>
      </c>
      <c r="M125" s="11">
        <f>Table13[[#This Row],[Profit]]/Table13[[#This Row],[Sales]]</f>
        <v>0.25901464501751037</v>
      </c>
      <c r="N125" s="6" t="str">
        <f>TEXT(Table13[[#This Row],[Order Date]],"mmm")</f>
        <v>Sep</v>
      </c>
      <c r="O125" s="6">
        <f>YEAR(Table13[[#This Row],[Order Date]])</f>
        <v>2025</v>
      </c>
    </row>
    <row r="126" spans="1:15" x14ac:dyDescent="0.3">
      <c r="A126" s="4" t="s">
        <v>378</v>
      </c>
      <c r="B126" s="5">
        <v>45326</v>
      </c>
      <c r="C126" s="4" t="s">
        <v>379</v>
      </c>
      <c r="D126" s="4" t="s">
        <v>160</v>
      </c>
      <c r="E126" s="4" t="s">
        <v>15</v>
      </c>
      <c r="F126" s="4" t="s">
        <v>90</v>
      </c>
      <c r="G126" s="4" t="s">
        <v>17</v>
      </c>
      <c r="H126" s="4" t="s">
        <v>31</v>
      </c>
      <c r="I126" s="6">
        <v>1</v>
      </c>
      <c r="J126" s="6">
        <v>2830</v>
      </c>
      <c r="K126" s="6">
        <v>2226.0300000000002</v>
      </c>
      <c r="L126" s="6">
        <v>603.97</v>
      </c>
      <c r="M126" s="11">
        <f>Table13[[#This Row],[Profit]]/Table13[[#This Row],[Sales]]</f>
        <v>0.21341696113074207</v>
      </c>
      <c r="N126" s="6" t="str">
        <f>TEXT(Table13[[#This Row],[Order Date]],"mmm")</f>
        <v>Feb</v>
      </c>
      <c r="O126" s="6">
        <f>YEAR(Table13[[#This Row],[Order Date]])</f>
        <v>2024</v>
      </c>
    </row>
    <row r="127" spans="1:15" x14ac:dyDescent="0.3">
      <c r="A127" s="4" t="s">
        <v>380</v>
      </c>
      <c r="B127" s="5">
        <v>45427</v>
      </c>
      <c r="C127" s="4" t="s">
        <v>214</v>
      </c>
      <c r="D127" s="4" t="s">
        <v>381</v>
      </c>
      <c r="E127" s="4" t="s">
        <v>29</v>
      </c>
      <c r="F127" s="4" t="s">
        <v>102</v>
      </c>
      <c r="G127" s="4" t="s">
        <v>40</v>
      </c>
      <c r="H127" s="4" t="s">
        <v>99</v>
      </c>
      <c r="I127" s="6">
        <v>6</v>
      </c>
      <c r="J127" s="6">
        <v>22218</v>
      </c>
      <c r="K127" s="6">
        <v>13390.61</v>
      </c>
      <c r="L127" s="6">
        <v>8827.39</v>
      </c>
      <c r="M127" s="11">
        <f>Table13[[#This Row],[Profit]]/Table13[[#This Row],[Sales]]</f>
        <v>0.39730803852732016</v>
      </c>
      <c r="N127" s="6" t="str">
        <f>TEXT(Table13[[#This Row],[Order Date]],"mmm")</f>
        <v>May</v>
      </c>
      <c r="O127" s="6">
        <f>YEAR(Table13[[#This Row],[Order Date]])</f>
        <v>2024</v>
      </c>
    </row>
    <row r="128" spans="1:15" x14ac:dyDescent="0.3">
      <c r="A128" s="4" t="s">
        <v>382</v>
      </c>
      <c r="B128" s="5">
        <v>45638</v>
      </c>
      <c r="C128" s="4" t="s">
        <v>77</v>
      </c>
      <c r="D128" s="4" t="s">
        <v>383</v>
      </c>
      <c r="E128" s="4" t="s">
        <v>54</v>
      </c>
      <c r="F128" s="4" t="s">
        <v>142</v>
      </c>
      <c r="G128" s="4" t="s">
        <v>40</v>
      </c>
      <c r="H128" s="4" t="s">
        <v>99</v>
      </c>
      <c r="I128" s="6">
        <v>8</v>
      </c>
      <c r="J128" s="6">
        <v>21736</v>
      </c>
      <c r="K128" s="6">
        <v>16822.96</v>
      </c>
      <c r="L128" s="6">
        <v>4913.04</v>
      </c>
      <c r="M128" s="11">
        <f>Table13[[#This Row],[Profit]]/Table13[[#This Row],[Sales]]</f>
        <v>0.2260323886639676</v>
      </c>
      <c r="N128" s="6" t="str">
        <f>TEXT(Table13[[#This Row],[Order Date]],"mmm")</f>
        <v>Dec</v>
      </c>
      <c r="O128" s="6">
        <f>YEAR(Table13[[#This Row],[Order Date]])</f>
        <v>2024</v>
      </c>
    </row>
    <row r="129" spans="1:15" x14ac:dyDescent="0.3">
      <c r="A129" s="4" t="s">
        <v>384</v>
      </c>
      <c r="B129" s="5">
        <v>45696</v>
      </c>
      <c r="C129" s="4" t="s">
        <v>118</v>
      </c>
      <c r="D129" s="4" t="s">
        <v>385</v>
      </c>
      <c r="E129" s="4" t="s">
        <v>15</v>
      </c>
      <c r="F129" s="4" t="s">
        <v>16</v>
      </c>
      <c r="G129" s="4" t="s">
        <v>40</v>
      </c>
      <c r="H129" s="4" t="s">
        <v>56</v>
      </c>
      <c r="I129" s="6">
        <v>7</v>
      </c>
      <c r="J129" s="6">
        <v>34055</v>
      </c>
      <c r="K129" s="6">
        <v>22467.19</v>
      </c>
      <c r="L129" s="6">
        <v>11587.81</v>
      </c>
      <c r="M129" s="11">
        <f>Table13[[#This Row],[Profit]]/Table13[[#This Row],[Sales]]</f>
        <v>0.34026750844222581</v>
      </c>
      <c r="N129" s="6" t="str">
        <f>TEXT(Table13[[#This Row],[Order Date]],"mmm")</f>
        <v>Feb</v>
      </c>
      <c r="O129" s="6">
        <f>YEAR(Table13[[#This Row],[Order Date]])</f>
        <v>2025</v>
      </c>
    </row>
    <row r="130" spans="1:15" x14ac:dyDescent="0.3">
      <c r="A130" s="4" t="s">
        <v>386</v>
      </c>
      <c r="B130" s="5">
        <v>45672</v>
      </c>
      <c r="C130" s="4" t="s">
        <v>113</v>
      </c>
      <c r="D130" s="4" t="s">
        <v>387</v>
      </c>
      <c r="E130" s="4" t="s">
        <v>15</v>
      </c>
      <c r="F130" s="4" t="s">
        <v>63</v>
      </c>
      <c r="G130" s="4" t="s">
        <v>40</v>
      </c>
      <c r="H130" s="4" t="s">
        <v>41</v>
      </c>
      <c r="I130" s="6">
        <v>5</v>
      </c>
      <c r="J130" s="6">
        <v>17105</v>
      </c>
      <c r="K130" s="6">
        <v>13627.98</v>
      </c>
      <c r="L130" s="6">
        <v>3477.02</v>
      </c>
      <c r="M130" s="11">
        <f>Table13[[#This Row],[Profit]]/Table13[[#This Row],[Sales]]</f>
        <v>0.20327506577024262</v>
      </c>
      <c r="N130" s="6" t="str">
        <f>TEXT(Table13[[#This Row],[Order Date]],"mmm")</f>
        <v>Jan</v>
      </c>
      <c r="O130" s="6">
        <f>YEAR(Table13[[#This Row],[Order Date]])</f>
        <v>2025</v>
      </c>
    </row>
    <row r="131" spans="1:15" x14ac:dyDescent="0.3">
      <c r="A131" s="4" t="s">
        <v>388</v>
      </c>
      <c r="B131" s="5">
        <v>45518</v>
      </c>
      <c r="C131" s="4" t="s">
        <v>74</v>
      </c>
      <c r="D131" s="4" t="s">
        <v>389</v>
      </c>
      <c r="E131" s="4" t="s">
        <v>22</v>
      </c>
      <c r="F131" s="4" t="s">
        <v>23</v>
      </c>
      <c r="G131" s="4" t="s">
        <v>17</v>
      </c>
      <c r="H131" s="4" t="s">
        <v>72</v>
      </c>
      <c r="I131" s="6">
        <v>9</v>
      </c>
      <c r="J131" s="6">
        <v>26883</v>
      </c>
      <c r="K131" s="6">
        <v>22167.1</v>
      </c>
      <c r="L131" s="6">
        <v>4715.8999999999996</v>
      </c>
      <c r="M131" s="11">
        <f>Table13[[#This Row],[Profit]]/Table13[[#This Row],[Sales]]</f>
        <v>0.1754231298590187</v>
      </c>
      <c r="N131" s="6" t="str">
        <f>TEXT(Table13[[#This Row],[Order Date]],"mmm")</f>
        <v>Aug</v>
      </c>
      <c r="O131" s="6">
        <f>YEAR(Table13[[#This Row],[Order Date]])</f>
        <v>2024</v>
      </c>
    </row>
    <row r="132" spans="1:15" x14ac:dyDescent="0.3">
      <c r="A132" s="4" t="s">
        <v>390</v>
      </c>
      <c r="B132" s="5">
        <v>45330</v>
      </c>
      <c r="C132" s="4" t="s">
        <v>287</v>
      </c>
      <c r="D132" s="4" t="s">
        <v>70</v>
      </c>
      <c r="E132" s="4" t="s">
        <v>54</v>
      </c>
      <c r="F132" s="4" t="s">
        <v>71</v>
      </c>
      <c r="G132" s="4" t="s">
        <v>35</v>
      </c>
      <c r="H132" s="4" t="s">
        <v>36</v>
      </c>
      <c r="I132" s="6">
        <v>2</v>
      </c>
      <c r="J132" s="6">
        <v>2890</v>
      </c>
      <c r="K132" s="6">
        <v>1628.82</v>
      </c>
      <c r="L132" s="6">
        <v>1261.18</v>
      </c>
      <c r="M132" s="11">
        <f>Table13[[#This Row],[Profit]]/Table13[[#This Row],[Sales]]</f>
        <v>0.43639446366782009</v>
      </c>
      <c r="N132" s="6" t="str">
        <f>TEXT(Table13[[#This Row],[Order Date]],"mmm")</f>
        <v>Feb</v>
      </c>
      <c r="O132" s="6">
        <f>YEAR(Table13[[#This Row],[Order Date]])</f>
        <v>2024</v>
      </c>
    </row>
    <row r="133" spans="1:15" x14ac:dyDescent="0.3">
      <c r="A133" s="4" t="s">
        <v>391</v>
      </c>
      <c r="B133" s="5">
        <v>45671</v>
      </c>
      <c r="C133" s="4" t="s">
        <v>214</v>
      </c>
      <c r="D133" s="4" t="s">
        <v>223</v>
      </c>
      <c r="E133" s="4" t="s">
        <v>15</v>
      </c>
      <c r="F133" s="4" t="s">
        <v>16</v>
      </c>
      <c r="G133" s="4" t="s">
        <v>40</v>
      </c>
      <c r="H133" s="4" t="s">
        <v>56</v>
      </c>
      <c r="I133" s="6">
        <v>9</v>
      </c>
      <c r="J133" s="6">
        <v>12699</v>
      </c>
      <c r="K133" s="6">
        <v>8465.07</v>
      </c>
      <c r="L133" s="6">
        <v>4233.93</v>
      </c>
      <c r="M133" s="11">
        <f>Table13[[#This Row],[Profit]]/Table13[[#This Row],[Sales]]</f>
        <v>0.33340656744625563</v>
      </c>
      <c r="N133" s="6" t="str">
        <f>TEXT(Table13[[#This Row],[Order Date]],"mmm")</f>
        <v>Jan</v>
      </c>
      <c r="O133" s="6">
        <f>YEAR(Table13[[#This Row],[Order Date]])</f>
        <v>2025</v>
      </c>
    </row>
    <row r="134" spans="1:15" x14ac:dyDescent="0.3">
      <c r="A134" s="4" t="s">
        <v>392</v>
      </c>
      <c r="B134" s="5">
        <v>45578</v>
      </c>
      <c r="C134" s="4" t="s">
        <v>393</v>
      </c>
      <c r="D134" s="4" t="s">
        <v>394</v>
      </c>
      <c r="E134" s="4" t="s">
        <v>29</v>
      </c>
      <c r="F134" s="4" t="s">
        <v>49</v>
      </c>
      <c r="G134" s="4" t="s">
        <v>17</v>
      </c>
      <c r="H134" s="4" t="s">
        <v>31</v>
      </c>
      <c r="I134" s="6">
        <v>2</v>
      </c>
      <c r="J134" s="6">
        <v>8616</v>
      </c>
      <c r="K134" s="6">
        <v>6330.14</v>
      </c>
      <c r="L134" s="6">
        <v>2285.86</v>
      </c>
      <c r="M134" s="11">
        <f>Table13[[#This Row],[Profit]]/Table13[[#This Row],[Sales]]</f>
        <v>0.26530408542246986</v>
      </c>
      <c r="N134" s="6" t="str">
        <f>TEXT(Table13[[#This Row],[Order Date]],"mmm")</f>
        <v>Oct</v>
      </c>
      <c r="O134" s="6">
        <f>YEAR(Table13[[#This Row],[Order Date]])</f>
        <v>2024</v>
      </c>
    </row>
    <row r="135" spans="1:15" x14ac:dyDescent="0.3">
      <c r="A135" s="4" t="s">
        <v>395</v>
      </c>
      <c r="B135" s="5">
        <v>45994</v>
      </c>
      <c r="C135" s="4" t="s">
        <v>269</v>
      </c>
      <c r="D135" s="4" t="s">
        <v>145</v>
      </c>
      <c r="E135" s="4" t="s">
        <v>29</v>
      </c>
      <c r="F135" s="4" t="s">
        <v>49</v>
      </c>
      <c r="G135" s="4" t="s">
        <v>35</v>
      </c>
      <c r="H135" s="4" t="s">
        <v>80</v>
      </c>
      <c r="I135" s="6">
        <v>4</v>
      </c>
      <c r="J135" s="6">
        <v>13084</v>
      </c>
      <c r="K135" s="6">
        <v>7586.19</v>
      </c>
      <c r="L135" s="6">
        <v>5497.81</v>
      </c>
      <c r="M135" s="11">
        <f>Table13[[#This Row],[Profit]]/Table13[[#This Row],[Sales]]</f>
        <v>0.42019336594313667</v>
      </c>
      <c r="N135" s="6" t="str">
        <f>TEXT(Table13[[#This Row],[Order Date]],"mmm")</f>
        <v>Dec</v>
      </c>
      <c r="O135" s="6">
        <f>YEAR(Table13[[#This Row],[Order Date]])</f>
        <v>2025</v>
      </c>
    </row>
    <row r="136" spans="1:15" x14ac:dyDescent="0.3">
      <c r="A136" s="4" t="s">
        <v>396</v>
      </c>
      <c r="B136" s="5">
        <v>45757</v>
      </c>
      <c r="C136" s="4" t="s">
        <v>397</v>
      </c>
      <c r="D136" s="4" t="s">
        <v>62</v>
      </c>
      <c r="E136" s="4" t="s">
        <v>54</v>
      </c>
      <c r="F136" s="4" t="s">
        <v>142</v>
      </c>
      <c r="G136" s="4" t="s">
        <v>35</v>
      </c>
      <c r="H136" s="4" t="s">
        <v>36</v>
      </c>
      <c r="I136" s="6">
        <v>5</v>
      </c>
      <c r="J136" s="6">
        <v>9270</v>
      </c>
      <c r="K136" s="6">
        <v>7791.08</v>
      </c>
      <c r="L136" s="6">
        <v>1478.92</v>
      </c>
      <c r="M136" s="11">
        <f>Table13[[#This Row],[Profit]]/Table13[[#This Row],[Sales]]</f>
        <v>0.15953829557713053</v>
      </c>
      <c r="N136" s="6" t="str">
        <f>TEXT(Table13[[#This Row],[Order Date]],"mmm")</f>
        <v>Apr</v>
      </c>
      <c r="O136" s="6">
        <f>YEAR(Table13[[#This Row],[Order Date]])</f>
        <v>2025</v>
      </c>
    </row>
    <row r="137" spans="1:15" x14ac:dyDescent="0.3">
      <c r="A137" s="4" t="s">
        <v>398</v>
      </c>
      <c r="B137" s="5">
        <v>45502</v>
      </c>
      <c r="C137" s="4" t="s">
        <v>43</v>
      </c>
      <c r="D137" s="4" t="s">
        <v>399</v>
      </c>
      <c r="E137" s="4" t="s">
        <v>15</v>
      </c>
      <c r="F137" s="4" t="s">
        <v>16</v>
      </c>
      <c r="G137" s="4" t="s">
        <v>40</v>
      </c>
      <c r="H137" s="4" t="s">
        <v>41</v>
      </c>
      <c r="I137" s="6">
        <v>4</v>
      </c>
      <c r="J137" s="6">
        <v>5324</v>
      </c>
      <c r="K137" s="6">
        <v>4185.16</v>
      </c>
      <c r="L137" s="6">
        <v>1138.8399999999999</v>
      </c>
      <c r="M137" s="11">
        <f>Table13[[#This Row],[Profit]]/Table13[[#This Row],[Sales]]</f>
        <v>0.21390683696468818</v>
      </c>
      <c r="N137" s="6" t="str">
        <f>TEXT(Table13[[#This Row],[Order Date]],"mmm")</f>
        <v>Jul</v>
      </c>
      <c r="O137" s="6">
        <f>YEAR(Table13[[#This Row],[Order Date]])</f>
        <v>2024</v>
      </c>
    </row>
    <row r="138" spans="1:15" x14ac:dyDescent="0.3">
      <c r="A138" s="4" t="s">
        <v>400</v>
      </c>
      <c r="B138" s="5">
        <v>45902</v>
      </c>
      <c r="C138" s="4" t="s">
        <v>82</v>
      </c>
      <c r="D138" s="4" t="s">
        <v>401</v>
      </c>
      <c r="E138" s="4" t="s">
        <v>29</v>
      </c>
      <c r="F138" s="4" t="s">
        <v>30</v>
      </c>
      <c r="G138" s="4" t="s">
        <v>40</v>
      </c>
      <c r="H138" s="4" t="s">
        <v>56</v>
      </c>
      <c r="I138" s="6">
        <v>4</v>
      </c>
      <c r="J138" s="6">
        <v>11964</v>
      </c>
      <c r="K138" s="6">
        <v>9359.56</v>
      </c>
      <c r="L138" s="6">
        <v>2604.44</v>
      </c>
      <c r="M138" s="11">
        <f>Table13[[#This Row],[Profit]]/Table13[[#This Row],[Sales]]</f>
        <v>0.21768973587428955</v>
      </c>
      <c r="N138" s="6" t="str">
        <f>TEXT(Table13[[#This Row],[Order Date]],"mmm")</f>
        <v>Sep</v>
      </c>
      <c r="O138" s="6">
        <f>YEAR(Table13[[#This Row],[Order Date]])</f>
        <v>2025</v>
      </c>
    </row>
    <row r="139" spans="1:15" x14ac:dyDescent="0.3">
      <c r="A139" s="4" t="s">
        <v>402</v>
      </c>
      <c r="B139" s="5">
        <v>45318</v>
      </c>
      <c r="C139" s="4" t="s">
        <v>403</v>
      </c>
      <c r="D139" s="4" t="s">
        <v>404</v>
      </c>
      <c r="E139" s="4" t="s">
        <v>29</v>
      </c>
      <c r="F139" s="4" t="s">
        <v>102</v>
      </c>
      <c r="G139" s="4" t="s">
        <v>35</v>
      </c>
      <c r="H139" s="4" t="s">
        <v>45</v>
      </c>
      <c r="I139" s="6">
        <v>5</v>
      </c>
      <c r="J139" s="6">
        <v>8645</v>
      </c>
      <c r="K139" s="6">
        <v>5039.84</v>
      </c>
      <c r="L139" s="6">
        <v>3605.16</v>
      </c>
      <c r="M139" s="11">
        <f>Table13[[#This Row],[Profit]]/Table13[[#This Row],[Sales]]</f>
        <v>0.41702255639097741</v>
      </c>
      <c r="N139" s="6" t="str">
        <f>TEXT(Table13[[#This Row],[Order Date]],"mmm")</f>
        <v>Jan</v>
      </c>
      <c r="O139" s="6">
        <f>YEAR(Table13[[#This Row],[Order Date]])</f>
        <v>2024</v>
      </c>
    </row>
    <row r="140" spans="1:15" x14ac:dyDescent="0.3">
      <c r="A140" s="4" t="s">
        <v>405</v>
      </c>
      <c r="B140" s="5">
        <v>45345</v>
      </c>
      <c r="C140" s="4" t="s">
        <v>239</v>
      </c>
      <c r="D140" s="4" t="s">
        <v>406</v>
      </c>
      <c r="E140" s="4" t="s">
        <v>54</v>
      </c>
      <c r="F140" s="4" t="s">
        <v>142</v>
      </c>
      <c r="G140" s="4" t="s">
        <v>17</v>
      </c>
      <c r="H140" s="4" t="s">
        <v>72</v>
      </c>
      <c r="I140" s="6">
        <v>6</v>
      </c>
      <c r="J140" s="6">
        <v>2574</v>
      </c>
      <c r="K140" s="6">
        <v>1550.25</v>
      </c>
      <c r="L140" s="6">
        <v>1023.75</v>
      </c>
      <c r="M140" s="11">
        <f>Table13[[#This Row],[Profit]]/Table13[[#This Row],[Sales]]</f>
        <v>0.39772727272727271</v>
      </c>
      <c r="N140" s="6" t="str">
        <f>TEXT(Table13[[#This Row],[Order Date]],"mmm")</f>
        <v>Feb</v>
      </c>
      <c r="O140" s="6">
        <f>YEAR(Table13[[#This Row],[Order Date]])</f>
        <v>2024</v>
      </c>
    </row>
    <row r="141" spans="1:15" x14ac:dyDescent="0.3">
      <c r="A141" s="4" t="s">
        <v>407</v>
      </c>
      <c r="B141" s="5">
        <v>45817</v>
      </c>
      <c r="C141" s="4" t="s">
        <v>113</v>
      </c>
      <c r="D141" s="4" t="s">
        <v>408</v>
      </c>
      <c r="E141" s="4" t="s">
        <v>15</v>
      </c>
      <c r="F141" s="4" t="s">
        <v>90</v>
      </c>
      <c r="G141" s="4" t="s">
        <v>24</v>
      </c>
      <c r="H141" s="4" t="s">
        <v>50</v>
      </c>
      <c r="I141" s="6">
        <v>8</v>
      </c>
      <c r="J141" s="6">
        <v>31776</v>
      </c>
      <c r="K141" s="6">
        <v>24893.48</v>
      </c>
      <c r="L141" s="6">
        <v>6882.52</v>
      </c>
      <c r="M141" s="11">
        <f>Table13[[#This Row],[Profit]]/Table13[[#This Row],[Sales]]</f>
        <v>0.21659491440080567</v>
      </c>
      <c r="N141" s="6" t="str">
        <f>TEXT(Table13[[#This Row],[Order Date]],"mmm")</f>
        <v>Jun</v>
      </c>
      <c r="O141" s="6">
        <f>YEAR(Table13[[#This Row],[Order Date]])</f>
        <v>2025</v>
      </c>
    </row>
    <row r="142" spans="1:15" x14ac:dyDescent="0.3">
      <c r="A142" s="4" t="s">
        <v>409</v>
      </c>
      <c r="B142" s="5">
        <v>45323</v>
      </c>
      <c r="C142" s="4" t="s">
        <v>126</v>
      </c>
      <c r="D142" s="4" t="s">
        <v>410</v>
      </c>
      <c r="E142" s="4" t="s">
        <v>29</v>
      </c>
      <c r="F142" s="4" t="s">
        <v>30</v>
      </c>
      <c r="G142" s="4" t="s">
        <v>24</v>
      </c>
      <c r="H142" s="4" t="s">
        <v>25</v>
      </c>
      <c r="I142" s="6">
        <v>9</v>
      </c>
      <c r="J142" s="6">
        <v>24930</v>
      </c>
      <c r="K142" s="6">
        <v>17137.2</v>
      </c>
      <c r="L142" s="6">
        <v>7792.8</v>
      </c>
      <c r="M142" s="11">
        <f>Table13[[#This Row],[Profit]]/Table13[[#This Row],[Sales]]</f>
        <v>0.3125872442839952</v>
      </c>
      <c r="N142" s="6" t="str">
        <f>TEXT(Table13[[#This Row],[Order Date]],"mmm")</f>
        <v>Feb</v>
      </c>
      <c r="O142" s="6">
        <f>YEAR(Table13[[#This Row],[Order Date]])</f>
        <v>2024</v>
      </c>
    </row>
    <row r="143" spans="1:15" x14ac:dyDescent="0.3">
      <c r="A143" s="4" t="s">
        <v>411</v>
      </c>
      <c r="B143" s="5">
        <v>45746</v>
      </c>
      <c r="C143" s="4" t="s">
        <v>412</v>
      </c>
      <c r="D143" s="4" t="s">
        <v>215</v>
      </c>
      <c r="E143" s="4" t="s">
        <v>22</v>
      </c>
      <c r="F143" s="4" t="s">
        <v>67</v>
      </c>
      <c r="G143" s="4" t="s">
        <v>17</v>
      </c>
      <c r="H143" s="4" t="s">
        <v>31</v>
      </c>
      <c r="I143" s="6">
        <v>2</v>
      </c>
      <c r="J143" s="6">
        <v>8632</v>
      </c>
      <c r="K143" s="6">
        <v>6592.43</v>
      </c>
      <c r="L143" s="6">
        <v>2039.57</v>
      </c>
      <c r="M143" s="11">
        <f>Table13[[#This Row],[Profit]]/Table13[[#This Row],[Sales]]</f>
        <v>0.2362801204819277</v>
      </c>
      <c r="N143" s="6" t="str">
        <f>TEXT(Table13[[#This Row],[Order Date]],"mmm")</f>
        <v>Mar</v>
      </c>
      <c r="O143" s="6">
        <f>YEAR(Table13[[#This Row],[Order Date]])</f>
        <v>2025</v>
      </c>
    </row>
    <row r="144" spans="1:15" x14ac:dyDescent="0.3">
      <c r="A144" s="4" t="s">
        <v>413</v>
      </c>
      <c r="B144" s="5">
        <v>45940</v>
      </c>
      <c r="C144" s="4" t="s">
        <v>313</v>
      </c>
      <c r="D144" s="4" t="s">
        <v>414</v>
      </c>
      <c r="E144" s="4" t="s">
        <v>54</v>
      </c>
      <c r="F144" s="4" t="s">
        <v>71</v>
      </c>
      <c r="G144" s="4" t="s">
        <v>24</v>
      </c>
      <c r="H144" s="4" t="s">
        <v>166</v>
      </c>
      <c r="I144" s="6">
        <v>2</v>
      </c>
      <c r="J144" s="6">
        <v>2666</v>
      </c>
      <c r="K144" s="6">
        <v>1686.26</v>
      </c>
      <c r="L144" s="6">
        <v>979.74</v>
      </c>
      <c r="M144" s="11">
        <f>Table13[[#This Row],[Profit]]/Table13[[#This Row],[Sales]]</f>
        <v>0.36749437359339837</v>
      </c>
      <c r="N144" s="6" t="str">
        <f>TEXT(Table13[[#This Row],[Order Date]],"mmm")</f>
        <v>Oct</v>
      </c>
      <c r="O144" s="6">
        <f>YEAR(Table13[[#This Row],[Order Date]])</f>
        <v>2025</v>
      </c>
    </row>
    <row r="145" spans="1:15" x14ac:dyDescent="0.3">
      <c r="A145" s="4" t="s">
        <v>415</v>
      </c>
      <c r="B145" s="5">
        <v>45911</v>
      </c>
      <c r="C145" s="4" t="s">
        <v>416</v>
      </c>
      <c r="D145" s="4" t="s">
        <v>417</v>
      </c>
      <c r="E145" s="4" t="s">
        <v>54</v>
      </c>
      <c r="F145" s="4" t="s">
        <v>55</v>
      </c>
      <c r="G145" s="4" t="s">
        <v>17</v>
      </c>
      <c r="H145" s="4" t="s">
        <v>72</v>
      </c>
      <c r="I145" s="6">
        <v>9</v>
      </c>
      <c r="J145" s="6">
        <v>24435</v>
      </c>
      <c r="K145" s="6">
        <v>16765.21</v>
      </c>
      <c r="L145" s="6">
        <v>7669.79</v>
      </c>
      <c r="M145" s="11">
        <f>Table13[[#This Row],[Profit]]/Table13[[#This Row],[Sales]]</f>
        <v>0.31388541027215061</v>
      </c>
      <c r="N145" s="6" t="str">
        <f>TEXT(Table13[[#This Row],[Order Date]],"mmm")</f>
        <v>Sep</v>
      </c>
      <c r="O145" s="6">
        <f>YEAR(Table13[[#This Row],[Order Date]])</f>
        <v>2025</v>
      </c>
    </row>
    <row r="146" spans="1:15" x14ac:dyDescent="0.3">
      <c r="A146" s="4" t="s">
        <v>418</v>
      </c>
      <c r="B146" s="5">
        <v>45525</v>
      </c>
      <c r="C146" s="4" t="s">
        <v>419</v>
      </c>
      <c r="D146" s="4" t="s">
        <v>420</v>
      </c>
      <c r="E146" s="4" t="s">
        <v>15</v>
      </c>
      <c r="F146" s="4" t="s">
        <v>90</v>
      </c>
      <c r="G146" s="4" t="s">
        <v>17</v>
      </c>
      <c r="H146" s="4" t="s">
        <v>31</v>
      </c>
      <c r="I146" s="6">
        <v>9</v>
      </c>
      <c r="J146" s="6">
        <v>18549</v>
      </c>
      <c r="K146" s="6">
        <v>12595.16</v>
      </c>
      <c r="L146" s="6">
        <v>5953.84</v>
      </c>
      <c r="M146" s="11">
        <f>Table13[[#This Row],[Profit]]/Table13[[#This Row],[Sales]]</f>
        <v>0.32097902851905763</v>
      </c>
      <c r="N146" s="6" t="str">
        <f>TEXT(Table13[[#This Row],[Order Date]],"mmm")</f>
        <v>Aug</v>
      </c>
      <c r="O146" s="6">
        <f>YEAR(Table13[[#This Row],[Order Date]])</f>
        <v>2024</v>
      </c>
    </row>
    <row r="147" spans="1:15" x14ac:dyDescent="0.3">
      <c r="A147" s="4" t="s">
        <v>421</v>
      </c>
      <c r="B147" s="5">
        <v>45973</v>
      </c>
      <c r="C147" s="4" t="s">
        <v>422</v>
      </c>
      <c r="D147" s="4" t="s">
        <v>423</v>
      </c>
      <c r="E147" s="4" t="s">
        <v>22</v>
      </c>
      <c r="F147" s="4" t="s">
        <v>67</v>
      </c>
      <c r="G147" s="4" t="s">
        <v>35</v>
      </c>
      <c r="H147" s="4" t="s">
        <v>36</v>
      </c>
      <c r="I147" s="6">
        <v>2</v>
      </c>
      <c r="J147" s="6">
        <v>5720</v>
      </c>
      <c r="K147" s="6">
        <v>3878.33</v>
      </c>
      <c r="L147" s="6">
        <v>1841.67</v>
      </c>
      <c r="M147" s="11">
        <f>Table13[[#This Row],[Profit]]/Table13[[#This Row],[Sales]]</f>
        <v>0.32197027972027975</v>
      </c>
      <c r="N147" s="6" t="str">
        <f>TEXT(Table13[[#This Row],[Order Date]],"mmm")</f>
        <v>Nov</v>
      </c>
      <c r="O147" s="6">
        <f>YEAR(Table13[[#This Row],[Order Date]])</f>
        <v>2025</v>
      </c>
    </row>
    <row r="148" spans="1:15" x14ac:dyDescent="0.3">
      <c r="A148" s="4" t="s">
        <v>424</v>
      </c>
      <c r="B148" s="5">
        <v>45387</v>
      </c>
      <c r="C148" s="4" t="s">
        <v>307</v>
      </c>
      <c r="D148" s="4" t="s">
        <v>425</v>
      </c>
      <c r="E148" s="4" t="s">
        <v>29</v>
      </c>
      <c r="F148" s="4" t="s">
        <v>30</v>
      </c>
      <c r="G148" s="4" t="s">
        <v>35</v>
      </c>
      <c r="H148" s="4" t="s">
        <v>80</v>
      </c>
      <c r="I148" s="6">
        <v>2</v>
      </c>
      <c r="J148" s="6">
        <v>2094</v>
      </c>
      <c r="K148" s="6">
        <v>1674.22</v>
      </c>
      <c r="L148" s="6">
        <v>419.78</v>
      </c>
      <c r="M148" s="11">
        <f>Table13[[#This Row],[Profit]]/Table13[[#This Row],[Sales]]</f>
        <v>0.20046800382043933</v>
      </c>
      <c r="N148" s="6" t="str">
        <f>TEXT(Table13[[#This Row],[Order Date]],"mmm")</f>
        <v>Apr</v>
      </c>
      <c r="O148" s="6">
        <f>YEAR(Table13[[#This Row],[Order Date]])</f>
        <v>2024</v>
      </c>
    </row>
    <row r="149" spans="1:15" x14ac:dyDescent="0.3">
      <c r="A149" s="4" t="s">
        <v>426</v>
      </c>
      <c r="B149" s="5">
        <v>45978</v>
      </c>
      <c r="C149" s="4" t="s">
        <v>427</v>
      </c>
      <c r="D149" s="4" t="s">
        <v>428</v>
      </c>
      <c r="E149" s="4" t="s">
        <v>54</v>
      </c>
      <c r="F149" s="4" t="s">
        <v>142</v>
      </c>
      <c r="G149" s="4" t="s">
        <v>35</v>
      </c>
      <c r="H149" s="4" t="s">
        <v>45</v>
      </c>
      <c r="I149" s="6">
        <v>1</v>
      </c>
      <c r="J149" s="6">
        <v>4900</v>
      </c>
      <c r="K149" s="6">
        <v>3520.67</v>
      </c>
      <c r="L149" s="6">
        <v>1379.33</v>
      </c>
      <c r="M149" s="11">
        <f>Table13[[#This Row],[Profit]]/Table13[[#This Row],[Sales]]</f>
        <v>0.28149591836734694</v>
      </c>
      <c r="N149" s="6" t="str">
        <f>TEXT(Table13[[#This Row],[Order Date]],"mmm")</f>
        <v>Nov</v>
      </c>
      <c r="O149" s="6">
        <f>YEAR(Table13[[#This Row],[Order Date]])</f>
        <v>2025</v>
      </c>
    </row>
    <row r="150" spans="1:15" x14ac:dyDescent="0.3">
      <c r="A150" s="4" t="s">
        <v>429</v>
      </c>
      <c r="B150" s="5">
        <v>45652</v>
      </c>
      <c r="C150" s="4" t="s">
        <v>316</v>
      </c>
      <c r="D150" s="4" t="s">
        <v>311</v>
      </c>
      <c r="E150" s="4" t="s">
        <v>54</v>
      </c>
      <c r="F150" s="4" t="s">
        <v>71</v>
      </c>
      <c r="G150" s="4" t="s">
        <v>35</v>
      </c>
      <c r="H150" s="4" t="s">
        <v>36</v>
      </c>
      <c r="I150" s="6">
        <v>1</v>
      </c>
      <c r="J150" s="6">
        <v>2656</v>
      </c>
      <c r="K150" s="6">
        <v>1939.21</v>
      </c>
      <c r="L150" s="6">
        <v>716.79</v>
      </c>
      <c r="M150" s="11">
        <f>Table13[[#This Row],[Profit]]/Table13[[#This Row],[Sales]]</f>
        <v>0.26987575301204819</v>
      </c>
      <c r="N150" s="6" t="str">
        <f>TEXT(Table13[[#This Row],[Order Date]],"mmm")</f>
        <v>Dec</v>
      </c>
      <c r="O150" s="6">
        <f>YEAR(Table13[[#This Row],[Order Date]])</f>
        <v>2024</v>
      </c>
    </row>
    <row r="151" spans="1:15" x14ac:dyDescent="0.3">
      <c r="A151" s="4" t="s">
        <v>430</v>
      </c>
      <c r="B151" s="5">
        <v>45650</v>
      </c>
      <c r="C151" s="4" t="s">
        <v>123</v>
      </c>
      <c r="D151" s="4" t="s">
        <v>431</v>
      </c>
      <c r="E151" s="4" t="s">
        <v>29</v>
      </c>
      <c r="F151" s="4" t="s">
        <v>102</v>
      </c>
      <c r="G151" s="4" t="s">
        <v>17</v>
      </c>
      <c r="H151" s="4" t="s">
        <v>31</v>
      </c>
      <c r="I151" s="6">
        <v>8</v>
      </c>
      <c r="J151" s="6">
        <v>17096</v>
      </c>
      <c r="K151" s="6">
        <v>13748.3</v>
      </c>
      <c r="L151" s="6">
        <v>3347.7</v>
      </c>
      <c r="M151" s="11">
        <f>Table13[[#This Row],[Profit]]/Table13[[#This Row],[Sales]]</f>
        <v>0.19581773514272344</v>
      </c>
      <c r="N151" s="6" t="str">
        <f>TEXT(Table13[[#This Row],[Order Date]],"mmm")</f>
        <v>Dec</v>
      </c>
      <c r="O151" s="6">
        <f>YEAR(Table13[[#This Row],[Order Date]])</f>
        <v>2024</v>
      </c>
    </row>
    <row r="152" spans="1:15" x14ac:dyDescent="0.3">
      <c r="A152" s="4" t="s">
        <v>432</v>
      </c>
      <c r="B152" s="5">
        <v>45928</v>
      </c>
      <c r="C152" s="4" t="s">
        <v>433</v>
      </c>
      <c r="D152" s="4" t="s">
        <v>229</v>
      </c>
      <c r="E152" s="4" t="s">
        <v>15</v>
      </c>
      <c r="F152" s="4" t="s">
        <v>63</v>
      </c>
      <c r="G152" s="4" t="s">
        <v>17</v>
      </c>
      <c r="H152" s="4" t="s">
        <v>72</v>
      </c>
      <c r="I152" s="6">
        <v>4</v>
      </c>
      <c r="J152" s="6">
        <v>15260</v>
      </c>
      <c r="K152" s="6">
        <v>12262.12</v>
      </c>
      <c r="L152" s="6">
        <v>2997.88</v>
      </c>
      <c r="M152" s="11">
        <f>Table13[[#This Row],[Profit]]/Table13[[#This Row],[Sales]]</f>
        <v>0.19645347313237221</v>
      </c>
      <c r="N152" s="6" t="str">
        <f>TEXT(Table13[[#This Row],[Order Date]],"mmm")</f>
        <v>Sep</v>
      </c>
      <c r="O152" s="6">
        <f>YEAR(Table13[[#This Row],[Order Date]])</f>
        <v>2025</v>
      </c>
    </row>
    <row r="153" spans="1:15" x14ac:dyDescent="0.3">
      <c r="A153" s="4" t="s">
        <v>434</v>
      </c>
      <c r="B153" s="5">
        <v>45651</v>
      </c>
      <c r="C153" s="4" t="s">
        <v>435</v>
      </c>
      <c r="D153" s="4" t="s">
        <v>436</v>
      </c>
      <c r="E153" s="4" t="s">
        <v>54</v>
      </c>
      <c r="F153" s="4" t="s">
        <v>142</v>
      </c>
      <c r="G153" s="4" t="s">
        <v>24</v>
      </c>
      <c r="H153" s="4" t="s">
        <v>166</v>
      </c>
      <c r="I153" s="6">
        <v>5</v>
      </c>
      <c r="J153" s="6">
        <v>14155</v>
      </c>
      <c r="K153" s="6">
        <v>11698.56</v>
      </c>
      <c r="L153" s="6">
        <v>2456.44</v>
      </c>
      <c r="M153" s="11">
        <f>Table13[[#This Row],[Profit]]/Table13[[#This Row],[Sales]]</f>
        <v>0.17353867891204522</v>
      </c>
      <c r="N153" s="6" t="str">
        <f>TEXT(Table13[[#This Row],[Order Date]],"mmm")</f>
        <v>Dec</v>
      </c>
      <c r="O153" s="6">
        <f>YEAR(Table13[[#This Row],[Order Date]])</f>
        <v>2024</v>
      </c>
    </row>
    <row r="154" spans="1:15" x14ac:dyDescent="0.3">
      <c r="A154" s="4" t="s">
        <v>437</v>
      </c>
      <c r="B154" s="5">
        <v>45940</v>
      </c>
      <c r="C154" s="4" t="s">
        <v>438</v>
      </c>
      <c r="D154" s="4" t="s">
        <v>439</v>
      </c>
      <c r="E154" s="4" t="s">
        <v>29</v>
      </c>
      <c r="F154" s="4" t="s">
        <v>30</v>
      </c>
      <c r="G154" s="4" t="s">
        <v>17</v>
      </c>
      <c r="H154" s="4" t="s">
        <v>31</v>
      </c>
      <c r="I154" s="6">
        <v>7</v>
      </c>
      <c r="J154" s="6">
        <v>6090</v>
      </c>
      <c r="K154" s="6">
        <v>3608.7</v>
      </c>
      <c r="L154" s="6">
        <v>2481.3000000000002</v>
      </c>
      <c r="M154" s="11">
        <f>Table13[[#This Row],[Profit]]/Table13[[#This Row],[Sales]]</f>
        <v>0.40743842364532024</v>
      </c>
      <c r="N154" s="6" t="str">
        <f>TEXT(Table13[[#This Row],[Order Date]],"mmm")</f>
        <v>Oct</v>
      </c>
      <c r="O154" s="6">
        <f>YEAR(Table13[[#This Row],[Order Date]])</f>
        <v>2025</v>
      </c>
    </row>
    <row r="155" spans="1:15" x14ac:dyDescent="0.3">
      <c r="A155" s="4" t="s">
        <v>440</v>
      </c>
      <c r="B155" s="5">
        <v>45611</v>
      </c>
      <c r="C155" s="4" t="s">
        <v>441</v>
      </c>
      <c r="D155" s="4" t="s">
        <v>442</v>
      </c>
      <c r="E155" s="4" t="s">
        <v>29</v>
      </c>
      <c r="F155" s="4" t="s">
        <v>49</v>
      </c>
      <c r="G155" s="4" t="s">
        <v>35</v>
      </c>
      <c r="H155" s="4" t="s">
        <v>36</v>
      </c>
      <c r="I155" s="6">
        <v>8</v>
      </c>
      <c r="J155" s="6">
        <v>24736</v>
      </c>
      <c r="K155" s="6">
        <v>14772.9</v>
      </c>
      <c r="L155" s="6">
        <v>9963.1</v>
      </c>
      <c r="M155" s="11">
        <f>Table13[[#This Row],[Profit]]/Table13[[#This Row],[Sales]]</f>
        <v>0.40277732858990944</v>
      </c>
      <c r="N155" s="6" t="str">
        <f>TEXT(Table13[[#This Row],[Order Date]],"mmm")</f>
        <v>Nov</v>
      </c>
      <c r="O155" s="6">
        <f>YEAR(Table13[[#This Row],[Order Date]])</f>
        <v>2024</v>
      </c>
    </row>
    <row r="156" spans="1:15" x14ac:dyDescent="0.3">
      <c r="A156" s="4" t="s">
        <v>443</v>
      </c>
      <c r="B156" s="5">
        <v>45570</v>
      </c>
      <c r="C156" s="4" t="s">
        <v>324</v>
      </c>
      <c r="D156" s="4" t="s">
        <v>302</v>
      </c>
      <c r="E156" s="4" t="s">
        <v>15</v>
      </c>
      <c r="F156" s="4" t="s">
        <v>16</v>
      </c>
      <c r="G156" s="4" t="s">
        <v>24</v>
      </c>
      <c r="H156" s="4" t="s">
        <v>166</v>
      </c>
      <c r="I156" s="6">
        <v>3</v>
      </c>
      <c r="J156" s="6">
        <v>2121</v>
      </c>
      <c r="K156" s="6">
        <v>1595.4</v>
      </c>
      <c r="L156" s="6">
        <v>525.6</v>
      </c>
      <c r="M156" s="11">
        <f>Table13[[#This Row],[Profit]]/Table13[[#This Row],[Sales]]</f>
        <v>0.24780763790664781</v>
      </c>
      <c r="N156" s="6" t="str">
        <f>TEXT(Table13[[#This Row],[Order Date]],"mmm")</f>
        <v>Oct</v>
      </c>
      <c r="O156" s="6">
        <f>YEAR(Table13[[#This Row],[Order Date]])</f>
        <v>2024</v>
      </c>
    </row>
    <row r="157" spans="1:15" x14ac:dyDescent="0.3">
      <c r="A157" s="4" t="s">
        <v>444</v>
      </c>
      <c r="B157" s="5">
        <v>45816</v>
      </c>
      <c r="C157" s="4" t="s">
        <v>77</v>
      </c>
      <c r="D157" s="4" t="s">
        <v>177</v>
      </c>
      <c r="E157" s="4" t="s">
        <v>22</v>
      </c>
      <c r="F157" s="4" t="s">
        <v>79</v>
      </c>
      <c r="G157" s="4" t="s">
        <v>35</v>
      </c>
      <c r="H157" s="4" t="s">
        <v>80</v>
      </c>
      <c r="I157" s="6">
        <v>7</v>
      </c>
      <c r="J157" s="6">
        <v>17759</v>
      </c>
      <c r="K157" s="6">
        <v>10915.94</v>
      </c>
      <c r="L157" s="6">
        <v>6843.06</v>
      </c>
      <c r="M157" s="11">
        <f>Table13[[#This Row],[Profit]]/Table13[[#This Row],[Sales]]</f>
        <v>0.38532912889239262</v>
      </c>
      <c r="N157" s="6" t="str">
        <f>TEXT(Table13[[#This Row],[Order Date]],"mmm")</f>
        <v>Jun</v>
      </c>
      <c r="O157" s="6">
        <f>YEAR(Table13[[#This Row],[Order Date]])</f>
        <v>2025</v>
      </c>
    </row>
    <row r="158" spans="1:15" x14ac:dyDescent="0.3">
      <c r="A158" s="4" t="s">
        <v>445</v>
      </c>
      <c r="B158" s="5">
        <v>45607</v>
      </c>
      <c r="C158" s="4" t="s">
        <v>446</v>
      </c>
      <c r="D158" s="4" t="s">
        <v>447</v>
      </c>
      <c r="E158" s="4" t="s">
        <v>22</v>
      </c>
      <c r="F158" s="4" t="s">
        <v>23</v>
      </c>
      <c r="G158" s="4" t="s">
        <v>40</v>
      </c>
      <c r="H158" s="4" t="s">
        <v>99</v>
      </c>
      <c r="I158" s="6">
        <v>10</v>
      </c>
      <c r="J158" s="6">
        <v>42860</v>
      </c>
      <c r="K158" s="6">
        <v>30348.32</v>
      </c>
      <c r="L158" s="6">
        <v>12511.68</v>
      </c>
      <c r="M158" s="11">
        <f>Table13[[#This Row],[Profit]]/Table13[[#This Row],[Sales]]</f>
        <v>0.29191973868408772</v>
      </c>
      <c r="N158" s="6" t="str">
        <f>TEXT(Table13[[#This Row],[Order Date]],"mmm")</f>
        <v>Nov</v>
      </c>
      <c r="O158" s="6">
        <f>YEAR(Table13[[#This Row],[Order Date]])</f>
        <v>2024</v>
      </c>
    </row>
    <row r="159" spans="1:15" x14ac:dyDescent="0.3">
      <c r="A159" s="4" t="s">
        <v>448</v>
      </c>
      <c r="B159" s="5">
        <v>45508</v>
      </c>
      <c r="C159" s="4" t="s">
        <v>449</v>
      </c>
      <c r="D159" s="4" t="s">
        <v>180</v>
      </c>
      <c r="E159" s="4" t="s">
        <v>22</v>
      </c>
      <c r="F159" s="4" t="s">
        <v>79</v>
      </c>
      <c r="G159" s="4" t="s">
        <v>24</v>
      </c>
      <c r="H159" s="4" t="s">
        <v>25</v>
      </c>
      <c r="I159" s="6">
        <v>1</v>
      </c>
      <c r="J159" s="6">
        <v>1974</v>
      </c>
      <c r="K159" s="6">
        <v>1264.2</v>
      </c>
      <c r="L159" s="6">
        <v>709.8</v>
      </c>
      <c r="M159" s="11">
        <f>Table13[[#This Row],[Profit]]/Table13[[#This Row],[Sales]]</f>
        <v>0.35957446808510635</v>
      </c>
      <c r="N159" s="6" t="str">
        <f>TEXT(Table13[[#This Row],[Order Date]],"mmm")</f>
        <v>Aug</v>
      </c>
      <c r="O159" s="6">
        <f>YEAR(Table13[[#This Row],[Order Date]])</f>
        <v>2024</v>
      </c>
    </row>
    <row r="160" spans="1:15" x14ac:dyDescent="0.3">
      <c r="A160" s="4" t="s">
        <v>450</v>
      </c>
      <c r="B160" s="5">
        <v>45471</v>
      </c>
      <c r="C160" s="4" t="s">
        <v>451</v>
      </c>
      <c r="D160" s="4" t="s">
        <v>258</v>
      </c>
      <c r="E160" s="4" t="s">
        <v>54</v>
      </c>
      <c r="F160" s="4" t="s">
        <v>55</v>
      </c>
      <c r="G160" s="4" t="s">
        <v>24</v>
      </c>
      <c r="H160" s="4" t="s">
        <v>50</v>
      </c>
      <c r="I160" s="6">
        <v>1</v>
      </c>
      <c r="J160" s="6">
        <v>4374</v>
      </c>
      <c r="K160" s="6">
        <v>3385.93</v>
      </c>
      <c r="L160" s="6">
        <v>988.07</v>
      </c>
      <c r="M160" s="11">
        <f>Table13[[#This Row],[Profit]]/Table13[[#This Row],[Sales]]</f>
        <v>0.22589620484682213</v>
      </c>
      <c r="N160" s="6" t="str">
        <f>TEXT(Table13[[#This Row],[Order Date]],"mmm")</f>
        <v>Jun</v>
      </c>
      <c r="O160" s="6">
        <f>YEAR(Table13[[#This Row],[Order Date]])</f>
        <v>2024</v>
      </c>
    </row>
    <row r="161" spans="1:15" x14ac:dyDescent="0.3">
      <c r="A161" s="4" t="s">
        <v>452</v>
      </c>
      <c r="B161" s="5">
        <v>45335</v>
      </c>
      <c r="C161" s="4" t="s">
        <v>254</v>
      </c>
      <c r="D161" s="4" t="s">
        <v>453</v>
      </c>
      <c r="E161" s="4" t="s">
        <v>29</v>
      </c>
      <c r="F161" s="4" t="s">
        <v>30</v>
      </c>
      <c r="G161" s="4" t="s">
        <v>35</v>
      </c>
      <c r="H161" s="4" t="s">
        <v>45</v>
      </c>
      <c r="I161" s="6">
        <v>6</v>
      </c>
      <c r="J161" s="6">
        <v>5340</v>
      </c>
      <c r="K161" s="6">
        <v>3573.11</v>
      </c>
      <c r="L161" s="6">
        <v>1766.89</v>
      </c>
      <c r="M161" s="11">
        <f>Table13[[#This Row],[Profit]]/Table13[[#This Row],[Sales]]</f>
        <v>0.33087827715355805</v>
      </c>
      <c r="N161" s="6" t="str">
        <f>TEXT(Table13[[#This Row],[Order Date]],"mmm")</f>
        <v>Feb</v>
      </c>
      <c r="O161" s="6">
        <f>YEAR(Table13[[#This Row],[Order Date]])</f>
        <v>2024</v>
      </c>
    </row>
    <row r="162" spans="1:15" x14ac:dyDescent="0.3">
      <c r="A162" s="4" t="s">
        <v>454</v>
      </c>
      <c r="B162" s="5">
        <v>46018</v>
      </c>
      <c r="C162" s="4" t="s">
        <v>455</v>
      </c>
      <c r="D162" s="4" t="s">
        <v>456</v>
      </c>
      <c r="E162" s="4" t="s">
        <v>22</v>
      </c>
      <c r="F162" s="4" t="s">
        <v>23</v>
      </c>
      <c r="G162" s="4" t="s">
        <v>40</v>
      </c>
      <c r="H162" s="4" t="s">
        <v>41</v>
      </c>
      <c r="I162" s="6">
        <v>10</v>
      </c>
      <c r="J162" s="6">
        <v>38160</v>
      </c>
      <c r="K162" s="6">
        <v>27552.28</v>
      </c>
      <c r="L162" s="6">
        <v>10607.72</v>
      </c>
      <c r="M162" s="11">
        <f>Table13[[#This Row],[Profit]]/Table13[[#This Row],[Sales]]</f>
        <v>0.27798008385744233</v>
      </c>
      <c r="N162" s="6" t="str">
        <f>TEXT(Table13[[#This Row],[Order Date]],"mmm")</f>
        <v>Dec</v>
      </c>
      <c r="O162" s="6">
        <f>YEAR(Table13[[#This Row],[Order Date]])</f>
        <v>2025</v>
      </c>
    </row>
    <row r="163" spans="1:15" x14ac:dyDescent="0.3">
      <c r="A163" s="4" t="s">
        <v>457</v>
      </c>
      <c r="B163" s="5">
        <v>45924</v>
      </c>
      <c r="C163" s="4" t="s">
        <v>458</v>
      </c>
      <c r="D163" s="4" t="s">
        <v>459</v>
      </c>
      <c r="E163" s="4" t="s">
        <v>15</v>
      </c>
      <c r="F163" s="4" t="s">
        <v>63</v>
      </c>
      <c r="G163" s="4" t="s">
        <v>24</v>
      </c>
      <c r="H163" s="4" t="s">
        <v>25</v>
      </c>
      <c r="I163" s="6">
        <v>6</v>
      </c>
      <c r="J163" s="6">
        <v>10242</v>
      </c>
      <c r="K163" s="6">
        <v>8095.24</v>
      </c>
      <c r="L163" s="6">
        <v>2146.7600000000002</v>
      </c>
      <c r="M163" s="11">
        <f>Table13[[#This Row],[Profit]]/Table13[[#This Row],[Sales]]</f>
        <v>0.20960359304823278</v>
      </c>
      <c r="N163" s="6" t="str">
        <f>TEXT(Table13[[#This Row],[Order Date]],"mmm")</f>
        <v>Sep</v>
      </c>
      <c r="O163" s="6">
        <f>YEAR(Table13[[#This Row],[Order Date]])</f>
        <v>2025</v>
      </c>
    </row>
    <row r="164" spans="1:15" x14ac:dyDescent="0.3">
      <c r="A164" s="4" t="s">
        <v>460</v>
      </c>
      <c r="B164" s="5">
        <v>45828</v>
      </c>
      <c r="C164" s="4" t="s">
        <v>461</v>
      </c>
      <c r="D164" s="4" t="s">
        <v>462</v>
      </c>
      <c r="E164" s="4" t="s">
        <v>15</v>
      </c>
      <c r="F164" s="4" t="s">
        <v>63</v>
      </c>
      <c r="G164" s="4" t="s">
        <v>24</v>
      </c>
      <c r="H164" s="4" t="s">
        <v>50</v>
      </c>
      <c r="I164" s="6">
        <v>4</v>
      </c>
      <c r="J164" s="6">
        <v>15476</v>
      </c>
      <c r="K164" s="6">
        <v>11245.81</v>
      </c>
      <c r="L164" s="6">
        <v>4230.1899999999996</v>
      </c>
      <c r="M164" s="11">
        <f>Table13[[#This Row],[Profit]]/Table13[[#This Row],[Sales]]</f>
        <v>0.27333871801499093</v>
      </c>
      <c r="N164" s="6" t="str">
        <f>TEXT(Table13[[#This Row],[Order Date]],"mmm")</f>
        <v>Jun</v>
      </c>
      <c r="O164" s="6">
        <f>YEAR(Table13[[#This Row],[Order Date]])</f>
        <v>2025</v>
      </c>
    </row>
    <row r="165" spans="1:15" x14ac:dyDescent="0.3">
      <c r="A165" s="4" t="s">
        <v>463</v>
      </c>
      <c r="B165" s="5">
        <v>45370</v>
      </c>
      <c r="C165" s="4" t="s">
        <v>464</v>
      </c>
      <c r="D165" s="4" t="s">
        <v>285</v>
      </c>
      <c r="E165" s="4" t="s">
        <v>54</v>
      </c>
      <c r="F165" s="4" t="s">
        <v>71</v>
      </c>
      <c r="G165" s="4" t="s">
        <v>40</v>
      </c>
      <c r="H165" s="4" t="s">
        <v>41</v>
      </c>
      <c r="I165" s="6">
        <v>4</v>
      </c>
      <c r="J165" s="6">
        <v>12112</v>
      </c>
      <c r="K165" s="6">
        <v>9492.6</v>
      </c>
      <c r="L165" s="6">
        <v>2619.4</v>
      </c>
      <c r="M165" s="11">
        <f>Table13[[#This Row],[Profit]]/Table13[[#This Row],[Sales]]</f>
        <v>0.21626486129458389</v>
      </c>
      <c r="N165" s="6" t="str">
        <f>TEXT(Table13[[#This Row],[Order Date]],"mmm")</f>
        <v>Mar</v>
      </c>
      <c r="O165" s="6">
        <f>YEAR(Table13[[#This Row],[Order Date]])</f>
        <v>2024</v>
      </c>
    </row>
    <row r="166" spans="1:15" x14ac:dyDescent="0.3">
      <c r="A166" s="4" t="s">
        <v>465</v>
      </c>
      <c r="B166" s="5">
        <v>45554</v>
      </c>
      <c r="C166" s="4" t="s">
        <v>301</v>
      </c>
      <c r="D166" s="4" t="s">
        <v>466</v>
      </c>
      <c r="E166" s="4" t="s">
        <v>29</v>
      </c>
      <c r="F166" s="4" t="s">
        <v>49</v>
      </c>
      <c r="G166" s="4" t="s">
        <v>40</v>
      </c>
      <c r="H166" s="4" t="s">
        <v>41</v>
      </c>
      <c r="I166" s="6">
        <v>3</v>
      </c>
      <c r="J166" s="6">
        <v>6705</v>
      </c>
      <c r="K166" s="6">
        <v>3894.54</v>
      </c>
      <c r="L166" s="6">
        <v>2810.46</v>
      </c>
      <c r="M166" s="11">
        <f>Table13[[#This Row],[Profit]]/Table13[[#This Row],[Sales]]</f>
        <v>0.41915883668903803</v>
      </c>
      <c r="N166" s="6" t="str">
        <f>TEXT(Table13[[#This Row],[Order Date]],"mmm")</f>
        <v>Sep</v>
      </c>
      <c r="O166" s="6">
        <f>YEAR(Table13[[#This Row],[Order Date]])</f>
        <v>2024</v>
      </c>
    </row>
    <row r="167" spans="1:15" x14ac:dyDescent="0.3">
      <c r="A167" s="4" t="s">
        <v>467</v>
      </c>
      <c r="B167" s="5">
        <v>45869</v>
      </c>
      <c r="C167" s="4" t="s">
        <v>379</v>
      </c>
      <c r="D167" s="4" t="s">
        <v>468</v>
      </c>
      <c r="E167" s="4" t="s">
        <v>29</v>
      </c>
      <c r="F167" s="4" t="s">
        <v>30</v>
      </c>
      <c r="G167" s="4" t="s">
        <v>24</v>
      </c>
      <c r="H167" s="4" t="s">
        <v>50</v>
      </c>
      <c r="I167" s="6">
        <v>3</v>
      </c>
      <c r="J167" s="6">
        <v>13041</v>
      </c>
      <c r="K167" s="6">
        <v>8987.67</v>
      </c>
      <c r="L167" s="6">
        <v>4053.33</v>
      </c>
      <c r="M167" s="11">
        <f>Table13[[#This Row],[Profit]]/Table13[[#This Row],[Sales]]</f>
        <v>0.31081435472739821</v>
      </c>
      <c r="N167" s="6" t="str">
        <f>TEXT(Table13[[#This Row],[Order Date]],"mmm")</f>
        <v>Jul</v>
      </c>
      <c r="O167" s="6">
        <f>YEAR(Table13[[#This Row],[Order Date]])</f>
        <v>2025</v>
      </c>
    </row>
    <row r="168" spans="1:15" x14ac:dyDescent="0.3">
      <c r="A168" s="4" t="s">
        <v>469</v>
      </c>
      <c r="B168" s="5">
        <v>45744</v>
      </c>
      <c r="C168" s="4" t="s">
        <v>287</v>
      </c>
      <c r="D168" s="4" t="s">
        <v>470</v>
      </c>
      <c r="E168" s="4" t="s">
        <v>54</v>
      </c>
      <c r="F168" s="4" t="s">
        <v>71</v>
      </c>
      <c r="G168" s="4" t="s">
        <v>40</v>
      </c>
      <c r="H168" s="4" t="s">
        <v>41</v>
      </c>
      <c r="I168" s="6">
        <v>3</v>
      </c>
      <c r="J168" s="6">
        <v>11706</v>
      </c>
      <c r="K168" s="6">
        <v>6678.11</v>
      </c>
      <c r="L168" s="6">
        <v>5027.8900000000003</v>
      </c>
      <c r="M168" s="11">
        <f>Table13[[#This Row],[Profit]]/Table13[[#This Row],[Sales]]</f>
        <v>0.42951392448317105</v>
      </c>
      <c r="N168" s="6" t="str">
        <f>TEXT(Table13[[#This Row],[Order Date]],"mmm")</f>
        <v>Mar</v>
      </c>
      <c r="O168" s="6">
        <f>YEAR(Table13[[#This Row],[Order Date]])</f>
        <v>2025</v>
      </c>
    </row>
    <row r="169" spans="1:15" x14ac:dyDescent="0.3">
      <c r="A169" s="4" t="s">
        <v>471</v>
      </c>
      <c r="B169" s="5">
        <v>45330</v>
      </c>
      <c r="C169" s="4" t="s">
        <v>472</v>
      </c>
      <c r="D169" s="4" t="s">
        <v>431</v>
      </c>
      <c r="E169" s="4" t="s">
        <v>15</v>
      </c>
      <c r="F169" s="4" t="s">
        <v>63</v>
      </c>
      <c r="G169" s="4" t="s">
        <v>35</v>
      </c>
      <c r="H169" s="4" t="s">
        <v>45</v>
      </c>
      <c r="I169" s="6">
        <v>2</v>
      </c>
      <c r="J169" s="6">
        <v>5684</v>
      </c>
      <c r="K169" s="6">
        <v>3913.56</v>
      </c>
      <c r="L169" s="6">
        <v>1770.44</v>
      </c>
      <c r="M169" s="11">
        <f>Table13[[#This Row],[Profit]]/Table13[[#This Row],[Sales]]</f>
        <v>0.31147783251231526</v>
      </c>
      <c r="N169" s="6" t="str">
        <f>TEXT(Table13[[#This Row],[Order Date]],"mmm")</f>
        <v>Feb</v>
      </c>
      <c r="O169" s="6">
        <f>YEAR(Table13[[#This Row],[Order Date]])</f>
        <v>2024</v>
      </c>
    </row>
    <row r="170" spans="1:15" x14ac:dyDescent="0.3">
      <c r="A170" s="4" t="s">
        <v>473</v>
      </c>
      <c r="B170" s="5">
        <v>45886</v>
      </c>
      <c r="C170" s="4" t="s">
        <v>474</v>
      </c>
      <c r="D170" s="4" t="s">
        <v>475</v>
      </c>
      <c r="E170" s="4" t="s">
        <v>54</v>
      </c>
      <c r="F170" s="4" t="s">
        <v>142</v>
      </c>
      <c r="G170" s="4" t="s">
        <v>17</v>
      </c>
      <c r="H170" s="4" t="s">
        <v>31</v>
      </c>
      <c r="I170" s="6">
        <v>2</v>
      </c>
      <c r="J170" s="6">
        <v>8906</v>
      </c>
      <c r="K170" s="6">
        <v>5925.56</v>
      </c>
      <c r="L170" s="6">
        <v>2980.44</v>
      </c>
      <c r="M170" s="11">
        <f>Table13[[#This Row],[Profit]]/Table13[[#This Row],[Sales]]</f>
        <v>0.33465528856950372</v>
      </c>
      <c r="N170" s="6" t="str">
        <f>TEXT(Table13[[#This Row],[Order Date]],"mmm")</f>
        <v>Aug</v>
      </c>
      <c r="O170" s="6">
        <f>YEAR(Table13[[#This Row],[Order Date]])</f>
        <v>2025</v>
      </c>
    </row>
    <row r="171" spans="1:15" x14ac:dyDescent="0.3">
      <c r="A171" s="4" t="s">
        <v>476</v>
      </c>
      <c r="B171" s="5">
        <v>45805</v>
      </c>
      <c r="C171" s="4" t="s">
        <v>477</v>
      </c>
      <c r="D171" s="4" t="s">
        <v>478</v>
      </c>
      <c r="E171" s="4" t="s">
        <v>22</v>
      </c>
      <c r="F171" s="4" t="s">
        <v>79</v>
      </c>
      <c r="G171" s="4" t="s">
        <v>17</v>
      </c>
      <c r="H171" s="4" t="s">
        <v>31</v>
      </c>
      <c r="I171" s="6">
        <v>4</v>
      </c>
      <c r="J171" s="6">
        <v>11732</v>
      </c>
      <c r="K171" s="6">
        <v>8581.98</v>
      </c>
      <c r="L171" s="6">
        <v>3150.02</v>
      </c>
      <c r="M171" s="11">
        <f>Table13[[#This Row],[Profit]]/Table13[[#This Row],[Sales]]</f>
        <v>0.2684981247869076</v>
      </c>
      <c r="N171" s="6" t="str">
        <f>TEXT(Table13[[#This Row],[Order Date]],"mmm")</f>
        <v>May</v>
      </c>
      <c r="O171" s="6">
        <f>YEAR(Table13[[#This Row],[Order Date]])</f>
        <v>2025</v>
      </c>
    </row>
    <row r="172" spans="1:15" x14ac:dyDescent="0.3">
      <c r="A172" s="4" t="s">
        <v>479</v>
      </c>
      <c r="B172" s="5">
        <v>45332</v>
      </c>
      <c r="C172" s="4" t="s">
        <v>480</v>
      </c>
      <c r="D172" s="4" t="s">
        <v>481</v>
      </c>
      <c r="E172" s="4" t="s">
        <v>22</v>
      </c>
      <c r="F172" s="4" t="s">
        <v>23</v>
      </c>
      <c r="G172" s="4" t="s">
        <v>40</v>
      </c>
      <c r="H172" s="4" t="s">
        <v>41</v>
      </c>
      <c r="I172" s="6">
        <v>2</v>
      </c>
      <c r="J172" s="6">
        <v>8866</v>
      </c>
      <c r="K172" s="6">
        <v>6594.87</v>
      </c>
      <c r="L172" s="6">
        <v>2271.13</v>
      </c>
      <c r="M172" s="11">
        <f>Table13[[#This Row],[Profit]]/Table13[[#This Row],[Sales]]</f>
        <v>0.25616174148432214</v>
      </c>
      <c r="N172" s="6" t="str">
        <f>TEXT(Table13[[#This Row],[Order Date]],"mmm")</f>
        <v>Feb</v>
      </c>
      <c r="O172" s="6">
        <f>YEAR(Table13[[#This Row],[Order Date]])</f>
        <v>2024</v>
      </c>
    </row>
    <row r="173" spans="1:15" x14ac:dyDescent="0.3">
      <c r="A173" s="4" t="s">
        <v>482</v>
      </c>
      <c r="B173" s="5">
        <v>45581</v>
      </c>
      <c r="C173" s="4" t="s">
        <v>483</v>
      </c>
      <c r="D173" s="4" t="s">
        <v>484</v>
      </c>
      <c r="E173" s="4" t="s">
        <v>22</v>
      </c>
      <c r="F173" s="4" t="s">
        <v>79</v>
      </c>
      <c r="G173" s="4" t="s">
        <v>35</v>
      </c>
      <c r="H173" s="4" t="s">
        <v>45</v>
      </c>
      <c r="I173" s="6">
        <v>10</v>
      </c>
      <c r="J173" s="6">
        <v>16000</v>
      </c>
      <c r="K173" s="6">
        <v>10546.71</v>
      </c>
      <c r="L173" s="6">
        <v>5453.29</v>
      </c>
      <c r="M173" s="11">
        <f>Table13[[#This Row],[Profit]]/Table13[[#This Row],[Sales]]</f>
        <v>0.340830625</v>
      </c>
      <c r="N173" s="6" t="str">
        <f>TEXT(Table13[[#This Row],[Order Date]],"mmm")</f>
        <v>Oct</v>
      </c>
      <c r="O173" s="6">
        <f>YEAR(Table13[[#This Row],[Order Date]])</f>
        <v>2024</v>
      </c>
    </row>
    <row r="174" spans="1:15" x14ac:dyDescent="0.3">
      <c r="A174" s="4" t="s">
        <v>485</v>
      </c>
      <c r="B174" s="5">
        <v>45388</v>
      </c>
      <c r="C174" s="4" t="s">
        <v>433</v>
      </c>
      <c r="D174" s="4" t="s">
        <v>75</v>
      </c>
      <c r="E174" s="4" t="s">
        <v>54</v>
      </c>
      <c r="F174" s="4" t="s">
        <v>71</v>
      </c>
      <c r="G174" s="4" t="s">
        <v>17</v>
      </c>
      <c r="H174" s="4" t="s">
        <v>72</v>
      </c>
      <c r="I174" s="6">
        <v>1</v>
      </c>
      <c r="J174" s="6">
        <v>3041</v>
      </c>
      <c r="K174" s="6">
        <v>1732.68</v>
      </c>
      <c r="L174" s="6">
        <v>1308.32</v>
      </c>
      <c r="M174" s="11">
        <f>Table13[[#This Row],[Profit]]/Table13[[#This Row],[Sales]]</f>
        <v>0.4302268990463663</v>
      </c>
      <c r="N174" s="6" t="str">
        <f>TEXT(Table13[[#This Row],[Order Date]],"mmm")</f>
        <v>Apr</v>
      </c>
      <c r="O174" s="6">
        <f>YEAR(Table13[[#This Row],[Order Date]])</f>
        <v>2024</v>
      </c>
    </row>
    <row r="175" spans="1:15" x14ac:dyDescent="0.3">
      <c r="A175" s="4" t="s">
        <v>486</v>
      </c>
      <c r="B175" s="5">
        <v>45888</v>
      </c>
      <c r="C175" s="4" t="s">
        <v>487</v>
      </c>
      <c r="D175" s="4" t="s">
        <v>488</v>
      </c>
      <c r="E175" s="4" t="s">
        <v>54</v>
      </c>
      <c r="F175" s="4" t="s">
        <v>55</v>
      </c>
      <c r="G175" s="4" t="s">
        <v>17</v>
      </c>
      <c r="H175" s="4" t="s">
        <v>18</v>
      </c>
      <c r="I175" s="6">
        <v>10</v>
      </c>
      <c r="J175" s="6">
        <v>15310</v>
      </c>
      <c r="K175" s="6">
        <v>9951.6299999999992</v>
      </c>
      <c r="L175" s="6">
        <v>5358.37</v>
      </c>
      <c r="M175" s="11">
        <f>Table13[[#This Row],[Profit]]/Table13[[#This Row],[Sales]]</f>
        <v>0.34999150881776614</v>
      </c>
      <c r="N175" s="6" t="str">
        <f>TEXT(Table13[[#This Row],[Order Date]],"mmm")</f>
        <v>Aug</v>
      </c>
      <c r="O175" s="6">
        <f>YEAR(Table13[[#This Row],[Order Date]])</f>
        <v>2025</v>
      </c>
    </row>
    <row r="176" spans="1:15" x14ac:dyDescent="0.3">
      <c r="A176" s="4" t="s">
        <v>489</v>
      </c>
      <c r="B176" s="5">
        <v>45378</v>
      </c>
      <c r="C176" s="4" t="s">
        <v>490</v>
      </c>
      <c r="D176" s="4" t="s">
        <v>207</v>
      </c>
      <c r="E176" s="4" t="s">
        <v>54</v>
      </c>
      <c r="F176" s="4" t="s">
        <v>71</v>
      </c>
      <c r="G176" s="4" t="s">
        <v>17</v>
      </c>
      <c r="H176" s="4" t="s">
        <v>18</v>
      </c>
      <c r="I176" s="6">
        <v>7</v>
      </c>
      <c r="J176" s="6">
        <v>9492</v>
      </c>
      <c r="K176" s="6">
        <v>6915.04</v>
      </c>
      <c r="L176" s="6">
        <v>2576.96</v>
      </c>
      <c r="M176" s="11">
        <f>Table13[[#This Row],[Profit]]/Table13[[#This Row],[Sales]]</f>
        <v>0.27148756847871891</v>
      </c>
      <c r="N176" s="6" t="str">
        <f>TEXT(Table13[[#This Row],[Order Date]],"mmm")</f>
        <v>Mar</v>
      </c>
      <c r="O176" s="6">
        <f>YEAR(Table13[[#This Row],[Order Date]])</f>
        <v>2024</v>
      </c>
    </row>
    <row r="177" spans="1:15" x14ac:dyDescent="0.3">
      <c r="A177" s="4" t="s">
        <v>491</v>
      </c>
      <c r="B177" s="5">
        <v>45978</v>
      </c>
      <c r="C177" s="4" t="s">
        <v>95</v>
      </c>
      <c r="D177" s="4" t="s">
        <v>492</v>
      </c>
      <c r="E177" s="4" t="s">
        <v>22</v>
      </c>
      <c r="F177" s="4" t="s">
        <v>79</v>
      </c>
      <c r="G177" s="4" t="s">
        <v>40</v>
      </c>
      <c r="H177" s="4" t="s">
        <v>41</v>
      </c>
      <c r="I177" s="6">
        <v>3</v>
      </c>
      <c r="J177" s="6">
        <v>13836</v>
      </c>
      <c r="K177" s="6">
        <v>7997.7</v>
      </c>
      <c r="L177" s="6">
        <v>5838.3</v>
      </c>
      <c r="M177" s="11">
        <f>Table13[[#This Row],[Profit]]/Table13[[#This Row],[Sales]]</f>
        <v>0.42196444058976584</v>
      </c>
      <c r="N177" s="6" t="str">
        <f>TEXT(Table13[[#This Row],[Order Date]],"mmm")</f>
        <v>Nov</v>
      </c>
      <c r="O177" s="6">
        <f>YEAR(Table13[[#This Row],[Order Date]])</f>
        <v>2025</v>
      </c>
    </row>
    <row r="178" spans="1:15" x14ac:dyDescent="0.3">
      <c r="A178" s="4" t="s">
        <v>493</v>
      </c>
      <c r="B178" s="5">
        <v>45641</v>
      </c>
      <c r="C178" s="4" t="s">
        <v>212</v>
      </c>
      <c r="D178" s="4" t="s">
        <v>187</v>
      </c>
      <c r="E178" s="4" t="s">
        <v>54</v>
      </c>
      <c r="F178" s="4" t="s">
        <v>142</v>
      </c>
      <c r="G178" s="4" t="s">
        <v>40</v>
      </c>
      <c r="H178" s="4" t="s">
        <v>41</v>
      </c>
      <c r="I178" s="6">
        <v>5</v>
      </c>
      <c r="J178" s="6">
        <v>8880</v>
      </c>
      <c r="K178" s="6">
        <v>7417.92</v>
      </c>
      <c r="L178" s="6">
        <v>1462.08</v>
      </c>
      <c r="M178" s="11">
        <f>Table13[[#This Row],[Profit]]/Table13[[#This Row],[Sales]]</f>
        <v>0.16464864864864864</v>
      </c>
      <c r="N178" s="6" t="str">
        <f>TEXT(Table13[[#This Row],[Order Date]],"mmm")</f>
        <v>Dec</v>
      </c>
      <c r="O178" s="6">
        <f>YEAR(Table13[[#This Row],[Order Date]])</f>
        <v>2024</v>
      </c>
    </row>
    <row r="179" spans="1:15" x14ac:dyDescent="0.3">
      <c r="A179" s="4" t="s">
        <v>494</v>
      </c>
      <c r="B179" s="5">
        <v>45395</v>
      </c>
      <c r="C179" s="4" t="s">
        <v>495</v>
      </c>
      <c r="D179" s="4" t="s">
        <v>496</v>
      </c>
      <c r="E179" s="4" t="s">
        <v>29</v>
      </c>
      <c r="F179" s="4" t="s">
        <v>102</v>
      </c>
      <c r="G179" s="4" t="s">
        <v>24</v>
      </c>
      <c r="H179" s="4" t="s">
        <v>166</v>
      </c>
      <c r="I179" s="6">
        <v>2</v>
      </c>
      <c r="J179" s="6">
        <v>5446</v>
      </c>
      <c r="K179" s="6">
        <v>4374.93</v>
      </c>
      <c r="L179" s="6">
        <v>1071.07</v>
      </c>
      <c r="M179" s="11">
        <f>Table13[[#This Row],[Profit]]/Table13[[#This Row],[Sales]]</f>
        <v>0.19667095115681232</v>
      </c>
      <c r="N179" s="6" t="str">
        <f>TEXT(Table13[[#This Row],[Order Date]],"mmm")</f>
        <v>Apr</v>
      </c>
      <c r="O179" s="6">
        <f>YEAR(Table13[[#This Row],[Order Date]])</f>
        <v>2024</v>
      </c>
    </row>
    <row r="180" spans="1:15" x14ac:dyDescent="0.3">
      <c r="A180" s="4" t="s">
        <v>497</v>
      </c>
      <c r="B180" s="5">
        <v>45449</v>
      </c>
      <c r="C180" s="4" t="s">
        <v>498</v>
      </c>
      <c r="D180" s="4" t="s">
        <v>436</v>
      </c>
      <c r="E180" s="4" t="s">
        <v>15</v>
      </c>
      <c r="F180" s="4" t="s">
        <v>90</v>
      </c>
      <c r="G180" s="4" t="s">
        <v>40</v>
      </c>
      <c r="H180" s="4" t="s">
        <v>41</v>
      </c>
      <c r="I180" s="6">
        <v>10</v>
      </c>
      <c r="J180" s="6">
        <v>13730</v>
      </c>
      <c r="K180" s="6">
        <v>10011.56</v>
      </c>
      <c r="L180" s="6">
        <v>3718.44</v>
      </c>
      <c r="M180" s="11">
        <f>Table13[[#This Row],[Profit]]/Table13[[#This Row],[Sales]]</f>
        <v>0.27082592862345228</v>
      </c>
      <c r="N180" s="6" t="str">
        <f>TEXT(Table13[[#This Row],[Order Date]],"mmm")</f>
        <v>Jun</v>
      </c>
      <c r="O180" s="6">
        <f>YEAR(Table13[[#This Row],[Order Date]])</f>
        <v>2024</v>
      </c>
    </row>
    <row r="181" spans="1:15" x14ac:dyDescent="0.3">
      <c r="A181" s="4" t="s">
        <v>499</v>
      </c>
      <c r="B181" s="5">
        <v>45535</v>
      </c>
      <c r="C181" s="4" t="s">
        <v>500</v>
      </c>
      <c r="D181" s="4" t="s">
        <v>282</v>
      </c>
      <c r="E181" s="4" t="s">
        <v>29</v>
      </c>
      <c r="F181" s="4" t="s">
        <v>30</v>
      </c>
      <c r="G181" s="4" t="s">
        <v>35</v>
      </c>
      <c r="H181" s="4" t="s">
        <v>80</v>
      </c>
      <c r="I181" s="6">
        <v>1</v>
      </c>
      <c r="J181" s="6">
        <v>3665</v>
      </c>
      <c r="K181" s="6">
        <v>2416.3000000000002</v>
      </c>
      <c r="L181" s="6">
        <v>1248.7</v>
      </c>
      <c r="M181" s="11">
        <f>Table13[[#This Row],[Profit]]/Table13[[#This Row],[Sales]]</f>
        <v>0.3407094133697135</v>
      </c>
      <c r="N181" s="6" t="str">
        <f>TEXT(Table13[[#This Row],[Order Date]],"mmm")</f>
        <v>Aug</v>
      </c>
      <c r="O181" s="6">
        <f>YEAR(Table13[[#This Row],[Order Date]])</f>
        <v>2024</v>
      </c>
    </row>
    <row r="182" spans="1:15" x14ac:dyDescent="0.3">
      <c r="A182" s="4" t="s">
        <v>501</v>
      </c>
      <c r="B182" s="5">
        <v>45772</v>
      </c>
      <c r="C182" s="4" t="s">
        <v>276</v>
      </c>
      <c r="D182" s="4" t="s">
        <v>431</v>
      </c>
      <c r="E182" s="4" t="s">
        <v>22</v>
      </c>
      <c r="F182" s="4" t="s">
        <v>23</v>
      </c>
      <c r="G182" s="4" t="s">
        <v>35</v>
      </c>
      <c r="H182" s="4" t="s">
        <v>45</v>
      </c>
      <c r="I182" s="6">
        <v>4</v>
      </c>
      <c r="J182" s="6">
        <v>11340</v>
      </c>
      <c r="K182" s="6">
        <v>9521.9599999999991</v>
      </c>
      <c r="L182" s="6">
        <v>1818.04</v>
      </c>
      <c r="M182" s="11">
        <f>Table13[[#This Row],[Profit]]/Table13[[#This Row],[Sales]]</f>
        <v>0.16032098765432098</v>
      </c>
      <c r="N182" s="6" t="str">
        <f>TEXT(Table13[[#This Row],[Order Date]],"mmm")</f>
        <v>Apr</v>
      </c>
      <c r="O182" s="6">
        <f>YEAR(Table13[[#This Row],[Order Date]])</f>
        <v>2025</v>
      </c>
    </row>
    <row r="183" spans="1:15" x14ac:dyDescent="0.3">
      <c r="A183" s="4" t="s">
        <v>502</v>
      </c>
      <c r="B183" s="5">
        <v>45457</v>
      </c>
      <c r="C183" s="4" t="s">
        <v>503</v>
      </c>
      <c r="D183" s="4" t="s">
        <v>377</v>
      </c>
      <c r="E183" s="4" t="s">
        <v>22</v>
      </c>
      <c r="F183" s="4" t="s">
        <v>67</v>
      </c>
      <c r="G183" s="4" t="s">
        <v>40</v>
      </c>
      <c r="H183" s="4" t="s">
        <v>99</v>
      </c>
      <c r="I183" s="6">
        <v>7</v>
      </c>
      <c r="J183" s="6">
        <v>30933</v>
      </c>
      <c r="K183" s="6">
        <v>21907.919999999998</v>
      </c>
      <c r="L183" s="6">
        <v>9025.08</v>
      </c>
      <c r="M183" s="11">
        <f>Table13[[#This Row],[Profit]]/Table13[[#This Row],[Sales]]</f>
        <v>0.29176219571331585</v>
      </c>
      <c r="N183" s="6" t="str">
        <f>TEXT(Table13[[#This Row],[Order Date]],"mmm")</f>
        <v>Jun</v>
      </c>
      <c r="O183" s="6">
        <f>YEAR(Table13[[#This Row],[Order Date]])</f>
        <v>2024</v>
      </c>
    </row>
    <row r="184" spans="1:15" x14ac:dyDescent="0.3">
      <c r="A184" s="4" t="s">
        <v>504</v>
      </c>
      <c r="B184" s="5">
        <v>45397</v>
      </c>
      <c r="C184" s="4" t="s">
        <v>505</v>
      </c>
      <c r="D184" s="4" t="s">
        <v>39</v>
      </c>
      <c r="E184" s="4" t="s">
        <v>54</v>
      </c>
      <c r="F184" s="4" t="s">
        <v>142</v>
      </c>
      <c r="G184" s="4" t="s">
        <v>17</v>
      </c>
      <c r="H184" s="4" t="s">
        <v>31</v>
      </c>
      <c r="I184" s="6">
        <v>8</v>
      </c>
      <c r="J184" s="6">
        <v>26720</v>
      </c>
      <c r="K184" s="6">
        <v>19141.2</v>
      </c>
      <c r="L184" s="6">
        <v>7578.8</v>
      </c>
      <c r="M184" s="11">
        <f>Table13[[#This Row],[Profit]]/Table13[[#This Row],[Sales]]</f>
        <v>0.2836377245508982</v>
      </c>
      <c r="N184" s="6" t="str">
        <f>TEXT(Table13[[#This Row],[Order Date]],"mmm")</f>
        <v>Apr</v>
      </c>
      <c r="O184" s="6">
        <f>YEAR(Table13[[#This Row],[Order Date]])</f>
        <v>2024</v>
      </c>
    </row>
    <row r="185" spans="1:15" x14ac:dyDescent="0.3">
      <c r="A185" s="4" t="s">
        <v>506</v>
      </c>
      <c r="B185" s="5">
        <v>45442</v>
      </c>
      <c r="C185" s="4" t="s">
        <v>254</v>
      </c>
      <c r="D185" s="4" t="s">
        <v>439</v>
      </c>
      <c r="E185" s="4" t="s">
        <v>54</v>
      </c>
      <c r="F185" s="4" t="s">
        <v>142</v>
      </c>
      <c r="G185" s="4" t="s">
        <v>24</v>
      </c>
      <c r="H185" s="4" t="s">
        <v>166</v>
      </c>
      <c r="I185" s="6">
        <v>5</v>
      </c>
      <c r="J185" s="6">
        <v>19900</v>
      </c>
      <c r="K185" s="6">
        <v>16349.68</v>
      </c>
      <c r="L185" s="6">
        <v>3550.32</v>
      </c>
      <c r="M185" s="11">
        <f>Table13[[#This Row],[Profit]]/Table13[[#This Row],[Sales]]</f>
        <v>0.17840804020100504</v>
      </c>
      <c r="N185" s="6" t="str">
        <f>TEXT(Table13[[#This Row],[Order Date]],"mmm")</f>
        <v>May</v>
      </c>
      <c r="O185" s="6">
        <f>YEAR(Table13[[#This Row],[Order Date]])</f>
        <v>2024</v>
      </c>
    </row>
    <row r="186" spans="1:15" x14ac:dyDescent="0.3">
      <c r="A186" s="4" t="s">
        <v>507</v>
      </c>
      <c r="B186" s="5">
        <v>45806</v>
      </c>
      <c r="C186" s="4" t="s">
        <v>85</v>
      </c>
      <c r="D186" s="4" t="s">
        <v>508</v>
      </c>
      <c r="E186" s="4" t="s">
        <v>29</v>
      </c>
      <c r="F186" s="4" t="s">
        <v>49</v>
      </c>
      <c r="G186" s="4" t="s">
        <v>40</v>
      </c>
      <c r="H186" s="4" t="s">
        <v>41</v>
      </c>
      <c r="I186" s="6">
        <v>1</v>
      </c>
      <c r="J186" s="6">
        <v>3698</v>
      </c>
      <c r="K186" s="6">
        <v>2092.98</v>
      </c>
      <c r="L186" s="6">
        <v>1605.02</v>
      </c>
      <c r="M186" s="11">
        <f>Table13[[#This Row],[Profit]]/Table13[[#This Row],[Sales]]</f>
        <v>0.4340237966468361</v>
      </c>
      <c r="N186" s="6" t="str">
        <f>TEXT(Table13[[#This Row],[Order Date]],"mmm")</f>
        <v>May</v>
      </c>
      <c r="O186" s="6">
        <f>YEAR(Table13[[#This Row],[Order Date]])</f>
        <v>2025</v>
      </c>
    </row>
    <row r="187" spans="1:15" x14ac:dyDescent="0.3">
      <c r="A187" s="4" t="s">
        <v>509</v>
      </c>
      <c r="B187" s="5">
        <v>45393</v>
      </c>
      <c r="C187" s="4" t="s">
        <v>195</v>
      </c>
      <c r="D187" s="4" t="s">
        <v>510</v>
      </c>
      <c r="E187" s="4" t="s">
        <v>22</v>
      </c>
      <c r="F187" s="4" t="s">
        <v>23</v>
      </c>
      <c r="G187" s="4" t="s">
        <v>40</v>
      </c>
      <c r="H187" s="4" t="s">
        <v>41</v>
      </c>
      <c r="I187" s="6">
        <v>4</v>
      </c>
      <c r="J187" s="6">
        <v>2120</v>
      </c>
      <c r="K187" s="6">
        <v>1368.68</v>
      </c>
      <c r="L187" s="6">
        <v>751.32</v>
      </c>
      <c r="M187" s="11">
        <f>Table13[[#This Row],[Profit]]/Table13[[#This Row],[Sales]]</f>
        <v>0.35439622641509438</v>
      </c>
      <c r="N187" s="6" t="str">
        <f>TEXT(Table13[[#This Row],[Order Date]],"mmm")</f>
        <v>Apr</v>
      </c>
      <c r="O187" s="6">
        <f>YEAR(Table13[[#This Row],[Order Date]])</f>
        <v>2024</v>
      </c>
    </row>
    <row r="188" spans="1:15" x14ac:dyDescent="0.3">
      <c r="A188" s="4" t="s">
        <v>511</v>
      </c>
      <c r="B188" s="5">
        <v>45772</v>
      </c>
      <c r="C188" s="4" t="s">
        <v>266</v>
      </c>
      <c r="D188" s="4" t="s">
        <v>512</v>
      </c>
      <c r="E188" s="4" t="s">
        <v>29</v>
      </c>
      <c r="F188" s="4" t="s">
        <v>102</v>
      </c>
      <c r="G188" s="4" t="s">
        <v>40</v>
      </c>
      <c r="H188" s="4" t="s">
        <v>99</v>
      </c>
      <c r="I188" s="6">
        <v>8</v>
      </c>
      <c r="J188" s="6">
        <v>11488</v>
      </c>
      <c r="K188" s="6">
        <v>8933.67</v>
      </c>
      <c r="L188" s="6">
        <v>2554.33</v>
      </c>
      <c r="M188" s="11">
        <f>Table13[[#This Row],[Profit]]/Table13[[#This Row],[Sales]]</f>
        <v>0.22234766713091922</v>
      </c>
      <c r="N188" s="6" t="str">
        <f>TEXT(Table13[[#This Row],[Order Date]],"mmm")</f>
        <v>Apr</v>
      </c>
      <c r="O188" s="6">
        <f>YEAR(Table13[[#This Row],[Order Date]])</f>
        <v>2025</v>
      </c>
    </row>
    <row r="189" spans="1:15" x14ac:dyDescent="0.3">
      <c r="A189" s="4" t="s">
        <v>513</v>
      </c>
      <c r="B189" s="5">
        <v>45915</v>
      </c>
      <c r="C189" s="4" t="s">
        <v>514</v>
      </c>
      <c r="D189" s="4" t="s">
        <v>111</v>
      </c>
      <c r="E189" s="4" t="s">
        <v>15</v>
      </c>
      <c r="F189" s="4" t="s">
        <v>16</v>
      </c>
      <c r="G189" s="4" t="s">
        <v>40</v>
      </c>
      <c r="H189" s="4" t="s">
        <v>99</v>
      </c>
      <c r="I189" s="6">
        <v>4</v>
      </c>
      <c r="J189" s="6">
        <v>6096</v>
      </c>
      <c r="K189" s="6">
        <v>4356.45</v>
      </c>
      <c r="L189" s="6">
        <v>1739.55</v>
      </c>
      <c r="M189" s="11">
        <f>Table13[[#This Row],[Profit]]/Table13[[#This Row],[Sales]]</f>
        <v>0.28535925196850392</v>
      </c>
      <c r="N189" s="6" t="str">
        <f>TEXT(Table13[[#This Row],[Order Date]],"mmm")</f>
        <v>Sep</v>
      </c>
      <c r="O189" s="6">
        <f>YEAR(Table13[[#This Row],[Order Date]])</f>
        <v>2025</v>
      </c>
    </row>
    <row r="190" spans="1:15" x14ac:dyDescent="0.3">
      <c r="A190" s="4" t="s">
        <v>515</v>
      </c>
      <c r="B190" s="5">
        <v>45721</v>
      </c>
      <c r="C190" s="4" t="s">
        <v>516</v>
      </c>
      <c r="D190" s="4" t="s">
        <v>517</v>
      </c>
      <c r="E190" s="4" t="s">
        <v>15</v>
      </c>
      <c r="F190" s="4" t="s">
        <v>63</v>
      </c>
      <c r="G190" s="4" t="s">
        <v>40</v>
      </c>
      <c r="H190" s="4" t="s">
        <v>56</v>
      </c>
      <c r="I190" s="6">
        <v>5</v>
      </c>
      <c r="J190" s="6">
        <v>6490</v>
      </c>
      <c r="K190" s="6">
        <v>3662.47</v>
      </c>
      <c r="L190" s="6">
        <v>2827.53</v>
      </c>
      <c r="M190" s="11">
        <f>Table13[[#This Row],[Profit]]/Table13[[#This Row],[Sales]]</f>
        <v>0.43567488443759633</v>
      </c>
      <c r="N190" s="6" t="str">
        <f>TEXT(Table13[[#This Row],[Order Date]],"mmm")</f>
        <v>Mar</v>
      </c>
      <c r="O190" s="6">
        <f>YEAR(Table13[[#This Row],[Order Date]])</f>
        <v>2025</v>
      </c>
    </row>
    <row r="191" spans="1:15" x14ac:dyDescent="0.3">
      <c r="A191" s="4" t="s">
        <v>518</v>
      </c>
      <c r="B191" s="5">
        <v>45880</v>
      </c>
      <c r="C191" s="4" t="s">
        <v>519</v>
      </c>
      <c r="D191" s="4" t="s">
        <v>520</v>
      </c>
      <c r="E191" s="4" t="s">
        <v>15</v>
      </c>
      <c r="F191" s="4" t="s">
        <v>63</v>
      </c>
      <c r="G191" s="4" t="s">
        <v>17</v>
      </c>
      <c r="H191" s="4" t="s">
        <v>72</v>
      </c>
      <c r="I191" s="6">
        <v>9</v>
      </c>
      <c r="J191" s="6">
        <v>3906</v>
      </c>
      <c r="K191" s="6">
        <v>2888.82</v>
      </c>
      <c r="L191" s="6">
        <v>1017.18</v>
      </c>
      <c r="M191" s="11">
        <f>Table13[[#This Row],[Profit]]/Table13[[#This Row],[Sales]]</f>
        <v>0.26041474654377877</v>
      </c>
      <c r="N191" s="6" t="str">
        <f>TEXT(Table13[[#This Row],[Order Date]],"mmm")</f>
        <v>Aug</v>
      </c>
      <c r="O191" s="6">
        <f>YEAR(Table13[[#This Row],[Order Date]])</f>
        <v>2025</v>
      </c>
    </row>
    <row r="192" spans="1:15" x14ac:dyDescent="0.3">
      <c r="A192" s="4" t="s">
        <v>521</v>
      </c>
      <c r="B192" s="5">
        <v>45718</v>
      </c>
      <c r="C192" s="4" t="s">
        <v>522</v>
      </c>
      <c r="D192" s="4" t="s">
        <v>288</v>
      </c>
      <c r="E192" s="4" t="s">
        <v>54</v>
      </c>
      <c r="F192" s="4" t="s">
        <v>55</v>
      </c>
      <c r="G192" s="4" t="s">
        <v>24</v>
      </c>
      <c r="H192" s="4" t="s">
        <v>25</v>
      </c>
      <c r="I192" s="6">
        <v>10</v>
      </c>
      <c r="J192" s="6">
        <v>31900</v>
      </c>
      <c r="K192" s="6">
        <v>19847.2</v>
      </c>
      <c r="L192" s="6">
        <v>12052.8</v>
      </c>
      <c r="M192" s="11">
        <f>Table13[[#This Row],[Profit]]/Table13[[#This Row],[Sales]]</f>
        <v>0.37783072100313475</v>
      </c>
      <c r="N192" s="6" t="str">
        <f>TEXT(Table13[[#This Row],[Order Date]],"mmm")</f>
        <v>Mar</v>
      </c>
      <c r="O192" s="6">
        <f>YEAR(Table13[[#This Row],[Order Date]])</f>
        <v>2025</v>
      </c>
    </row>
    <row r="193" spans="1:15" x14ac:dyDescent="0.3">
      <c r="A193" s="4" t="s">
        <v>523</v>
      </c>
      <c r="B193" s="5">
        <v>45811</v>
      </c>
      <c r="C193" s="4" t="s">
        <v>474</v>
      </c>
      <c r="D193" s="4" t="s">
        <v>524</v>
      </c>
      <c r="E193" s="4" t="s">
        <v>54</v>
      </c>
      <c r="F193" s="4" t="s">
        <v>142</v>
      </c>
      <c r="G193" s="4" t="s">
        <v>35</v>
      </c>
      <c r="H193" s="4" t="s">
        <v>45</v>
      </c>
      <c r="I193" s="6">
        <v>9</v>
      </c>
      <c r="J193" s="6">
        <v>40104</v>
      </c>
      <c r="K193" s="6">
        <v>31518.68</v>
      </c>
      <c r="L193" s="6">
        <v>8585.32</v>
      </c>
      <c r="M193" s="11">
        <f>Table13[[#This Row],[Profit]]/Table13[[#This Row],[Sales]]</f>
        <v>0.21407640135647316</v>
      </c>
      <c r="N193" s="6" t="str">
        <f>TEXT(Table13[[#This Row],[Order Date]],"mmm")</f>
        <v>Jun</v>
      </c>
      <c r="O193" s="6">
        <f>YEAR(Table13[[#This Row],[Order Date]])</f>
        <v>2025</v>
      </c>
    </row>
    <row r="194" spans="1:15" x14ac:dyDescent="0.3">
      <c r="A194" s="4" t="s">
        <v>525</v>
      </c>
      <c r="B194" s="5">
        <v>45308</v>
      </c>
      <c r="C194" s="4" t="s">
        <v>526</v>
      </c>
      <c r="D194" s="4" t="s">
        <v>527</v>
      </c>
      <c r="E194" s="4" t="s">
        <v>22</v>
      </c>
      <c r="F194" s="4" t="s">
        <v>67</v>
      </c>
      <c r="G194" s="4" t="s">
        <v>24</v>
      </c>
      <c r="H194" s="4" t="s">
        <v>25</v>
      </c>
      <c r="I194" s="6">
        <v>7</v>
      </c>
      <c r="J194" s="6">
        <v>23506</v>
      </c>
      <c r="K194" s="6">
        <v>14716.99</v>
      </c>
      <c r="L194" s="6">
        <v>8789.01</v>
      </c>
      <c r="M194" s="11">
        <f>Table13[[#This Row],[Profit]]/Table13[[#This Row],[Sales]]</f>
        <v>0.37390496043563348</v>
      </c>
      <c r="N194" s="6" t="str">
        <f>TEXT(Table13[[#This Row],[Order Date]],"mmm")</f>
        <v>Jan</v>
      </c>
      <c r="O194" s="6">
        <f>YEAR(Table13[[#This Row],[Order Date]])</f>
        <v>2024</v>
      </c>
    </row>
    <row r="195" spans="1:15" x14ac:dyDescent="0.3">
      <c r="A195" s="4" t="s">
        <v>528</v>
      </c>
      <c r="B195" s="5">
        <v>45652</v>
      </c>
      <c r="C195" s="4" t="s">
        <v>13</v>
      </c>
      <c r="D195" s="4" t="s">
        <v>420</v>
      </c>
      <c r="E195" s="4" t="s">
        <v>54</v>
      </c>
      <c r="F195" s="4" t="s">
        <v>142</v>
      </c>
      <c r="G195" s="4" t="s">
        <v>17</v>
      </c>
      <c r="H195" s="4" t="s">
        <v>18</v>
      </c>
      <c r="I195" s="6">
        <v>2</v>
      </c>
      <c r="J195" s="6">
        <v>6046</v>
      </c>
      <c r="K195" s="6">
        <v>3567.28</v>
      </c>
      <c r="L195" s="6">
        <v>2478.7199999999998</v>
      </c>
      <c r="M195" s="11">
        <f>Table13[[#This Row],[Profit]]/Table13[[#This Row],[Sales]]</f>
        <v>0.40997684419450875</v>
      </c>
      <c r="N195" s="6" t="str">
        <f>TEXT(Table13[[#This Row],[Order Date]],"mmm")</f>
        <v>Dec</v>
      </c>
      <c r="O195" s="6">
        <f>YEAR(Table13[[#This Row],[Order Date]])</f>
        <v>2024</v>
      </c>
    </row>
    <row r="196" spans="1:15" x14ac:dyDescent="0.3">
      <c r="A196" s="4" t="s">
        <v>529</v>
      </c>
      <c r="B196" s="5">
        <v>45356</v>
      </c>
      <c r="C196" s="4" t="s">
        <v>516</v>
      </c>
      <c r="D196" s="4" t="s">
        <v>319</v>
      </c>
      <c r="E196" s="4" t="s">
        <v>29</v>
      </c>
      <c r="F196" s="4" t="s">
        <v>30</v>
      </c>
      <c r="G196" s="4" t="s">
        <v>35</v>
      </c>
      <c r="H196" s="4" t="s">
        <v>80</v>
      </c>
      <c r="I196" s="6">
        <v>8</v>
      </c>
      <c r="J196" s="6">
        <v>14344</v>
      </c>
      <c r="K196" s="6">
        <v>11381.24</v>
      </c>
      <c r="L196" s="6">
        <v>2962.76</v>
      </c>
      <c r="M196" s="11">
        <f>Table13[[#This Row],[Profit]]/Table13[[#This Row],[Sales]]</f>
        <v>0.20655047406581151</v>
      </c>
      <c r="N196" s="6" t="str">
        <f>TEXT(Table13[[#This Row],[Order Date]],"mmm")</f>
        <v>Mar</v>
      </c>
      <c r="O196" s="6">
        <f>YEAR(Table13[[#This Row],[Order Date]])</f>
        <v>2024</v>
      </c>
    </row>
    <row r="197" spans="1:15" x14ac:dyDescent="0.3">
      <c r="A197" s="4" t="s">
        <v>530</v>
      </c>
      <c r="B197" s="5">
        <v>45609</v>
      </c>
      <c r="C197" s="4" t="s">
        <v>321</v>
      </c>
      <c r="D197" s="4" t="s">
        <v>531</v>
      </c>
      <c r="E197" s="4" t="s">
        <v>54</v>
      </c>
      <c r="F197" s="4" t="s">
        <v>142</v>
      </c>
      <c r="G197" s="4" t="s">
        <v>24</v>
      </c>
      <c r="H197" s="4" t="s">
        <v>25</v>
      </c>
      <c r="I197" s="6">
        <v>4</v>
      </c>
      <c r="J197" s="6">
        <v>2572</v>
      </c>
      <c r="K197" s="6">
        <v>1658.11</v>
      </c>
      <c r="L197" s="6">
        <v>913.89</v>
      </c>
      <c r="M197" s="11">
        <f>Table13[[#This Row],[Profit]]/Table13[[#This Row],[Sales]]</f>
        <v>0.35532270606531879</v>
      </c>
      <c r="N197" s="6" t="str">
        <f>TEXT(Table13[[#This Row],[Order Date]],"mmm")</f>
        <v>Nov</v>
      </c>
      <c r="O197" s="6">
        <f>YEAR(Table13[[#This Row],[Order Date]])</f>
        <v>2024</v>
      </c>
    </row>
    <row r="198" spans="1:15" x14ac:dyDescent="0.3">
      <c r="A198" s="4" t="s">
        <v>532</v>
      </c>
      <c r="B198" s="5">
        <v>45340</v>
      </c>
      <c r="C198" s="4" t="s">
        <v>104</v>
      </c>
      <c r="D198" s="4" t="s">
        <v>533</v>
      </c>
      <c r="E198" s="4" t="s">
        <v>22</v>
      </c>
      <c r="F198" s="4" t="s">
        <v>67</v>
      </c>
      <c r="G198" s="4" t="s">
        <v>24</v>
      </c>
      <c r="H198" s="4" t="s">
        <v>25</v>
      </c>
      <c r="I198" s="6">
        <v>4</v>
      </c>
      <c r="J198" s="6">
        <v>10572</v>
      </c>
      <c r="K198" s="6">
        <v>6946.78</v>
      </c>
      <c r="L198" s="6">
        <v>3625.22</v>
      </c>
      <c r="M198" s="11">
        <f>Table13[[#This Row],[Profit]]/Table13[[#This Row],[Sales]]</f>
        <v>0.34290768066590993</v>
      </c>
      <c r="N198" s="6" t="str">
        <f>TEXT(Table13[[#This Row],[Order Date]],"mmm")</f>
        <v>Feb</v>
      </c>
      <c r="O198" s="6">
        <f>YEAR(Table13[[#This Row],[Order Date]])</f>
        <v>2024</v>
      </c>
    </row>
    <row r="199" spans="1:15" x14ac:dyDescent="0.3">
      <c r="A199" s="4" t="s">
        <v>534</v>
      </c>
      <c r="B199" s="5">
        <v>45687</v>
      </c>
      <c r="C199" s="4" t="s">
        <v>535</v>
      </c>
      <c r="D199" s="4" t="s">
        <v>536</v>
      </c>
      <c r="E199" s="4" t="s">
        <v>15</v>
      </c>
      <c r="F199" s="4" t="s">
        <v>63</v>
      </c>
      <c r="G199" s="4" t="s">
        <v>35</v>
      </c>
      <c r="H199" s="4" t="s">
        <v>36</v>
      </c>
      <c r="I199" s="6">
        <v>7</v>
      </c>
      <c r="J199" s="6">
        <v>27314</v>
      </c>
      <c r="K199" s="6">
        <v>22353.54</v>
      </c>
      <c r="L199" s="6">
        <v>4960.46</v>
      </c>
      <c r="M199" s="11">
        <f>Table13[[#This Row],[Profit]]/Table13[[#This Row],[Sales]]</f>
        <v>0.18160869883576189</v>
      </c>
      <c r="N199" s="6" t="str">
        <f>TEXT(Table13[[#This Row],[Order Date]],"mmm")</f>
        <v>Jan</v>
      </c>
      <c r="O199" s="6">
        <f>YEAR(Table13[[#This Row],[Order Date]])</f>
        <v>2025</v>
      </c>
    </row>
    <row r="200" spans="1:15" x14ac:dyDescent="0.3">
      <c r="A200" s="4" t="s">
        <v>537</v>
      </c>
      <c r="B200" s="5">
        <v>45376</v>
      </c>
      <c r="C200" s="4" t="s">
        <v>538</v>
      </c>
      <c r="D200" s="4" t="s">
        <v>539</v>
      </c>
      <c r="E200" s="4" t="s">
        <v>22</v>
      </c>
      <c r="F200" s="4" t="s">
        <v>79</v>
      </c>
      <c r="G200" s="4" t="s">
        <v>35</v>
      </c>
      <c r="H200" s="4" t="s">
        <v>80</v>
      </c>
      <c r="I200" s="6">
        <v>6</v>
      </c>
      <c r="J200" s="6">
        <v>27318</v>
      </c>
      <c r="K200" s="6">
        <v>17210.78</v>
      </c>
      <c r="L200" s="6">
        <v>10107.219999999999</v>
      </c>
      <c r="M200" s="11">
        <f>Table13[[#This Row],[Profit]]/Table13[[#This Row],[Sales]]</f>
        <v>0.36998389340361665</v>
      </c>
      <c r="N200" s="6" t="str">
        <f>TEXT(Table13[[#This Row],[Order Date]],"mmm")</f>
        <v>Mar</v>
      </c>
      <c r="O200" s="6">
        <f>YEAR(Table13[[#This Row],[Order Date]])</f>
        <v>2024</v>
      </c>
    </row>
    <row r="201" spans="1:15" x14ac:dyDescent="0.3">
      <c r="A201" s="4" t="s">
        <v>540</v>
      </c>
      <c r="B201" s="5">
        <v>45373</v>
      </c>
      <c r="C201" s="4" t="s">
        <v>541</v>
      </c>
      <c r="D201" s="4" t="s">
        <v>277</v>
      </c>
      <c r="E201" s="4" t="s">
        <v>22</v>
      </c>
      <c r="F201" s="4" t="s">
        <v>79</v>
      </c>
      <c r="G201" s="4" t="s">
        <v>24</v>
      </c>
      <c r="H201" s="4" t="s">
        <v>166</v>
      </c>
      <c r="I201" s="6">
        <v>9</v>
      </c>
      <c r="J201" s="6">
        <v>24354</v>
      </c>
      <c r="K201" s="6">
        <v>15741.53</v>
      </c>
      <c r="L201" s="6">
        <v>8612.4699999999993</v>
      </c>
      <c r="M201" s="11">
        <f>Table13[[#This Row],[Profit]]/Table13[[#This Row],[Sales]]</f>
        <v>0.35363677424653034</v>
      </c>
      <c r="N201" s="6" t="str">
        <f>TEXT(Table13[[#This Row],[Order Date]],"mmm")</f>
        <v>Mar</v>
      </c>
      <c r="O201" s="6">
        <f>YEAR(Table13[[#This Row],[Order Date]])</f>
        <v>2024</v>
      </c>
    </row>
    <row r="202" spans="1:15" x14ac:dyDescent="0.3">
      <c r="A202" s="4" t="s">
        <v>542</v>
      </c>
      <c r="B202" s="5">
        <v>45651</v>
      </c>
      <c r="C202" s="4" t="s">
        <v>209</v>
      </c>
      <c r="D202" s="4" t="s">
        <v>475</v>
      </c>
      <c r="E202" s="4" t="s">
        <v>54</v>
      </c>
      <c r="F202" s="4" t="s">
        <v>55</v>
      </c>
      <c r="G202" s="4" t="s">
        <v>17</v>
      </c>
      <c r="H202" s="4" t="s">
        <v>72</v>
      </c>
      <c r="I202" s="6">
        <v>7</v>
      </c>
      <c r="J202" s="6">
        <v>11655</v>
      </c>
      <c r="K202" s="6">
        <v>8822.01</v>
      </c>
      <c r="L202" s="6">
        <v>2832.99</v>
      </c>
      <c r="M202" s="11">
        <f>Table13[[#This Row],[Profit]]/Table13[[#This Row],[Sales]]</f>
        <v>0.24307078507078506</v>
      </c>
      <c r="N202" s="6" t="str">
        <f>TEXT(Table13[[#This Row],[Order Date]],"mmm")</f>
        <v>Dec</v>
      </c>
      <c r="O202" s="6">
        <f>YEAR(Table13[[#This Row],[Order Date]])</f>
        <v>2024</v>
      </c>
    </row>
    <row r="203" spans="1:15" x14ac:dyDescent="0.3">
      <c r="A203" s="4" t="s">
        <v>543</v>
      </c>
      <c r="B203" s="5">
        <v>45944</v>
      </c>
      <c r="C203" s="4" t="s">
        <v>544</v>
      </c>
      <c r="D203" s="4" t="s">
        <v>160</v>
      </c>
      <c r="E203" s="4" t="s">
        <v>54</v>
      </c>
      <c r="F203" s="4" t="s">
        <v>71</v>
      </c>
      <c r="G203" s="4" t="s">
        <v>35</v>
      </c>
      <c r="H203" s="4" t="s">
        <v>36</v>
      </c>
      <c r="I203" s="6">
        <v>5</v>
      </c>
      <c r="J203" s="6">
        <v>3845</v>
      </c>
      <c r="K203" s="6">
        <v>2201.31</v>
      </c>
      <c r="L203" s="6">
        <v>1643.69</v>
      </c>
      <c r="M203" s="11">
        <f>Table13[[#This Row],[Profit]]/Table13[[#This Row],[Sales]]</f>
        <v>0.42748764629388819</v>
      </c>
      <c r="N203" s="6" t="str">
        <f>TEXT(Table13[[#This Row],[Order Date]],"mmm")</f>
        <v>Oct</v>
      </c>
      <c r="O203" s="6">
        <f>YEAR(Table13[[#This Row],[Order Date]])</f>
        <v>2025</v>
      </c>
    </row>
    <row r="204" spans="1:15" x14ac:dyDescent="0.3">
      <c r="A204" s="4" t="s">
        <v>545</v>
      </c>
      <c r="B204" s="5">
        <v>45360</v>
      </c>
      <c r="C204" s="4" t="s">
        <v>353</v>
      </c>
      <c r="D204" s="4" t="s">
        <v>381</v>
      </c>
      <c r="E204" s="4" t="s">
        <v>29</v>
      </c>
      <c r="F204" s="4" t="s">
        <v>102</v>
      </c>
      <c r="G204" s="4" t="s">
        <v>24</v>
      </c>
      <c r="H204" s="4" t="s">
        <v>166</v>
      </c>
      <c r="I204" s="6">
        <v>10</v>
      </c>
      <c r="J204" s="6">
        <v>38890</v>
      </c>
      <c r="K204" s="6">
        <v>21795.5</v>
      </c>
      <c r="L204" s="6">
        <v>17094.5</v>
      </c>
      <c r="M204" s="11">
        <f>Table13[[#This Row],[Profit]]/Table13[[#This Row],[Sales]]</f>
        <v>0.43956029827719206</v>
      </c>
      <c r="N204" s="6" t="str">
        <f>TEXT(Table13[[#This Row],[Order Date]],"mmm")</f>
        <v>Mar</v>
      </c>
      <c r="O204" s="6">
        <f>YEAR(Table13[[#This Row],[Order Date]])</f>
        <v>2024</v>
      </c>
    </row>
    <row r="205" spans="1:15" x14ac:dyDescent="0.3">
      <c r="A205" s="4" t="s">
        <v>546</v>
      </c>
      <c r="B205" s="5">
        <v>45671</v>
      </c>
      <c r="C205" s="4" t="s">
        <v>547</v>
      </c>
      <c r="D205" s="4" t="s">
        <v>356</v>
      </c>
      <c r="E205" s="4" t="s">
        <v>54</v>
      </c>
      <c r="F205" s="4" t="s">
        <v>55</v>
      </c>
      <c r="G205" s="4" t="s">
        <v>17</v>
      </c>
      <c r="H205" s="4" t="s">
        <v>72</v>
      </c>
      <c r="I205" s="6">
        <v>1</v>
      </c>
      <c r="J205" s="6">
        <v>1556</v>
      </c>
      <c r="K205" s="6">
        <v>1172.79</v>
      </c>
      <c r="L205" s="6">
        <v>383.21</v>
      </c>
      <c r="M205" s="11">
        <f>Table13[[#This Row],[Profit]]/Table13[[#This Row],[Sales]]</f>
        <v>0.24627892030848328</v>
      </c>
      <c r="N205" s="6" t="str">
        <f>TEXT(Table13[[#This Row],[Order Date]],"mmm")</f>
        <v>Jan</v>
      </c>
      <c r="O205" s="6">
        <f>YEAR(Table13[[#This Row],[Order Date]])</f>
        <v>2025</v>
      </c>
    </row>
    <row r="206" spans="1:15" x14ac:dyDescent="0.3">
      <c r="A206" s="4" t="s">
        <v>548</v>
      </c>
      <c r="B206" s="5">
        <v>45957</v>
      </c>
      <c r="C206" s="4" t="s">
        <v>27</v>
      </c>
      <c r="D206" s="4" t="s">
        <v>114</v>
      </c>
      <c r="E206" s="4" t="s">
        <v>15</v>
      </c>
      <c r="F206" s="4" t="s">
        <v>90</v>
      </c>
      <c r="G206" s="4" t="s">
        <v>24</v>
      </c>
      <c r="H206" s="4" t="s">
        <v>166</v>
      </c>
      <c r="I206" s="6">
        <v>9</v>
      </c>
      <c r="J206" s="6">
        <v>29754</v>
      </c>
      <c r="K206" s="6">
        <v>19917.63</v>
      </c>
      <c r="L206" s="6">
        <v>9836.3700000000008</v>
      </c>
      <c r="M206" s="11">
        <f>Table13[[#This Row],[Profit]]/Table13[[#This Row],[Sales]]</f>
        <v>0.33058983666061709</v>
      </c>
      <c r="N206" s="6" t="str">
        <f>TEXT(Table13[[#This Row],[Order Date]],"mmm")</f>
        <v>Oct</v>
      </c>
      <c r="O206" s="6">
        <f>YEAR(Table13[[#This Row],[Order Date]])</f>
        <v>2025</v>
      </c>
    </row>
    <row r="207" spans="1:15" x14ac:dyDescent="0.3">
      <c r="A207" s="4" t="s">
        <v>549</v>
      </c>
      <c r="B207" s="5">
        <v>45867</v>
      </c>
      <c r="C207" s="4" t="s">
        <v>550</v>
      </c>
      <c r="D207" s="4" t="s">
        <v>83</v>
      </c>
      <c r="E207" s="4" t="s">
        <v>15</v>
      </c>
      <c r="F207" s="4" t="s">
        <v>16</v>
      </c>
      <c r="G207" s="4" t="s">
        <v>17</v>
      </c>
      <c r="H207" s="4" t="s">
        <v>18</v>
      </c>
      <c r="I207" s="6">
        <v>3</v>
      </c>
      <c r="J207" s="6">
        <v>13164</v>
      </c>
      <c r="K207" s="6">
        <v>9284.8799999999992</v>
      </c>
      <c r="L207" s="6">
        <v>3879.12</v>
      </c>
      <c r="M207" s="11">
        <f>Table13[[#This Row],[Profit]]/Table13[[#This Row],[Sales]]</f>
        <v>0.2946763901549681</v>
      </c>
      <c r="N207" s="6" t="str">
        <f>TEXT(Table13[[#This Row],[Order Date]],"mmm")</f>
        <v>Jul</v>
      </c>
      <c r="O207" s="6">
        <f>YEAR(Table13[[#This Row],[Order Date]])</f>
        <v>2025</v>
      </c>
    </row>
    <row r="208" spans="1:15" x14ac:dyDescent="0.3">
      <c r="A208" s="4" t="s">
        <v>551</v>
      </c>
      <c r="B208" s="5">
        <v>45794</v>
      </c>
      <c r="C208" s="4" t="s">
        <v>503</v>
      </c>
      <c r="D208" s="4" t="s">
        <v>327</v>
      </c>
      <c r="E208" s="4" t="s">
        <v>54</v>
      </c>
      <c r="F208" s="4" t="s">
        <v>71</v>
      </c>
      <c r="G208" s="4" t="s">
        <v>35</v>
      </c>
      <c r="H208" s="4" t="s">
        <v>80</v>
      </c>
      <c r="I208" s="6">
        <v>4</v>
      </c>
      <c r="J208" s="6">
        <v>10556</v>
      </c>
      <c r="K208" s="6">
        <v>8003.5</v>
      </c>
      <c r="L208" s="6">
        <v>2552.5</v>
      </c>
      <c r="M208" s="11">
        <f>Table13[[#This Row],[Profit]]/Table13[[#This Row],[Sales]]</f>
        <v>0.24180560818491853</v>
      </c>
      <c r="N208" s="6" t="str">
        <f>TEXT(Table13[[#This Row],[Order Date]],"mmm")</f>
        <v>May</v>
      </c>
      <c r="O208" s="6">
        <f>YEAR(Table13[[#This Row],[Order Date]])</f>
        <v>2025</v>
      </c>
    </row>
    <row r="209" spans="1:15" x14ac:dyDescent="0.3">
      <c r="A209" s="4" t="s">
        <v>552</v>
      </c>
      <c r="B209" s="5">
        <v>45990</v>
      </c>
      <c r="C209" s="4" t="s">
        <v>553</v>
      </c>
      <c r="D209" s="4" t="s">
        <v>554</v>
      </c>
      <c r="E209" s="4" t="s">
        <v>29</v>
      </c>
      <c r="F209" s="4" t="s">
        <v>102</v>
      </c>
      <c r="G209" s="4" t="s">
        <v>35</v>
      </c>
      <c r="H209" s="4" t="s">
        <v>80</v>
      </c>
      <c r="I209" s="6">
        <v>3</v>
      </c>
      <c r="J209" s="6">
        <v>11838</v>
      </c>
      <c r="K209" s="6">
        <v>10052.58</v>
      </c>
      <c r="L209" s="6">
        <v>1785.42</v>
      </c>
      <c r="M209" s="11">
        <f>Table13[[#This Row],[Profit]]/Table13[[#This Row],[Sales]]</f>
        <v>0.15082108464267613</v>
      </c>
      <c r="N209" s="6" t="str">
        <f>TEXT(Table13[[#This Row],[Order Date]],"mmm")</f>
        <v>Nov</v>
      </c>
      <c r="O209" s="6">
        <f>YEAR(Table13[[#This Row],[Order Date]])</f>
        <v>2025</v>
      </c>
    </row>
    <row r="210" spans="1:15" x14ac:dyDescent="0.3">
      <c r="A210" s="4" t="s">
        <v>555</v>
      </c>
      <c r="B210" s="5">
        <v>46020</v>
      </c>
      <c r="C210" s="4" t="s">
        <v>556</v>
      </c>
      <c r="D210" s="4" t="s">
        <v>459</v>
      </c>
      <c r="E210" s="4" t="s">
        <v>15</v>
      </c>
      <c r="F210" s="4" t="s">
        <v>90</v>
      </c>
      <c r="G210" s="4" t="s">
        <v>35</v>
      </c>
      <c r="H210" s="4" t="s">
        <v>45</v>
      </c>
      <c r="I210" s="6">
        <v>5</v>
      </c>
      <c r="J210" s="6">
        <v>13785</v>
      </c>
      <c r="K210" s="6">
        <v>11102.56</v>
      </c>
      <c r="L210" s="6">
        <v>2682.44</v>
      </c>
      <c r="M210" s="11">
        <f>Table13[[#This Row],[Profit]]/Table13[[#This Row],[Sales]]</f>
        <v>0.19459122234312659</v>
      </c>
      <c r="N210" s="6" t="str">
        <f>TEXT(Table13[[#This Row],[Order Date]],"mmm")</f>
        <v>Dec</v>
      </c>
      <c r="O210" s="6">
        <f>YEAR(Table13[[#This Row],[Order Date]])</f>
        <v>2025</v>
      </c>
    </row>
    <row r="211" spans="1:15" x14ac:dyDescent="0.3">
      <c r="A211" s="4" t="s">
        <v>557</v>
      </c>
      <c r="B211" s="5">
        <v>45318</v>
      </c>
      <c r="C211" s="4" t="s">
        <v>558</v>
      </c>
      <c r="D211" s="4" t="s">
        <v>399</v>
      </c>
      <c r="E211" s="4" t="s">
        <v>29</v>
      </c>
      <c r="F211" s="4" t="s">
        <v>102</v>
      </c>
      <c r="G211" s="4" t="s">
        <v>40</v>
      </c>
      <c r="H211" s="4" t="s">
        <v>56</v>
      </c>
      <c r="I211" s="6">
        <v>3</v>
      </c>
      <c r="J211" s="6">
        <v>6717</v>
      </c>
      <c r="K211" s="6">
        <v>5287.03</v>
      </c>
      <c r="L211" s="6">
        <v>1429.97</v>
      </c>
      <c r="M211" s="11">
        <f>Table13[[#This Row],[Profit]]/Table13[[#This Row],[Sales]]</f>
        <v>0.21288819413428614</v>
      </c>
      <c r="N211" s="6" t="str">
        <f>TEXT(Table13[[#This Row],[Order Date]],"mmm")</f>
        <v>Jan</v>
      </c>
      <c r="O211" s="6">
        <f>YEAR(Table13[[#This Row],[Order Date]])</f>
        <v>2024</v>
      </c>
    </row>
    <row r="212" spans="1:15" x14ac:dyDescent="0.3">
      <c r="A212" s="4" t="s">
        <v>559</v>
      </c>
      <c r="B212" s="5">
        <v>45699</v>
      </c>
      <c r="C212" s="4" t="s">
        <v>560</v>
      </c>
      <c r="D212" s="4" t="s">
        <v>561</v>
      </c>
      <c r="E212" s="4" t="s">
        <v>54</v>
      </c>
      <c r="F212" s="4" t="s">
        <v>55</v>
      </c>
      <c r="G212" s="4" t="s">
        <v>35</v>
      </c>
      <c r="H212" s="4" t="s">
        <v>45</v>
      </c>
      <c r="I212" s="6">
        <v>3</v>
      </c>
      <c r="J212" s="6">
        <v>3018</v>
      </c>
      <c r="K212" s="6">
        <v>1719.43</v>
      </c>
      <c r="L212" s="6">
        <v>1298.57</v>
      </c>
      <c r="M212" s="11">
        <f>Table13[[#This Row],[Profit]]/Table13[[#This Row],[Sales]]</f>
        <v>0.43027501656726308</v>
      </c>
      <c r="N212" s="6" t="str">
        <f>TEXT(Table13[[#This Row],[Order Date]],"mmm")</f>
        <v>Feb</v>
      </c>
      <c r="O212" s="6">
        <f>YEAR(Table13[[#This Row],[Order Date]])</f>
        <v>2025</v>
      </c>
    </row>
    <row r="213" spans="1:15" x14ac:dyDescent="0.3">
      <c r="A213" s="4" t="s">
        <v>562</v>
      </c>
      <c r="B213" s="5">
        <v>45949</v>
      </c>
      <c r="C213" s="4" t="s">
        <v>412</v>
      </c>
      <c r="D213" s="4" t="s">
        <v>563</v>
      </c>
      <c r="E213" s="4" t="s">
        <v>22</v>
      </c>
      <c r="F213" s="4" t="s">
        <v>67</v>
      </c>
      <c r="G213" s="4" t="s">
        <v>17</v>
      </c>
      <c r="H213" s="4" t="s">
        <v>72</v>
      </c>
      <c r="I213" s="6">
        <v>2</v>
      </c>
      <c r="J213" s="6">
        <v>2652</v>
      </c>
      <c r="K213" s="6">
        <v>2232.23</v>
      </c>
      <c r="L213" s="6">
        <v>419.77</v>
      </c>
      <c r="M213" s="11">
        <f>Table13[[#This Row],[Profit]]/Table13[[#This Row],[Sales]]</f>
        <v>0.15828431372549018</v>
      </c>
      <c r="N213" s="6" t="str">
        <f>TEXT(Table13[[#This Row],[Order Date]],"mmm")</f>
        <v>Oct</v>
      </c>
      <c r="O213" s="6">
        <f>YEAR(Table13[[#This Row],[Order Date]])</f>
        <v>2025</v>
      </c>
    </row>
    <row r="214" spans="1:15" x14ac:dyDescent="0.3">
      <c r="A214" s="4" t="s">
        <v>564</v>
      </c>
      <c r="B214" s="5">
        <v>45856</v>
      </c>
      <c r="C214" s="4" t="s">
        <v>565</v>
      </c>
      <c r="D214" s="4" t="s">
        <v>566</v>
      </c>
      <c r="E214" s="4" t="s">
        <v>22</v>
      </c>
      <c r="F214" s="4" t="s">
        <v>79</v>
      </c>
      <c r="G214" s="4" t="s">
        <v>35</v>
      </c>
      <c r="H214" s="4" t="s">
        <v>45</v>
      </c>
      <c r="I214" s="6">
        <v>6</v>
      </c>
      <c r="J214" s="6">
        <v>8106</v>
      </c>
      <c r="K214" s="6">
        <v>6593.32</v>
      </c>
      <c r="L214" s="6">
        <v>1512.68</v>
      </c>
      <c r="M214" s="11">
        <f>Table13[[#This Row],[Profit]]/Table13[[#This Row],[Sales]]</f>
        <v>0.1866123858869973</v>
      </c>
      <c r="N214" s="6" t="str">
        <f>TEXT(Table13[[#This Row],[Order Date]],"mmm")</f>
        <v>Jul</v>
      </c>
      <c r="O214" s="6">
        <f>YEAR(Table13[[#This Row],[Order Date]])</f>
        <v>2025</v>
      </c>
    </row>
    <row r="215" spans="1:15" x14ac:dyDescent="0.3">
      <c r="A215" s="4" t="s">
        <v>567</v>
      </c>
      <c r="B215" s="5">
        <v>45460</v>
      </c>
      <c r="C215" s="4" t="s">
        <v>154</v>
      </c>
      <c r="D215" s="4" t="s">
        <v>308</v>
      </c>
      <c r="E215" s="4" t="s">
        <v>22</v>
      </c>
      <c r="F215" s="4" t="s">
        <v>79</v>
      </c>
      <c r="G215" s="4" t="s">
        <v>24</v>
      </c>
      <c r="H215" s="4" t="s">
        <v>25</v>
      </c>
      <c r="I215" s="6">
        <v>2</v>
      </c>
      <c r="J215" s="6">
        <v>9088</v>
      </c>
      <c r="K215" s="6">
        <v>5415.58</v>
      </c>
      <c r="L215" s="6">
        <v>3672.42</v>
      </c>
      <c r="M215" s="11">
        <f>Table13[[#This Row],[Profit]]/Table13[[#This Row],[Sales]]</f>
        <v>0.40409551056338028</v>
      </c>
      <c r="N215" s="6" t="str">
        <f>TEXT(Table13[[#This Row],[Order Date]],"mmm")</f>
        <v>Jun</v>
      </c>
      <c r="O215" s="6">
        <f>YEAR(Table13[[#This Row],[Order Date]])</f>
        <v>2024</v>
      </c>
    </row>
    <row r="216" spans="1:15" x14ac:dyDescent="0.3">
      <c r="A216" s="4" t="s">
        <v>568</v>
      </c>
      <c r="B216" s="5">
        <v>45942</v>
      </c>
      <c r="C216" s="4" t="s">
        <v>329</v>
      </c>
      <c r="D216" s="4" t="s">
        <v>470</v>
      </c>
      <c r="E216" s="4" t="s">
        <v>29</v>
      </c>
      <c r="F216" s="4" t="s">
        <v>49</v>
      </c>
      <c r="G216" s="4" t="s">
        <v>35</v>
      </c>
      <c r="H216" s="4" t="s">
        <v>45</v>
      </c>
      <c r="I216" s="6">
        <v>5</v>
      </c>
      <c r="J216" s="6">
        <v>4730</v>
      </c>
      <c r="K216" s="6">
        <v>2957.11</v>
      </c>
      <c r="L216" s="6">
        <v>1772.89</v>
      </c>
      <c r="M216" s="11">
        <f>Table13[[#This Row],[Profit]]/Table13[[#This Row],[Sales]]</f>
        <v>0.37481818181818183</v>
      </c>
      <c r="N216" s="6" t="str">
        <f>TEXT(Table13[[#This Row],[Order Date]],"mmm")</f>
        <v>Oct</v>
      </c>
      <c r="O216" s="6">
        <f>YEAR(Table13[[#This Row],[Order Date]])</f>
        <v>2025</v>
      </c>
    </row>
    <row r="217" spans="1:15" x14ac:dyDescent="0.3">
      <c r="A217" s="4" t="s">
        <v>569</v>
      </c>
      <c r="B217" s="5">
        <v>45948</v>
      </c>
      <c r="C217" s="4" t="s">
        <v>570</v>
      </c>
      <c r="D217" s="4" t="s">
        <v>571</v>
      </c>
      <c r="E217" s="4" t="s">
        <v>29</v>
      </c>
      <c r="F217" s="4" t="s">
        <v>30</v>
      </c>
      <c r="G217" s="4" t="s">
        <v>40</v>
      </c>
      <c r="H217" s="4" t="s">
        <v>99</v>
      </c>
      <c r="I217" s="6">
        <v>10</v>
      </c>
      <c r="J217" s="6">
        <v>46700</v>
      </c>
      <c r="K217" s="6">
        <v>26993.93</v>
      </c>
      <c r="L217" s="6">
        <v>19706.07</v>
      </c>
      <c r="M217" s="11">
        <f>Table13[[#This Row],[Profit]]/Table13[[#This Row],[Sales]]</f>
        <v>0.42197152034261243</v>
      </c>
      <c r="N217" s="6" t="str">
        <f>TEXT(Table13[[#This Row],[Order Date]],"mmm")</f>
        <v>Oct</v>
      </c>
      <c r="O217" s="6">
        <f>YEAR(Table13[[#This Row],[Order Date]])</f>
        <v>2025</v>
      </c>
    </row>
    <row r="218" spans="1:15" x14ac:dyDescent="0.3">
      <c r="A218" s="4" t="s">
        <v>572</v>
      </c>
      <c r="B218" s="5">
        <v>45869</v>
      </c>
      <c r="C218" s="4" t="s">
        <v>573</v>
      </c>
      <c r="D218" s="4" t="s">
        <v>174</v>
      </c>
      <c r="E218" s="4" t="s">
        <v>29</v>
      </c>
      <c r="F218" s="4" t="s">
        <v>102</v>
      </c>
      <c r="G218" s="4" t="s">
        <v>17</v>
      </c>
      <c r="H218" s="4" t="s">
        <v>31</v>
      </c>
      <c r="I218" s="6">
        <v>10</v>
      </c>
      <c r="J218" s="6">
        <v>30650</v>
      </c>
      <c r="K218" s="6">
        <v>24604.560000000001</v>
      </c>
      <c r="L218" s="6">
        <v>6045.44</v>
      </c>
      <c r="M218" s="11">
        <f>Table13[[#This Row],[Profit]]/Table13[[#This Row],[Sales]]</f>
        <v>0.19724110929853181</v>
      </c>
      <c r="N218" s="6" t="str">
        <f>TEXT(Table13[[#This Row],[Order Date]],"mmm")</f>
        <v>Jul</v>
      </c>
      <c r="O218" s="6">
        <f>YEAR(Table13[[#This Row],[Order Date]])</f>
        <v>2025</v>
      </c>
    </row>
    <row r="219" spans="1:15" x14ac:dyDescent="0.3">
      <c r="A219" s="4" t="s">
        <v>574</v>
      </c>
      <c r="B219" s="5">
        <v>45877</v>
      </c>
      <c r="C219" s="4" t="s">
        <v>455</v>
      </c>
      <c r="D219" s="4" t="s">
        <v>575</v>
      </c>
      <c r="E219" s="4" t="s">
        <v>15</v>
      </c>
      <c r="F219" s="4" t="s">
        <v>16</v>
      </c>
      <c r="G219" s="4" t="s">
        <v>17</v>
      </c>
      <c r="H219" s="4" t="s">
        <v>31</v>
      </c>
      <c r="I219" s="6">
        <v>10</v>
      </c>
      <c r="J219" s="6">
        <v>24680</v>
      </c>
      <c r="K219" s="6">
        <v>18394.97</v>
      </c>
      <c r="L219" s="6">
        <v>6285.03</v>
      </c>
      <c r="M219" s="11">
        <f>Table13[[#This Row],[Profit]]/Table13[[#This Row],[Sales]]</f>
        <v>0.25466085899513774</v>
      </c>
      <c r="N219" s="6" t="str">
        <f>TEXT(Table13[[#This Row],[Order Date]],"mmm")</f>
        <v>Aug</v>
      </c>
      <c r="O219" s="6">
        <f>YEAR(Table13[[#This Row],[Order Date]])</f>
        <v>2025</v>
      </c>
    </row>
    <row r="220" spans="1:15" x14ac:dyDescent="0.3">
      <c r="A220" s="4" t="s">
        <v>576</v>
      </c>
      <c r="B220" s="5">
        <v>45993</v>
      </c>
      <c r="C220" s="4" t="s">
        <v>544</v>
      </c>
      <c r="D220" s="4" t="s">
        <v>577</v>
      </c>
      <c r="E220" s="4" t="s">
        <v>22</v>
      </c>
      <c r="F220" s="4" t="s">
        <v>79</v>
      </c>
      <c r="G220" s="4" t="s">
        <v>35</v>
      </c>
      <c r="H220" s="4" t="s">
        <v>45</v>
      </c>
      <c r="I220" s="6">
        <v>5</v>
      </c>
      <c r="J220" s="6">
        <v>13870</v>
      </c>
      <c r="K220" s="6">
        <v>9638.0300000000007</v>
      </c>
      <c r="L220" s="6">
        <v>4231.97</v>
      </c>
      <c r="M220" s="11">
        <f>Table13[[#This Row],[Profit]]/Table13[[#This Row],[Sales]]</f>
        <v>0.30511679884643117</v>
      </c>
      <c r="N220" s="6" t="str">
        <f>TEXT(Table13[[#This Row],[Order Date]],"mmm")</f>
        <v>Dec</v>
      </c>
      <c r="O220" s="6">
        <f>YEAR(Table13[[#This Row],[Order Date]])</f>
        <v>2025</v>
      </c>
    </row>
    <row r="221" spans="1:15" x14ac:dyDescent="0.3">
      <c r="A221" s="4" t="s">
        <v>578</v>
      </c>
      <c r="B221" s="5">
        <v>45787</v>
      </c>
      <c r="C221" s="4" t="s">
        <v>579</v>
      </c>
      <c r="D221" s="4" t="s">
        <v>580</v>
      </c>
      <c r="E221" s="4" t="s">
        <v>22</v>
      </c>
      <c r="F221" s="4" t="s">
        <v>23</v>
      </c>
      <c r="G221" s="4" t="s">
        <v>17</v>
      </c>
      <c r="H221" s="4" t="s">
        <v>18</v>
      </c>
      <c r="I221" s="6">
        <v>1</v>
      </c>
      <c r="J221" s="6">
        <v>1594</v>
      </c>
      <c r="K221" s="6">
        <v>1086.92</v>
      </c>
      <c r="L221" s="6">
        <v>507.08</v>
      </c>
      <c r="M221" s="11">
        <f>Table13[[#This Row],[Profit]]/Table13[[#This Row],[Sales]]</f>
        <v>0.31811794228356333</v>
      </c>
      <c r="N221" s="6" t="str">
        <f>TEXT(Table13[[#This Row],[Order Date]],"mmm")</f>
        <v>May</v>
      </c>
      <c r="O221" s="6">
        <f>YEAR(Table13[[#This Row],[Order Date]])</f>
        <v>2025</v>
      </c>
    </row>
    <row r="222" spans="1:15" x14ac:dyDescent="0.3">
      <c r="A222" s="4" t="s">
        <v>581</v>
      </c>
      <c r="B222" s="5">
        <v>45645</v>
      </c>
      <c r="C222" s="4" t="s">
        <v>171</v>
      </c>
      <c r="D222" s="4" t="s">
        <v>566</v>
      </c>
      <c r="E222" s="4" t="s">
        <v>54</v>
      </c>
      <c r="F222" s="4" t="s">
        <v>71</v>
      </c>
      <c r="G222" s="4" t="s">
        <v>24</v>
      </c>
      <c r="H222" s="4" t="s">
        <v>166</v>
      </c>
      <c r="I222" s="6">
        <v>6</v>
      </c>
      <c r="J222" s="6">
        <v>17490</v>
      </c>
      <c r="K222" s="6">
        <v>13471.85</v>
      </c>
      <c r="L222" s="6">
        <v>4018.15</v>
      </c>
      <c r="M222" s="11">
        <f>Table13[[#This Row],[Profit]]/Table13[[#This Row],[Sales]]</f>
        <v>0.22973985134362493</v>
      </c>
      <c r="N222" s="6" t="str">
        <f>TEXT(Table13[[#This Row],[Order Date]],"mmm")</f>
        <v>Dec</v>
      </c>
      <c r="O222" s="6">
        <f>YEAR(Table13[[#This Row],[Order Date]])</f>
        <v>2024</v>
      </c>
    </row>
    <row r="223" spans="1:15" x14ac:dyDescent="0.3">
      <c r="A223" s="4" t="s">
        <v>582</v>
      </c>
      <c r="B223" s="5">
        <v>45417</v>
      </c>
      <c r="C223" s="4" t="s">
        <v>337</v>
      </c>
      <c r="D223" s="4" t="s">
        <v>563</v>
      </c>
      <c r="E223" s="4" t="s">
        <v>54</v>
      </c>
      <c r="F223" s="4" t="s">
        <v>71</v>
      </c>
      <c r="G223" s="4" t="s">
        <v>35</v>
      </c>
      <c r="H223" s="4" t="s">
        <v>45</v>
      </c>
      <c r="I223" s="6">
        <v>2</v>
      </c>
      <c r="J223" s="6">
        <v>5828</v>
      </c>
      <c r="K223" s="6">
        <v>3628.05</v>
      </c>
      <c r="L223" s="6">
        <v>2199.9499999999998</v>
      </c>
      <c r="M223" s="11">
        <f>Table13[[#This Row],[Profit]]/Table13[[#This Row],[Sales]]</f>
        <v>0.37747940974605348</v>
      </c>
      <c r="N223" s="6" t="str">
        <f>TEXT(Table13[[#This Row],[Order Date]],"mmm")</f>
        <v>May</v>
      </c>
      <c r="O223" s="6">
        <f>YEAR(Table13[[#This Row],[Order Date]])</f>
        <v>2024</v>
      </c>
    </row>
    <row r="224" spans="1:15" x14ac:dyDescent="0.3">
      <c r="A224" s="4" t="s">
        <v>583</v>
      </c>
      <c r="B224" s="5">
        <v>45922</v>
      </c>
      <c r="C224" s="4" t="s">
        <v>584</v>
      </c>
      <c r="D224" s="4" t="s">
        <v>114</v>
      </c>
      <c r="E224" s="4" t="s">
        <v>29</v>
      </c>
      <c r="F224" s="4" t="s">
        <v>102</v>
      </c>
      <c r="G224" s="4" t="s">
        <v>24</v>
      </c>
      <c r="H224" s="4" t="s">
        <v>50</v>
      </c>
      <c r="I224" s="6">
        <v>1</v>
      </c>
      <c r="J224" s="6">
        <v>2677</v>
      </c>
      <c r="K224" s="6">
        <v>2231.59</v>
      </c>
      <c r="L224" s="6">
        <v>445.41</v>
      </c>
      <c r="M224" s="11">
        <f>Table13[[#This Row],[Profit]]/Table13[[#This Row],[Sales]]</f>
        <v>0.16638401195367949</v>
      </c>
      <c r="N224" s="6" t="str">
        <f>TEXT(Table13[[#This Row],[Order Date]],"mmm")</f>
        <v>Sep</v>
      </c>
      <c r="O224" s="6">
        <f>YEAR(Table13[[#This Row],[Order Date]])</f>
        <v>2025</v>
      </c>
    </row>
    <row r="225" spans="1:15" x14ac:dyDescent="0.3">
      <c r="A225" s="4" t="s">
        <v>585</v>
      </c>
      <c r="B225" s="5">
        <v>45802</v>
      </c>
      <c r="C225" s="4" t="s">
        <v>321</v>
      </c>
      <c r="D225" s="4" t="s">
        <v>383</v>
      </c>
      <c r="E225" s="4" t="s">
        <v>29</v>
      </c>
      <c r="F225" s="4" t="s">
        <v>49</v>
      </c>
      <c r="G225" s="4" t="s">
        <v>17</v>
      </c>
      <c r="H225" s="4" t="s">
        <v>72</v>
      </c>
      <c r="I225" s="6">
        <v>6</v>
      </c>
      <c r="J225" s="6">
        <v>11130</v>
      </c>
      <c r="K225" s="6">
        <v>8669.56</v>
      </c>
      <c r="L225" s="6">
        <v>2460.44</v>
      </c>
      <c r="M225" s="11">
        <f>Table13[[#This Row],[Profit]]/Table13[[#This Row],[Sales]]</f>
        <v>0.2210637915543576</v>
      </c>
      <c r="N225" s="6" t="str">
        <f>TEXT(Table13[[#This Row],[Order Date]],"mmm")</f>
        <v>May</v>
      </c>
      <c r="O225" s="6">
        <f>YEAR(Table13[[#This Row],[Order Date]])</f>
        <v>2025</v>
      </c>
    </row>
    <row r="226" spans="1:15" x14ac:dyDescent="0.3">
      <c r="A226" s="4" t="s">
        <v>586</v>
      </c>
      <c r="B226" s="5">
        <v>45809</v>
      </c>
      <c r="C226" s="4" t="s">
        <v>516</v>
      </c>
      <c r="D226" s="4" t="s">
        <v>264</v>
      </c>
      <c r="E226" s="4" t="s">
        <v>22</v>
      </c>
      <c r="F226" s="4" t="s">
        <v>67</v>
      </c>
      <c r="G226" s="4" t="s">
        <v>35</v>
      </c>
      <c r="H226" s="4" t="s">
        <v>80</v>
      </c>
      <c r="I226" s="6">
        <v>1</v>
      </c>
      <c r="J226" s="6">
        <v>1037</v>
      </c>
      <c r="K226" s="6">
        <v>864.41</v>
      </c>
      <c r="L226" s="6">
        <v>172.59</v>
      </c>
      <c r="M226" s="11">
        <f>Table13[[#This Row],[Profit]]/Table13[[#This Row],[Sales]]</f>
        <v>0.16643201542912248</v>
      </c>
      <c r="N226" s="6" t="str">
        <f>TEXT(Table13[[#This Row],[Order Date]],"mmm")</f>
        <v>Jun</v>
      </c>
      <c r="O226" s="6">
        <f>YEAR(Table13[[#This Row],[Order Date]])</f>
        <v>2025</v>
      </c>
    </row>
    <row r="227" spans="1:15" x14ac:dyDescent="0.3">
      <c r="A227" s="4" t="s">
        <v>587</v>
      </c>
      <c r="B227" s="5">
        <v>45903</v>
      </c>
      <c r="C227" s="4" t="s">
        <v>588</v>
      </c>
      <c r="D227" s="4" t="s">
        <v>589</v>
      </c>
      <c r="E227" s="4" t="s">
        <v>29</v>
      </c>
      <c r="F227" s="4" t="s">
        <v>30</v>
      </c>
      <c r="G227" s="4" t="s">
        <v>40</v>
      </c>
      <c r="H227" s="4" t="s">
        <v>41</v>
      </c>
      <c r="I227" s="6">
        <v>1</v>
      </c>
      <c r="J227" s="6">
        <v>714</v>
      </c>
      <c r="K227" s="6">
        <v>452.97</v>
      </c>
      <c r="L227" s="6">
        <v>261.02999999999997</v>
      </c>
      <c r="M227" s="11">
        <f>Table13[[#This Row],[Profit]]/Table13[[#This Row],[Sales]]</f>
        <v>0.3655882352941176</v>
      </c>
      <c r="N227" s="6" t="str">
        <f>TEXT(Table13[[#This Row],[Order Date]],"mmm")</f>
        <v>Sep</v>
      </c>
      <c r="O227" s="6">
        <f>YEAR(Table13[[#This Row],[Order Date]])</f>
        <v>2025</v>
      </c>
    </row>
    <row r="228" spans="1:15" x14ac:dyDescent="0.3">
      <c r="A228" s="4" t="s">
        <v>590</v>
      </c>
      <c r="B228" s="5">
        <v>45704</v>
      </c>
      <c r="C228" s="4" t="s">
        <v>591</v>
      </c>
      <c r="D228" s="4" t="s">
        <v>44</v>
      </c>
      <c r="E228" s="4" t="s">
        <v>15</v>
      </c>
      <c r="F228" s="4" t="s">
        <v>16</v>
      </c>
      <c r="G228" s="4" t="s">
        <v>35</v>
      </c>
      <c r="H228" s="4" t="s">
        <v>36</v>
      </c>
      <c r="I228" s="6">
        <v>3</v>
      </c>
      <c r="J228" s="6">
        <v>7398</v>
      </c>
      <c r="K228" s="6">
        <v>5683.53</v>
      </c>
      <c r="L228" s="6">
        <v>1714.47</v>
      </c>
      <c r="M228" s="11">
        <f>Table13[[#This Row],[Profit]]/Table13[[#This Row],[Sales]]</f>
        <v>0.2317477696674777</v>
      </c>
      <c r="N228" s="6" t="str">
        <f>TEXT(Table13[[#This Row],[Order Date]],"mmm")</f>
        <v>Feb</v>
      </c>
      <c r="O228" s="6">
        <f>YEAR(Table13[[#This Row],[Order Date]])</f>
        <v>2025</v>
      </c>
    </row>
    <row r="229" spans="1:15" x14ac:dyDescent="0.3">
      <c r="A229" s="4" t="s">
        <v>592</v>
      </c>
      <c r="B229" s="5">
        <v>45587</v>
      </c>
      <c r="C229" s="4" t="s">
        <v>412</v>
      </c>
      <c r="D229" s="4" t="s">
        <v>75</v>
      </c>
      <c r="E229" s="4" t="s">
        <v>22</v>
      </c>
      <c r="F229" s="4" t="s">
        <v>23</v>
      </c>
      <c r="G229" s="4" t="s">
        <v>17</v>
      </c>
      <c r="H229" s="4" t="s">
        <v>72</v>
      </c>
      <c r="I229" s="6">
        <v>9</v>
      </c>
      <c r="J229" s="6">
        <v>17046</v>
      </c>
      <c r="K229" s="6">
        <v>11229.17</v>
      </c>
      <c r="L229" s="6">
        <v>5816.83</v>
      </c>
      <c r="M229" s="11">
        <f>Table13[[#This Row],[Profit]]/Table13[[#This Row],[Sales]]</f>
        <v>0.34124310688724629</v>
      </c>
      <c r="N229" s="6" t="str">
        <f>TEXT(Table13[[#This Row],[Order Date]],"mmm")</f>
        <v>Oct</v>
      </c>
      <c r="O229" s="6">
        <f>YEAR(Table13[[#This Row],[Order Date]])</f>
        <v>2024</v>
      </c>
    </row>
    <row r="230" spans="1:15" x14ac:dyDescent="0.3">
      <c r="A230" s="4" t="s">
        <v>593</v>
      </c>
      <c r="B230" s="5">
        <v>45391</v>
      </c>
      <c r="C230" s="4" t="s">
        <v>594</v>
      </c>
      <c r="D230" s="4" t="s">
        <v>423</v>
      </c>
      <c r="E230" s="4" t="s">
        <v>22</v>
      </c>
      <c r="F230" s="4" t="s">
        <v>79</v>
      </c>
      <c r="G230" s="4" t="s">
        <v>40</v>
      </c>
      <c r="H230" s="4" t="s">
        <v>99</v>
      </c>
      <c r="I230" s="6">
        <v>10</v>
      </c>
      <c r="J230" s="6">
        <v>12730</v>
      </c>
      <c r="K230" s="6">
        <v>7492.87</v>
      </c>
      <c r="L230" s="6">
        <v>5237.13</v>
      </c>
      <c r="M230" s="11">
        <f>Table13[[#This Row],[Profit]]/Table13[[#This Row],[Sales]]</f>
        <v>0.41140062843676356</v>
      </c>
      <c r="N230" s="6" t="str">
        <f>TEXT(Table13[[#This Row],[Order Date]],"mmm")</f>
        <v>Apr</v>
      </c>
      <c r="O230" s="6">
        <f>YEAR(Table13[[#This Row],[Order Date]])</f>
        <v>2024</v>
      </c>
    </row>
    <row r="231" spans="1:15" x14ac:dyDescent="0.3">
      <c r="A231" s="4" t="s">
        <v>595</v>
      </c>
      <c r="B231" s="5">
        <v>45703</v>
      </c>
      <c r="C231" s="4" t="s">
        <v>596</v>
      </c>
      <c r="D231" s="4" t="s">
        <v>597</v>
      </c>
      <c r="E231" s="4" t="s">
        <v>54</v>
      </c>
      <c r="F231" s="4" t="s">
        <v>71</v>
      </c>
      <c r="G231" s="4" t="s">
        <v>40</v>
      </c>
      <c r="H231" s="4" t="s">
        <v>41</v>
      </c>
      <c r="I231" s="6">
        <v>3</v>
      </c>
      <c r="J231" s="6">
        <v>5790</v>
      </c>
      <c r="K231" s="6">
        <v>4230.9799999999996</v>
      </c>
      <c r="L231" s="6">
        <v>1559.02</v>
      </c>
      <c r="M231" s="11">
        <f>Table13[[#This Row],[Profit]]/Table13[[#This Row],[Sales]]</f>
        <v>0.2692607944732297</v>
      </c>
      <c r="N231" s="6" t="str">
        <f>TEXT(Table13[[#This Row],[Order Date]],"mmm")</f>
        <v>Feb</v>
      </c>
      <c r="O231" s="6">
        <f>YEAR(Table13[[#This Row],[Order Date]])</f>
        <v>2025</v>
      </c>
    </row>
    <row r="232" spans="1:15" x14ac:dyDescent="0.3">
      <c r="A232" s="4" t="s">
        <v>598</v>
      </c>
      <c r="B232" s="5">
        <v>45444</v>
      </c>
      <c r="C232" s="4" t="s">
        <v>321</v>
      </c>
      <c r="D232" s="4" t="s">
        <v>599</v>
      </c>
      <c r="E232" s="4" t="s">
        <v>15</v>
      </c>
      <c r="F232" s="4" t="s">
        <v>16</v>
      </c>
      <c r="G232" s="4" t="s">
        <v>24</v>
      </c>
      <c r="H232" s="4" t="s">
        <v>166</v>
      </c>
      <c r="I232" s="6">
        <v>6</v>
      </c>
      <c r="J232" s="6">
        <v>25080</v>
      </c>
      <c r="K232" s="6">
        <v>17701.46</v>
      </c>
      <c r="L232" s="6">
        <v>7378.54</v>
      </c>
      <c r="M232" s="11">
        <f>Table13[[#This Row],[Profit]]/Table13[[#This Row],[Sales]]</f>
        <v>0.29420015948963318</v>
      </c>
      <c r="N232" s="6" t="str">
        <f>TEXT(Table13[[#This Row],[Order Date]],"mmm")</f>
        <v>Jun</v>
      </c>
      <c r="O232" s="6">
        <f>YEAR(Table13[[#This Row],[Order Date]])</f>
        <v>2024</v>
      </c>
    </row>
    <row r="233" spans="1:15" x14ac:dyDescent="0.3">
      <c r="A233" s="4" t="s">
        <v>600</v>
      </c>
      <c r="B233" s="5">
        <v>45598</v>
      </c>
      <c r="C233" s="4" t="s">
        <v>225</v>
      </c>
      <c r="D233" s="4" t="s">
        <v>184</v>
      </c>
      <c r="E233" s="4" t="s">
        <v>54</v>
      </c>
      <c r="F233" s="4" t="s">
        <v>71</v>
      </c>
      <c r="G233" s="4" t="s">
        <v>40</v>
      </c>
      <c r="H233" s="4" t="s">
        <v>41</v>
      </c>
      <c r="I233" s="6">
        <v>3</v>
      </c>
      <c r="J233" s="6">
        <v>10557</v>
      </c>
      <c r="K233" s="6">
        <v>8943.73</v>
      </c>
      <c r="L233" s="6">
        <v>1613.27</v>
      </c>
      <c r="M233" s="11">
        <f>Table13[[#This Row],[Profit]]/Table13[[#This Row],[Sales]]</f>
        <v>0.15281519371033436</v>
      </c>
      <c r="N233" s="6" t="str">
        <f>TEXT(Table13[[#This Row],[Order Date]],"mmm")</f>
        <v>Nov</v>
      </c>
      <c r="O233" s="6">
        <f>YEAR(Table13[[#This Row],[Order Date]])</f>
        <v>2024</v>
      </c>
    </row>
    <row r="234" spans="1:15" x14ac:dyDescent="0.3">
      <c r="A234" s="4" t="s">
        <v>601</v>
      </c>
      <c r="B234" s="5">
        <v>45669</v>
      </c>
      <c r="C234" s="4" t="s">
        <v>104</v>
      </c>
      <c r="D234" s="4" t="s">
        <v>602</v>
      </c>
      <c r="E234" s="4" t="s">
        <v>22</v>
      </c>
      <c r="F234" s="4" t="s">
        <v>79</v>
      </c>
      <c r="G234" s="4" t="s">
        <v>17</v>
      </c>
      <c r="H234" s="4" t="s">
        <v>72</v>
      </c>
      <c r="I234" s="6">
        <v>5</v>
      </c>
      <c r="J234" s="6">
        <v>20950</v>
      </c>
      <c r="K234" s="6">
        <v>16649.48</v>
      </c>
      <c r="L234" s="6">
        <v>4300.5200000000004</v>
      </c>
      <c r="M234" s="11">
        <f>Table13[[#This Row],[Profit]]/Table13[[#This Row],[Sales]]</f>
        <v>0.20527541766109789</v>
      </c>
      <c r="N234" s="6" t="str">
        <f>TEXT(Table13[[#This Row],[Order Date]],"mmm")</f>
        <v>Jan</v>
      </c>
      <c r="O234" s="6">
        <f>YEAR(Table13[[#This Row],[Order Date]])</f>
        <v>2025</v>
      </c>
    </row>
    <row r="235" spans="1:15" x14ac:dyDescent="0.3">
      <c r="A235" s="4" t="s">
        <v>603</v>
      </c>
      <c r="B235" s="5">
        <v>45963</v>
      </c>
      <c r="C235" s="4" t="s">
        <v>379</v>
      </c>
      <c r="D235" s="4" t="s">
        <v>311</v>
      </c>
      <c r="E235" s="4" t="s">
        <v>22</v>
      </c>
      <c r="F235" s="4" t="s">
        <v>79</v>
      </c>
      <c r="G235" s="4" t="s">
        <v>40</v>
      </c>
      <c r="H235" s="4" t="s">
        <v>99</v>
      </c>
      <c r="I235" s="6">
        <v>1</v>
      </c>
      <c r="J235" s="6">
        <v>4187</v>
      </c>
      <c r="K235" s="6">
        <v>2636.38</v>
      </c>
      <c r="L235" s="6">
        <v>1550.62</v>
      </c>
      <c r="M235" s="11">
        <f>Table13[[#This Row],[Profit]]/Table13[[#This Row],[Sales]]</f>
        <v>0.37034153331741099</v>
      </c>
      <c r="N235" s="6" t="str">
        <f>TEXT(Table13[[#This Row],[Order Date]],"mmm")</f>
        <v>Nov</v>
      </c>
      <c r="O235" s="6">
        <f>YEAR(Table13[[#This Row],[Order Date]])</f>
        <v>2025</v>
      </c>
    </row>
    <row r="236" spans="1:15" x14ac:dyDescent="0.3">
      <c r="A236" s="4" t="s">
        <v>604</v>
      </c>
      <c r="B236" s="5">
        <v>45936</v>
      </c>
      <c r="C236" s="4" t="s">
        <v>231</v>
      </c>
      <c r="D236" s="4" t="s">
        <v>605</v>
      </c>
      <c r="E236" s="4" t="s">
        <v>29</v>
      </c>
      <c r="F236" s="4" t="s">
        <v>30</v>
      </c>
      <c r="G236" s="4" t="s">
        <v>24</v>
      </c>
      <c r="H236" s="4" t="s">
        <v>25</v>
      </c>
      <c r="I236" s="6">
        <v>10</v>
      </c>
      <c r="J236" s="6">
        <v>42350</v>
      </c>
      <c r="K236" s="6">
        <v>25458.86</v>
      </c>
      <c r="L236" s="6">
        <v>16891.14</v>
      </c>
      <c r="M236" s="11">
        <f>Table13[[#This Row],[Profit]]/Table13[[#This Row],[Sales]]</f>
        <v>0.39884628099173552</v>
      </c>
      <c r="N236" s="6" t="str">
        <f>TEXT(Table13[[#This Row],[Order Date]],"mmm")</f>
        <v>Oct</v>
      </c>
      <c r="O236" s="6">
        <f>YEAR(Table13[[#This Row],[Order Date]])</f>
        <v>2025</v>
      </c>
    </row>
    <row r="237" spans="1:15" x14ac:dyDescent="0.3">
      <c r="A237" s="4" t="s">
        <v>606</v>
      </c>
      <c r="B237" s="5">
        <v>45613</v>
      </c>
      <c r="C237" s="4" t="s">
        <v>584</v>
      </c>
      <c r="D237" s="4" t="s">
        <v>607</v>
      </c>
      <c r="E237" s="4" t="s">
        <v>29</v>
      </c>
      <c r="F237" s="4" t="s">
        <v>102</v>
      </c>
      <c r="G237" s="4" t="s">
        <v>17</v>
      </c>
      <c r="H237" s="4" t="s">
        <v>72</v>
      </c>
      <c r="I237" s="6">
        <v>2</v>
      </c>
      <c r="J237" s="6">
        <v>3724</v>
      </c>
      <c r="K237" s="6">
        <v>2069.36</v>
      </c>
      <c r="L237" s="6">
        <v>1654.64</v>
      </c>
      <c r="M237" s="11">
        <f>Table13[[#This Row],[Profit]]/Table13[[#This Row],[Sales]]</f>
        <v>0.44431793770139638</v>
      </c>
      <c r="N237" s="6" t="str">
        <f>TEXT(Table13[[#This Row],[Order Date]],"mmm")</f>
        <v>Nov</v>
      </c>
      <c r="O237" s="6">
        <f>YEAR(Table13[[#This Row],[Order Date]])</f>
        <v>2024</v>
      </c>
    </row>
    <row r="238" spans="1:15" x14ac:dyDescent="0.3">
      <c r="A238" s="4" t="s">
        <v>608</v>
      </c>
      <c r="B238" s="5">
        <v>45774</v>
      </c>
      <c r="C238" s="4" t="s">
        <v>126</v>
      </c>
      <c r="D238" s="4" t="s">
        <v>377</v>
      </c>
      <c r="E238" s="4" t="s">
        <v>22</v>
      </c>
      <c r="F238" s="4" t="s">
        <v>79</v>
      </c>
      <c r="G238" s="4" t="s">
        <v>40</v>
      </c>
      <c r="H238" s="4" t="s">
        <v>56</v>
      </c>
      <c r="I238" s="6">
        <v>7</v>
      </c>
      <c r="J238" s="6">
        <v>30870</v>
      </c>
      <c r="K238" s="6">
        <v>24155.52</v>
      </c>
      <c r="L238" s="6">
        <v>6714.48</v>
      </c>
      <c r="M238" s="11">
        <f>Table13[[#This Row],[Profit]]/Table13[[#This Row],[Sales]]</f>
        <v>0.21750826044703594</v>
      </c>
      <c r="N238" s="6" t="str">
        <f>TEXT(Table13[[#This Row],[Order Date]],"mmm")</f>
        <v>Apr</v>
      </c>
      <c r="O238" s="6">
        <f>YEAR(Table13[[#This Row],[Order Date]])</f>
        <v>2025</v>
      </c>
    </row>
    <row r="239" spans="1:15" x14ac:dyDescent="0.3">
      <c r="A239" s="4" t="s">
        <v>609</v>
      </c>
      <c r="B239" s="5">
        <v>45469</v>
      </c>
      <c r="C239" s="4" t="s">
        <v>458</v>
      </c>
      <c r="D239" s="4" t="s">
        <v>610</v>
      </c>
      <c r="E239" s="4" t="s">
        <v>29</v>
      </c>
      <c r="F239" s="4" t="s">
        <v>30</v>
      </c>
      <c r="G239" s="4" t="s">
        <v>40</v>
      </c>
      <c r="H239" s="4" t="s">
        <v>41</v>
      </c>
      <c r="I239" s="6">
        <v>8</v>
      </c>
      <c r="J239" s="6">
        <v>36832</v>
      </c>
      <c r="K239" s="6">
        <v>24421.360000000001</v>
      </c>
      <c r="L239" s="6">
        <v>12410.64</v>
      </c>
      <c r="M239" s="11">
        <f>Table13[[#This Row],[Profit]]/Table13[[#This Row],[Sales]]</f>
        <v>0.33695264986967854</v>
      </c>
      <c r="N239" s="6" t="str">
        <f>TEXT(Table13[[#This Row],[Order Date]],"mmm")</f>
        <v>Jun</v>
      </c>
      <c r="O239" s="6">
        <f>YEAR(Table13[[#This Row],[Order Date]])</f>
        <v>2024</v>
      </c>
    </row>
    <row r="240" spans="1:15" x14ac:dyDescent="0.3">
      <c r="A240" s="4" t="s">
        <v>611</v>
      </c>
      <c r="B240" s="5">
        <v>45544</v>
      </c>
      <c r="C240" s="4" t="s">
        <v>27</v>
      </c>
      <c r="D240" s="4" t="s">
        <v>612</v>
      </c>
      <c r="E240" s="4" t="s">
        <v>54</v>
      </c>
      <c r="F240" s="4" t="s">
        <v>71</v>
      </c>
      <c r="G240" s="4" t="s">
        <v>40</v>
      </c>
      <c r="H240" s="4" t="s">
        <v>41</v>
      </c>
      <c r="I240" s="6">
        <v>5</v>
      </c>
      <c r="J240" s="6">
        <v>21330</v>
      </c>
      <c r="K240" s="6">
        <v>12961.8</v>
      </c>
      <c r="L240" s="6">
        <v>8368.2000000000007</v>
      </c>
      <c r="M240" s="11">
        <f>Table13[[#This Row],[Profit]]/Table13[[#This Row],[Sales]]</f>
        <v>0.39232067510548524</v>
      </c>
      <c r="N240" s="6" t="str">
        <f>TEXT(Table13[[#This Row],[Order Date]],"mmm")</f>
        <v>Sep</v>
      </c>
      <c r="O240" s="6">
        <f>YEAR(Table13[[#This Row],[Order Date]])</f>
        <v>2024</v>
      </c>
    </row>
    <row r="241" spans="1:15" x14ac:dyDescent="0.3">
      <c r="A241" s="4" t="s">
        <v>613</v>
      </c>
      <c r="B241" s="5">
        <v>45792</v>
      </c>
      <c r="C241" s="4" t="s">
        <v>614</v>
      </c>
      <c r="D241" s="4" t="s">
        <v>410</v>
      </c>
      <c r="E241" s="4" t="s">
        <v>54</v>
      </c>
      <c r="F241" s="4" t="s">
        <v>142</v>
      </c>
      <c r="G241" s="4" t="s">
        <v>40</v>
      </c>
      <c r="H241" s="4" t="s">
        <v>99</v>
      </c>
      <c r="I241" s="6">
        <v>5</v>
      </c>
      <c r="J241" s="6">
        <v>9990</v>
      </c>
      <c r="K241" s="6">
        <v>7563.15</v>
      </c>
      <c r="L241" s="6">
        <v>2426.85</v>
      </c>
      <c r="M241" s="11">
        <f>Table13[[#This Row],[Profit]]/Table13[[#This Row],[Sales]]</f>
        <v>0.24292792792792792</v>
      </c>
      <c r="N241" s="6" t="str">
        <f>TEXT(Table13[[#This Row],[Order Date]],"mmm")</f>
        <v>May</v>
      </c>
      <c r="O241" s="6">
        <f>YEAR(Table13[[#This Row],[Order Date]])</f>
        <v>2025</v>
      </c>
    </row>
    <row r="242" spans="1:15" x14ac:dyDescent="0.3">
      <c r="A242" s="4" t="s">
        <v>615</v>
      </c>
      <c r="B242" s="5">
        <v>45984</v>
      </c>
      <c r="C242" s="4" t="s">
        <v>616</v>
      </c>
      <c r="D242" s="4" t="s">
        <v>258</v>
      </c>
      <c r="E242" s="4" t="s">
        <v>54</v>
      </c>
      <c r="F242" s="4" t="s">
        <v>71</v>
      </c>
      <c r="G242" s="4" t="s">
        <v>17</v>
      </c>
      <c r="H242" s="4" t="s">
        <v>18</v>
      </c>
      <c r="I242" s="6">
        <v>5</v>
      </c>
      <c r="J242" s="6">
        <v>13285</v>
      </c>
      <c r="K242" s="6">
        <v>7792.48</v>
      </c>
      <c r="L242" s="6">
        <v>5492.52</v>
      </c>
      <c r="M242" s="11">
        <f>Table13[[#This Row],[Profit]]/Table13[[#This Row],[Sales]]</f>
        <v>0.41343771170493043</v>
      </c>
      <c r="N242" s="6" t="str">
        <f>TEXT(Table13[[#This Row],[Order Date]],"mmm")</f>
        <v>Nov</v>
      </c>
      <c r="O242" s="6">
        <f>YEAR(Table13[[#This Row],[Order Date]])</f>
        <v>2025</v>
      </c>
    </row>
    <row r="243" spans="1:15" x14ac:dyDescent="0.3">
      <c r="A243" s="4" t="s">
        <v>617</v>
      </c>
      <c r="B243" s="5">
        <v>45372</v>
      </c>
      <c r="C243" s="4" t="s">
        <v>618</v>
      </c>
      <c r="D243" s="4" t="s">
        <v>155</v>
      </c>
      <c r="E243" s="4" t="s">
        <v>22</v>
      </c>
      <c r="F243" s="4" t="s">
        <v>67</v>
      </c>
      <c r="G243" s="4" t="s">
        <v>24</v>
      </c>
      <c r="H243" s="4" t="s">
        <v>166</v>
      </c>
      <c r="I243" s="6">
        <v>5</v>
      </c>
      <c r="J243" s="6">
        <v>3220</v>
      </c>
      <c r="K243" s="6">
        <v>2048.85</v>
      </c>
      <c r="L243" s="6">
        <v>1171.1500000000001</v>
      </c>
      <c r="M243" s="11">
        <f>Table13[[#This Row],[Profit]]/Table13[[#This Row],[Sales]]</f>
        <v>0.36371118012422365</v>
      </c>
      <c r="N243" s="6" t="str">
        <f>TEXT(Table13[[#This Row],[Order Date]],"mmm")</f>
        <v>Mar</v>
      </c>
      <c r="O243" s="6">
        <f>YEAR(Table13[[#This Row],[Order Date]])</f>
        <v>2024</v>
      </c>
    </row>
    <row r="244" spans="1:15" x14ac:dyDescent="0.3">
      <c r="A244" s="4" t="s">
        <v>619</v>
      </c>
      <c r="B244" s="5">
        <v>45569</v>
      </c>
      <c r="C244" s="4" t="s">
        <v>65</v>
      </c>
      <c r="D244" s="4" t="s">
        <v>533</v>
      </c>
      <c r="E244" s="4" t="s">
        <v>54</v>
      </c>
      <c r="F244" s="4" t="s">
        <v>71</v>
      </c>
      <c r="G244" s="4" t="s">
        <v>35</v>
      </c>
      <c r="H244" s="4" t="s">
        <v>80</v>
      </c>
      <c r="I244" s="6">
        <v>4</v>
      </c>
      <c r="J244" s="6">
        <v>7820</v>
      </c>
      <c r="K244" s="6">
        <v>6243.37</v>
      </c>
      <c r="L244" s="6">
        <v>1576.63</v>
      </c>
      <c r="M244" s="11">
        <f>Table13[[#This Row],[Profit]]/Table13[[#This Row],[Sales]]</f>
        <v>0.20161508951406651</v>
      </c>
      <c r="N244" s="6" t="str">
        <f>TEXT(Table13[[#This Row],[Order Date]],"mmm")</f>
        <v>Oct</v>
      </c>
      <c r="O244" s="6">
        <f>YEAR(Table13[[#This Row],[Order Date]])</f>
        <v>2024</v>
      </c>
    </row>
    <row r="245" spans="1:15" x14ac:dyDescent="0.3">
      <c r="A245" s="4" t="s">
        <v>620</v>
      </c>
      <c r="B245" s="5">
        <v>45977</v>
      </c>
      <c r="C245" s="4" t="s">
        <v>206</v>
      </c>
      <c r="D245" s="4" t="s">
        <v>621</v>
      </c>
      <c r="E245" s="4" t="s">
        <v>29</v>
      </c>
      <c r="F245" s="4" t="s">
        <v>102</v>
      </c>
      <c r="G245" s="4" t="s">
        <v>17</v>
      </c>
      <c r="H245" s="4" t="s">
        <v>72</v>
      </c>
      <c r="I245" s="6">
        <v>10</v>
      </c>
      <c r="J245" s="6">
        <v>22600</v>
      </c>
      <c r="K245" s="6">
        <v>14073.87</v>
      </c>
      <c r="L245" s="6">
        <v>8526.1299999999992</v>
      </c>
      <c r="M245" s="11">
        <f>Table13[[#This Row],[Profit]]/Table13[[#This Row],[Sales]]</f>
        <v>0.37726238938053092</v>
      </c>
      <c r="N245" s="6" t="str">
        <f>TEXT(Table13[[#This Row],[Order Date]],"mmm")</f>
        <v>Nov</v>
      </c>
      <c r="O245" s="6">
        <f>YEAR(Table13[[#This Row],[Order Date]])</f>
        <v>2025</v>
      </c>
    </row>
    <row r="246" spans="1:15" x14ac:dyDescent="0.3">
      <c r="A246" s="4" t="s">
        <v>622</v>
      </c>
      <c r="B246" s="5">
        <v>45394</v>
      </c>
      <c r="C246" s="4" t="s">
        <v>449</v>
      </c>
      <c r="D246" s="4" t="s">
        <v>512</v>
      </c>
      <c r="E246" s="4" t="s">
        <v>29</v>
      </c>
      <c r="F246" s="4" t="s">
        <v>102</v>
      </c>
      <c r="G246" s="4" t="s">
        <v>24</v>
      </c>
      <c r="H246" s="4" t="s">
        <v>50</v>
      </c>
      <c r="I246" s="6">
        <v>7</v>
      </c>
      <c r="J246" s="6">
        <v>21035</v>
      </c>
      <c r="K246" s="6">
        <v>16096.14</v>
      </c>
      <c r="L246" s="6">
        <v>4938.8599999999997</v>
      </c>
      <c r="M246" s="11">
        <f>Table13[[#This Row],[Profit]]/Table13[[#This Row],[Sales]]</f>
        <v>0.23479248870929401</v>
      </c>
      <c r="N246" s="6" t="str">
        <f>TEXT(Table13[[#This Row],[Order Date]],"mmm")</f>
        <v>Apr</v>
      </c>
      <c r="O246" s="6">
        <f>YEAR(Table13[[#This Row],[Order Date]])</f>
        <v>2024</v>
      </c>
    </row>
    <row r="247" spans="1:15" x14ac:dyDescent="0.3">
      <c r="A247" s="4" t="s">
        <v>623</v>
      </c>
      <c r="B247" s="5">
        <v>45586</v>
      </c>
      <c r="C247" s="4" t="s">
        <v>624</v>
      </c>
      <c r="D247" s="4" t="s">
        <v>589</v>
      </c>
      <c r="E247" s="4" t="s">
        <v>29</v>
      </c>
      <c r="F247" s="4" t="s">
        <v>49</v>
      </c>
      <c r="G247" s="4" t="s">
        <v>17</v>
      </c>
      <c r="H247" s="4" t="s">
        <v>31</v>
      </c>
      <c r="I247" s="6">
        <v>8</v>
      </c>
      <c r="J247" s="6">
        <v>33688</v>
      </c>
      <c r="K247" s="6">
        <v>25103</v>
      </c>
      <c r="L247" s="6">
        <v>8585</v>
      </c>
      <c r="M247" s="11">
        <f>Table13[[#This Row],[Profit]]/Table13[[#This Row],[Sales]]</f>
        <v>0.25483851816670622</v>
      </c>
      <c r="N247" s="6" t="str">
        <f>TEXT(Table13[[#This Row],[Order Date]],"mmm")</f>
        <v>Oct</v>
      </c>
      <c r="O247" s="6">
        <f>YEAR(Table13[[#This Row],[Order Date]])</f>
        <v>2024</v>
      </c>
    </row>
    <row r="248" spans="1:15" x14ac:dyDescent="0.3">
      <c r="A248" s="4" t="s">
        <v>625</v>
      </c>
      <c r="B248" s="5">
        <v>45330</v>
      </c>
      <c r="C248" s="4" t="s">
        <v>556</v>
      </c>
      <c r="D248" s="4" t="s">
        <v>626</v>
      </c>
      <c r="E248" s="4" t="s">
        <v>15</v>
      </c>
      <c r="F248" s="4" t="s">
        <v>16</v>
      </c>
      <c r="G248" s="4" t="s">
        <v>17</v>
      </c>
      <c r="H248" s="4" t="s">
        <v>31</v>
      </c>
      <c r="I248" s="6">
        <v>10</v>
      </c>
      <c r="J248" s="6">
        <v>22020</v>
      </c>
      <c r="K248" s="6">
        <v>15646.22</v>
      </c>
      <c r="L248" s="6">
        <v>6373.78</v>
      </c>
      <c r="M248" s="11">
        <f>Table13[[#This Row],[Profit]]/Table13[[#This Row],[Sales]]</f>
        <v>0.28945413260672115</v>
      </c>
      <c r="N248" s="6" t="str">
        <f>TEXT(Table13[[#This Row],[Order Date]],"mmm")</f>
        <v>Feb</v>
      </c>
      <c r="O248" s="6">
        <f>YEAR(Table13[[#This Row],[Order Date]])</f>
        <v>2024</v>
      </c>
    </row>
    <row r="249" spans="1:15" x14ac:dyDescent="0.3">
      <c r="A249" s="4" t="s">
        <v>627</v>
      </c>
      <c r="B249" s="5">
        <v>45588</v>
      </c>
      <c r="C249" s="4" t="s">
        <v>628</v>
      </c>
      <c r="D249" s="4" t="s">
        <v>629</v>
      </c>
      <c r="E249" s="4" t="s">
        <v>29</v>
      </c>
      <c r="F249" s="4" t="s">
        <v>102</v>
      </c>
      <c r="G249" s="4" t="s">
        <v>35</v>
      </c>
      <c r="H249" s="4" t="s">
        <v>36</v>
      </c>
      <c r="I249" s="6">
        <v>8</v>
      </c>
      <c r="J249" s="6">
        <v>14608</v>
      </c>
      <c r="K249" s="6">
        <v>12138.99</v>
      </c>
      <c r="L249" s="6">
        <v>2469.0100000000002</v>
      </c>
      <c r="M249" s="11">
        <f>Table13[[#This Row],[Profit]]/Table13[[#This Row],[Sales]]</f>
        <v>0.16901766155531217</v>
      </c>
      <c r="N249" s="6" t="str">
        <f>TEXT(Table13[[#This Row],[Order Date]],"mmm")</f>
        <v>Oct</v>
      </c>
      <c r="O249" s="6">
        <f>YEAR(Table13[[#This Row],[Order Date]])</f>
        <v>2024</v>
      </c>
    </row>
    <row r="250" spans="1:15" x14ac:dyDescent="0.3">
      <c r="A250" s="4" t="s">
        <v>630</v>
      </c>
      <c r="B250" s="5">
        <v>45948</v>
      </c>
      <c r="C250" s="4" t="s">
        <v>616</v>
      </c>
      <c r="D250" s="4" t="s">
        <v>631</v>
      </c>
      <c r="E250" s="4" t="s">
        <v>54</v>
      </c>
      <c r="F250" s="4" t="s">
        <v>71</v>
      </c>
      <c r="G250" s="4" t="s">
        <v>17</v>
      </c>
      <c r="H250" s="4" t="s">
        <v>72</v>
      </c>
      <c r="I250" s="6">
        <v>2</v>
      </c>
      <c r="J250" s="6">
        <v>6088</v>
      </c>
      <c r="K250" s="6">
        <v>3868.12</v>
      </c>
      <c r="L250" s="6">
        <v>2219.88</v>
      </c>
      <c r="M250" s="11">
        <f>Table13[[#This Row],[Profit]]/Table13[[#This Row],[Sales]]</f>
        <v>0.36463206307490148</v>
      </c>
      <c r="N250" s="6" t="str">
        <f>TEXT(Table13[[#This Row],[Order Date]],"mmm")</f>
        <v>Oct</v>
      </c>
      <c r="O250" s="6">
        <f>YEAR(Table13[[#This Row],[Order Date]])</f>
        <v>2025</v>
      </c>
    </row>
    <row r="251" spans="1:15" x14ac:dyDescent="0.3">
      <c r="A251" s="4" t="s">
        <v>632</v>
      </c>
      <c r="B251" s="5">
        <v>45407</v>
      </c>
      <c r="C251" s="4" t="s">
        <v>104</v>
      </c>
      <c r="D251" s="4" t="s">
        <v>48</v>
      </c>
      <c r="E251" s="4" t="s">
        <v>22</v>
      </c>
      <c r="F251" s="4" t="s">
        <v>23</v>
      </c>
      <c r="G251" s="4" t="s">
        <v>35</v>
      </c>
      <c r="H251" s="4" t="s">
        <v>45</v>
      </c>
      <c r="I251" s="6">
        <v>8</v>
      </c>
      <c r="J251" s="6">
        <v>20280</v>
      </c>
      <c r="K251" s="6">
        <v>12327.06</v>
      </c>
      <c r="L251" s="6">
        <v>7952.94</v>
      </c>
      <c r="M251" s="11">
        <f>Table13[[#This Row],[Profit]]/Table13[[#This Row],[Sales]]</f>
        <v>0.39215680473372777</v>
      </c>
      <c r="N251" s="6" t="str">
        <f>TEXT(Table13[[#This Row],[Order Date]],"mmm")</f>
        <v>Apr</v>
      </c>
      <c r="O251" s="6">
        <f>YEAR(Table13[[#This Row],[Order Date]])</f>
        <v>2024</v>
      </c>
    </row>
    <row r="252" spans="1:15" x14ac:dyDescent="0.3">
      <c r="A252" s="4" t="s">
        <v>633</v>
      </c>
      <c r="B252" s="5">
        <v>45594</v>
      </c>
      <c r="C252" s="4" t="s">
        <v>634</v>
      </c>
      <c r="D252" s="4" t="s">
        <v>187</v>
      </c>
      <c r="E252" s="4" t="s">
        <v>22</v>
      </c>
      <c r="F252" s="4" t="s">
        <v>79</v>
      </c>
      <c r="G252" s="4" t="s">
        <v>40</v>
      </c>
      <c r="H252" s="4" t="s">
        <v>99</v>
      </c>
      <c r="I252" s="6">
        <v>3</v>
      </c>
      <c r="J252" s="6">
        <v>1245</v>
      </c>
      <c r="K252" s="6">
        <v>959.88</v>
      </c>
      <c r="L252" s="6">
        <v>285.12</v>
      </c>
      <c r="M252" s="11">
        <f>Table13[[#This Row],[Profit]]/Table13[[#This Row],[Sales]]</f>
        <v>0.2290120481927711</v>
      </c>
      <c r="N252" s="6" t="str">
        <f>TEXT(Table13[[#This Row],[Order Date]],"mmm")</f>
        <v>Oct</v>
      </c>
      <c r="O252" s="6">
        <f>YEAR(Table13[[#This Row],[Order Date]])</f>
        <v>2024</v>
      </c>
    </row>
    <row r="253" spans="1:15" x14ac:dyDescent="0.3">
      <c r="A253" s="4" t="s">
        <v>635</v>
      </c>
      <c r="B253" s="5">
        <v>45380</v>
      </c>
      <c r="C253" s="4" t="s">
        <v>636</v>
      </c>
      <c r="D253" s="4" t="s">
        <v>637</v>
      </c>
      <c r="E253" s="4" t="s">
        <v>29</v>
      </c>
      <c r="F253" s="4" t="s">
        <v>30</v>
      </c>
      <c r="G253" s="4" t="s">
        <v>17</v>
      </c>
      <c r="H253" s="4" t="s">
        <v>31</v>
      </c>
      <c r="I253" s="6">
        <v>7</v>
      </c>
      <c r="J253" s="6">
        <v>26621</v>
      </c>
      <c r="K253" s="6">
        <v>18756.740000000002</v>
      </c>
      <c r="L253" s="6">
        <v>7864.26</v>
      </c>
      <c r="M253" s="11">
        <f>Table13[[#This Row],[Profit]]/Table13[[#This Row],[Sales]]</f>
        <v>0.29541564929942526</v>
      </c>
      <c r="N253" s="6" t="str">
        <f>TEXT(Table13[[#This Row],[Order Date]],"mmm")</f>
        <v>Mar</v>
      </c>
      <c r="O253" s="6">
        <f>YEAR(Table13[[#This Row],[Order Date]])</f>
        <v>2024</v>
      </c>
    </row>
    <row r="254" spans="1:15" x14ac:dyDescent="0.3">
      <c r="A254" s="4" t="s">
        <v>638</v>
      </c>
      <c r="B254" s="5">
        <v>45684</v>
      </c>
      <c r="C254" s="4" t="s">
        <v>353</v>
      </c>
      <c r="D254" s="4" t="s">
        <v>639</v>
      </c>
      <c r="E254" s="4" t="s">
        <v>29</v>
      </c>
      <c r="F254" s="4" t="s">
        <v>102</v>
      </c>
      <c r="G254" s="4" t="s">
        <v>35</v>
      </c>
      <c r="H254" s="4" t="s">
        <v>80</v>
      </c>
      <c r="I254" s="6">
        <v>6</v>
      </c>
      <c r="J254" s="6">
        <v>13992</v>
      </c>
      <c r="K254" s="6">
        <v>7724.27</v>
      </c>
      <c r="L254" s="6">
        <v>6267.73</v>
      </c>
      <c r="M254" s="11">
        <f>Table13[[#This Row],[Profit]]/Table13[[#This Row],[Sales]]</f>
        <v>0.44795097198399081</v>
      </c>
      <c r="N254" s="6" t="str">
        <f>TEXT(Table13[[#This Row],[Order Date]],"mmm")</f>
        <v>Jan</v>
      </c>
      <c r="O254" s="6">
        <f>YEAR(Table13[[#This Row],[Order Date]])</f>
        <v>2025</v>
      </c>
    </row>
    <row r="255" spans="1:15" x14ac:dyDescent="0.3">
      <c r="A255" s="4" t="s">
        <v>640</v>
      </c>
      <c r="B255" s="5">
        <v>45961</v>
      </c>
      <c r="C255" s="4" t="s">
        <v>558</v>
      </c>
      <c r="D255" s="4" t="s">
        <v>508</v>
      </c>
      <c r="E255" s="4" t="s">
        <v>54</v>
      </c>
      <c r="F255" s="4" t="s">
        <v>55</v>
      </c>
      <c r="G255" s="4" t="s">
        <v>40</v>
      </c>
      <c r="H255" s="4" t="s">
        <v>99</v>
      </c>
      <c r="I255" s="6">
        <v>10</v>
      </c>
      <c r="J255" s="6">
        <v>49930</v>
      </c>
      <c r="K255" s="6">
        <v>27632.799999999999</v>
      </c>
      <c r="L255" s="6">
        <v>22297.200000000001</v>
      </c>
      <c r="M255" s="11">
        <f>Table13[[#This Row],[Profit]]/Table13[[#This Row],[Sales]]</f>
        <v>0.44656919687562591</v>
      </c>
      <c r="N255" s="6" t="str">
        <f>TEXT(Table13[[#This Row],[Order Date]],"mmm")</f>
        <v>Oct</v>
      </c>
      <c r="O255" s="6">
        <f>YEAR(Table13[[#This Row],[Order Date]])</f>
        <v>2025</v>
      </c>
    </row>
    <row r="256" spans="1:15" x14ac:dyDescent="0.3">
      <c r="A256" s="4" t="s">
        <v>641</v>
      </c>
      <c r="B256" s="5">
        <v>45994</v>
      </c>
      <c r="C256" s="4" t="s">
        <v>642</v>
      </c>
      <c r="D256" s="4" t="s">
        <v>643</v>
      </c>
      <c r="E256" s="4" t="s">
        <v>15</v>
      </c>
      <c r="F256" s="4" t="s">
        <v>90</v>
      </c>
      <c r="G256" s="4" t="s">
        <v>24</v>
      </c>
      <c r="H256" s="4" t="s">
        <v>50</v>
      </c>
      <c r="I256" s="6">
        <v>8</v>
      </c>
      <c r="J256" s="6">
        <v>22504</v>
      </c>
      <c r="K256" s="6">
        <v>13455.48</v>
      </c>
      <c r="L256" s="6">
        <v>9048.52</v>
      </c>
      <c r="M256" s="11">
        <f>Table13[[#This Row],[Profit]]/Table13[[#This Row],[Sales]]</f>
        <v>0.40208496267330257</v>
      </c>
      <c r="N256" s="6" t="str">
        <f>TEXT(Table13[[#This Row],[Order Date]],"mmm")</f>
        <v>Dec</v>
      </c>
      <c r="O256" s="6">
        <f>YEAR(Table13[[#This Row],[Order Date]])</f>
        <v>2025</v>
      </c>
    </row>
    <row r="257" spans="1:15" x14ac:dyDescent="0.3">
      <c r="A257" s="4" t="s">
        <v>644</v>
      </c>
      <c r="B257" s="5">
        <v>45428</v>
      </c>
      <c r="C257" s="4" t="s">
        <v>284</v>
      </c>
      <c r="D257" s="4" t="s">
        <v>645</v>
      </c>
      <c r="E257" s="4" t="s">
        <v>15</v>
      </c>
      <c r="F257" s="4" t="s">
        <v>90</v>
      </c>
      <c r="G257" s="4" t="s">
        <v>40</v>
      </c>
      <c r="H257" s="4" t="s">
        <v>99</v>
      </c>
      <c r="I257" s="6">
        <v>6</v>
      </c>
      <c r="J257" s="6">
        <v>12654</v>
      </c>
      <c r="K257" s="6">
        <v>7791.56</v>
      </c>
      <c r="L257" s="6">
        <v>4862.4399999999996</v>
      </c>
      <c r="M257" s="11">
        <f>Table13[[#This Row],[Profit]]/Table13[[#This Row],[Sales]]</f>
        <v>0.38426110320847162</v>
      </c>
      <c r="N257" s="6" t="str">
        <f>TEXT(Table13[[#This Row],[Order Date]],"mmm")</f>
        <v>May</v>
      </c>
      <c r="O257" s="6">
        <f>YEAR(Table13[[#This Row],[Order Date]])</f>
        <v>2024</v>
      </c>
    </row>
    <row r="258" spans="1:15" x14ac:dyDescent="0.3">
      <c r="A258" s="4" t="s">
        <v>646</v>
      </c>
      <c r="B258" s="5">
        <v>45774</v>
      </c>
      <c r="C258" s="4" t="s">
        <v>140</v>
      </c>
      <c r="D258" s="4" t="s">
        <v>647</v>
      </c>
      <c r="E258" s="4" t="s">
        <v>22</v>
      </c>
      <c r="F258" s="4" t="s">
        <v>79</v>
      </c>
      <c r="G258" s="4" t="s">
        <v>17</v>
      </c>
      <c r="H258" s="4" t="s">
        <v>72</v>
      </c>
      <c r="I258" s="6">
        <v>6</v>
      </c>
      <c r="J258" s="6">
        <v>22236</v>
      </c>
      <c r="K258" s="6">
        <v>16912.310000000001</v>
      </c>
      <c r="L258" s="6">
        <v>5323.69</v>
      </c>
      <c r="M258" s="11">
        <f>Table13[[#This Row],[Profit]]/Table13[[#This Row],[Sales]]</f>
        <v>0.23941761108112969</v>
      </c>
      <c r="N258" s="6" t="str">
        <f>TEXT(Table13[[#This Row],[Order Date]],"mmm")</f>
        <v>Apr</v>
      </c>
      <c r="O258" s="6">
        <f>YEAR(Table13[[#This Row],[Order Date]])</f>
        <v>2025</v>
      </c>
    </row>
    <row r="259" spans="1:15" x14ac:dyDescent="0.3">
      <c r="A259" s="4" t="s">
        <v>648</v>
      </c>
      <c r="B259" s="5">
        <v>46012</v>
      </c>
      <c r="C259" s="4" t="s">
        <v>649</v>
      </c>
      <c r="D259" s="4" t="s">
        <v>650</v>
      </c>
      <c r="E259" s="4" t="s">
        <v>29</v>
      </c>
      <c r="F259" s="4" t="s">
        <v>30</v>
      </c>
      <c r="G259" s="4" t="s">
        <v>17</v>
      </c>
      <c r="H259" s="4" t="s">
        <v>72</v>
      </c>
      <c r="I259" s="6">
        <v>2</v>
      </c>
      <c r="J259" s="6">
        <v>9208</v>
      </c>
      <c r="K259" s="6">
        <v>6298.5</v>
      </c>
      <c r="L259" s="6">
        <v>2909.5</v>
      </c>
      <c r="M259" s="11">
        <f>Table13[[#This Row],[Profit]]/Table13[[#This Row],[Sales]]</f>
        <v>0.31597523892267593</v>
      </c>
      <c r="N259" s="6" t="str">
        <f>TEXT(Table13[[#This Row],[Order Date]],"mmm")</f>
        <v>Dec</v>
      </c>
      <c r="O259" s="6">
        <f>YEAR(Table13[[#This Row],[Order Date]])</f>
        <v>2025</v>
      </c>
    </row>
    <row r="260" spans="1:15" x14ac:dyDescent="0.3">
      <c r="A260" s="4" t="s">
        <v>651</v>
      </c>
      <c r="B260" s="5">
        <v>45445</v>
      </c>
      <c r="C260" s="4" t="s">
        <v>652</v>
      </c>
      <c r="D260" s="4" t="s">
        <v>232</v>
      </c>
      <c r="E260" s="4" t="s">
        <v>15</v>
      </c>
      <c r="F260" s="4" t="s">
        <v>16</v>
      </c>
      <c r="G260" s="4" t="s">
        <v>35</v>
      </c>
      <c r="H260" s="4" t="s">
        <v>45</v>
      </c>
      <c r="I260" s="6">
        <v>9</v>
      </c>
      <c r="J260" s="6">
        <v>17604</v>
      </c>
      <c r="K260" s="6">
        <v>12706.75</v>
      </c>
      <c r="L260" s="6">
        <v>4897.25</v>
      </c>
      <c r="M260" s="11">
        <f>Table13[[#This Row],[Profit]]/Table13[[#This Row],[Sales]]</f>
        <v>0.27818961599636444</v>
      </c>
      <c r="N260" s="6" t="str">
        <f>TEXT(Table13[[#This Row],[Order Date]],"mmm")</f>
        <v>Jun</v>
      </c>
      <c r="O260" s="6">
        <f>YEAR(Table13[[#This Row],[Order Date]])</f>
        <v>2024</v>
      </c>
    </row>
    <row r="261" spans="1:15" x14ac:dyDescent="0.3">
      <c r="A261" s="4" t="s">
        <v>653</v>
      </c>
      <c r="B261" s="5">
        <v>45814</v>
      </c>
      <c r="C261" s="4" t="s">
        <v>209</v>
      </c>
      <c r="D261" s="4" t="s">
        <v>654</v>
      </c>
      <c r="E261" s="4" t="s">
        <v>22</v>
      </c>
      <c r="F261" s="4" t="s">
        <v>23</v>
      </c>
      <c r="G261" s="4" t="s">
        <v>17</v>
      </c>
      <c r="H261" s="4" t="s">
        <v>31</v>
      </c>
      <c r="I261" s="6">
        <v>4</v>
      </c>
      <c r="J261" s="6">
        <v>17216</v>
      </c>
      <c r="K261" s="6">
        <v>9938.5</v>
      </c>
      <c r="L261" s="6">
        <v>7277.5</v>
      </c>
      <c r="M261" s="11">
        <f>Table13[[#This Row],[Profit]]/Table13[[#This Row],[Sales]]</f>
        <v>0.42271723977695169</v>
      </c>
      <c r="N261" s="6" t="str">
        <f>TEXT(Table13[[#This Row],[Order Date]],"mmm")</f>
        <v>Jun</v>
      </c>
      <c r="O261" s="6">
        <f>YEAR(Table13[[#This Row],[Order Date]])</f>
        <v>2025</v>
      </c>
    </row>
    <row r="262" spans="1:15" x14ac:dyDescent="0.3">
      <c r="A262" s="4" t="s">
        <v>655</v>
      </c>
      <c r="B262" s="5">
        <v>45864</v>
      </c>
      <c r="C262" s="4" t="s">
        <v>116</v>
      </c>
      <c r="D262" s="4" t="s">
        <v>656</v>
      </c>
      <c r="E262" s="4" t="s">
        <v>22</v>
      </c>
      <c r="F262" s="4" t="s">
        <v>23</v>
      </c>
      <c r="G262" s="4" t="s">
        <v>35</v>
      </c>
      <c r="H262" s="4" t="s">
        <v>45</v>
      </c>
      <c r="I262" s="6">
        <v>7</v>
      </c>
      <c r="J262" s="6">
        <v>28294</v>
      </c>
      <c r="K262" s="6">
        <v>20348.29</v>
      </c>
      <c r="L262" s="6">
        <v>7945.71</v>
      </c>
      <c r="M262" s="11">
        <f>Table13[[#This Row],[Profit]]/Table13[[#This Row],[Sales]]</f>
        <v>0.28082667703400016</v>
      </c>
      <c r="N262" s="6" t="str">
        <f>TEXT(Table13[[#This Row],[Order Date]],"mmm")</f>
        <v>Jul</v>
      </c>
      <c r="O262" s="6">
        <f>YEAR(Table13[[#This Row],[Order Date]])</f>
        <v>2025</v>
      </c>
    </row>
    <row r="263" spans="1:15" x14ac:dyDescent="0.3">
      <c r="A263" s="4" t="s">
        <v>657</v>
      </c>
      <c r="B263" s="5">
        <v>45338</v>
      </c>
      <c r="C263" s="4" t="s">
        <v>95</v>
      </c>
      <c r="D263" s="4" t="s">
        <v>177</v>
      </c>
      <c r="E263" s="4" t="s">
        <v>15</v>
      </c>
      <c r="F263" s="4" t="s">
        <v>63</v>
      </c>
      <c r="G263" s="4" t="s">
        <v>40</v>
      </c>
      <c r="H263" s="4" t="s">
        <v>99</v>
      </c>
      <c r="I263" s="6">
        <v>1</v>
      </c>
      <c r="J263" s="6">
        <v>2085</v>
      </c>
      <c r="K263" s="6">
        <v>1508.48</v>
      </c>
      <c r="L263" s="6">
        <v>576.52</v>
      </c>
      <c r="M263" s="11">
        <f>Table13[[#This Row],[Profit]]/Table13[[#This Row],[Sales]]</f>
        <v>0.27650839328537169</v>
      </c>
      <c r="N263" s="6" t="str">
        <f>TEXT(Table13[[#This Row],[Order Date]],"mmm")</f>
        <v>Feb</v>
      </c>
      <c r="O263" s="6">
        <f>YEAR(Table13[[#This Row],[Order Date]])</f>
        <v>2024</v>
      </c>
    </row>
    <row r="264" spans="1:15" x14ac:dyDescent="0.3">
      <c r="A264" s="4" t="s">
        <v>658</v>
      </c>
      <c r="B264" s="5">
        <v>45710</v>
      </c>
      <c r="C264" s="4" t="s">
        <v>361</v>
      </c>
      <c r="D264" s="4" t="s">
        <v>659</v>
      </c>
      <c r="E264" s="4" t="s">
        <v>15</v>
      </c>
      <c r="F264" s="4" t="s">
        <v>90</v>
      </c>
      <c r="G264" s="4" t="s">
        <v>24</v>
      </c>
      <c r="H264" s="4" t="s">
        <v>25</v>
      </c>
      <c r="I264" s="6">
        <v>2</v>
      </c>
      <c r="J264" s="6">
        <v>8334</v>
      </c>
      <c r="K264" s="6">
        <v>4663.04</v>
      </c>
      <c r="L264" s="6">
        <v>3670.96</v>
      </c>
      <c r="M264" s="11">
        <f>Table13[[#This Row],[Profit]]/Table13[[#This Row],[Sales]]</f>
        <v>0.44047996160307173</v>
      </c>
      <c r="N264" s="6" t="str">
        <f>TEXT(Table13[[#This Row],[Order Date]],"mmm")</f>
        <v>Feb</v>
      </c>
      <c r="O264" s="6">
        <f>YEAR(Table13[[#This Row],[Order Date]])</f>
        <v>2025</v>
      </c>
    </row>
    <row r="265" spans="1:15" x14ac:dyDescent="0.3">
      <c r="A265" s="4" t="s">
        <v>660</v>
      </c>
      <c r="B265" s="5">
        <v>45991</v>
      </c>
      <c r="C265" s="4" t="s">
        <v>214</v>
      </c>
      <c r="D265" s="4" t="s">
        <v>661</v>
      </c>
      <c r="E265" s="4" t="s">
        <v>22</v>
      </c>
      <c r="F265" s="4" t="s">
        <v>67</v>
      </c>
      <c r="G265" s="4" t="s">
        <v>35</v>
      </c>
      <c r="H265" s="4" t="s">
        <v>36</v>
      </c>
      <c r="I265" s="6">
        <v>8</v>
      </c>
      <c r="J265" s="6">
        <v>27136</v>
      </c>
      <c r="K265" s="6">
        <v>17982.86</v>
      </c>
      <c r="L265" s="6">
        <v>9153.14</v>
      </c>
      <c r="M265" s="11">
        <f>Table13[[#This Row],[Profit]]/Table13[[#This Row],[Sales]]</f>
        <v>0.33730616155660376</v>
      </c>
      <c r="N265" s="6" t="str">
        <f>TEXT(Table13[[#This Row],[Order Date]],"mmm")</f>
        <v>Nov</v>
      </c>
      <c r="O265" s="6">
        <f>YEAR(Table13[[#This Row],[Order Date]])</f>
        <v>2025</v>
      </c>
    </row>
    <row r="266" spans="1:15" x14ac:dyDescent="0.3">
      <c r="A266" s="4" t="s">
        <v>662</v>
      </c>
      <c r="B266" s="5">
        <v>45520</v>
      </c>
      <c r="C266" s="4" t="s">
        <v>82</v>
      </c>
      <c r="D266" s="4" t="s">
        <v>663</v>
      </c>
      <c r="E266" s="4" t="s">
        <v>54</v>
      </c>
      <c r="F266" s="4" t="s">
        <v>142</v>
      </c>
      <c r="G266" s="4" t="s">
        <v>24</v>
      </c>
      <c r="H266" s="4" t="s">
        <v>166</v>
      </c>
      <c r="I266" s="6">
        <v>9</v>
      </c>
      <c r="J266" s="6">
        <v>31671</v>
      </c>
      <c r="K266" s="6">
        <v>22443.74</v>
      </c>
      <c r="L266" s="6">
        <v>9227.26</v>
      </c>
      <c r="M266" s="11">
        <f>Table13[[#This Row],[Profit]]/Table13[[#This Row],[Sales]]</f>
        <v>0.29134728931830384</v>
      </c>
      <c r="N266" s="6" t="str">
        <f>TEXT(Table13[[#This Row],[Order Date]],"mmm")</f>
        <v>Aug</v>
      </c>
      <c r="O266" s="6">
        <f>YEAR(Table13[[#This Row],[Order Date]])</f>
        <v>2024</v>
      </c>
    </row>
    <row r="267" spans="1:15" x14ac:dyDescent="0.3">
      <c r="A267" s="4" t="s">
        <v>664</v>
      </c>
      <c r="B267" s="5">
        <v>45527</v>
      </c>
      <c r="C267" s="4" t="s">
        <v>480</v>
      </c>
      <c r="D267" s="4" t="s">
        <v>665</v>
      </c>
      <c r="E267" s="4" t="s">
        <v>54</v>
      </c>
      <c r="F267" s="4" t="s">
        <v>55</v>
      </c>
      <c r="G267" s="4" t="s">
        <v>17</v>
      </c>
      <c r="H267" s="4" t="s">
        <v>31</v>
      </c>
      <c r="I267" s="6">
        <v>9</v>
      </c>
      <c r="J267" s="6">
        <v>33966</v>
      </c>
      <c r="K267" s="6">
        <v>24101.599999999999</v>
      </c>
      <c r="L267" s="6">
        <v>9864.4</v>
      </c>
      <c r="M267" s="11">
        <f>Table13[[#This Row],[Profit]]/Table13[[#This Row],[Sales]]</f>
        <v>0.29041983159630219</v>
      </c>
      <c r="N267" s="6" t="str">
        <f>TEXT(Table13[[#This Row],[Order Date]],"mmm")</f>
        <v>Aug</v>
      </c>
      <c r="O267" s="6">
        <f>YEAR(Table13[[#This Row],[Order Date]])</f>
        <v>2024</v>
      </c>
    </row>
    <row r="268" spans="1:15" x14ac:dyDescent="0.3">
      <c r="A268" s="4" t="s">
        <v>666</v>
      </c>
      <c r="B268" s="5">
        <v>45968</v>
      </c>
      <c r="C268" s="4" t="s">
        <v>584</v>
      </c>
      <c r="D268" s="4" t="s">
        <v>267</v>
      </c>
      <c r="E268" s="4" t="s">
        <v>54</v>
      </c>
      <c r="F268" s="4" t="s">
        <v>142</v>
      </c>
      <c r="G268" s="4" t="s">
        <v>40</v>
      </c>
      <c r="H268" s="4" t="s">
        <v>99</v>
      </c>
      <c r="I268" s="6">
        <v>4</v>
      </c>
      <c r="J268" s="6">
        <v>4896</v>
      </c>
      <c r="K268" s="6">
        <v>2740.12</v>
      </c>
      <c r="L268" s="6">
        <v>2155.88</v>
      </c>
      <c r="M268" s="11">
        <f>Table13[[#This Row],[Profit]]/Table13[[#This Row],[Sales]]</f>
        <v>0.44033496732026145</v>
      </c>
      <c r="N268" s="6" t="str">
        <f>TEXT(Table13[[#This Row],[Order Date]],"mmm")</f>
        <v>Nov</v>
      </c>
      <c r="O268" s="6">
        <f>YEAR(Table13[[#This Row],[Order Date]])</f>
        <v>2025</v>
      </c>
    </row>
    <row r="269" spans="1:15" x14ac:dyDescent="0.3">
      <c r="A269" s="4" t="s">
        <v>667</v>
      </c>
      <c r="B269" s="5">
        <v>45980</v>
      </c>
      <c r="C269" s="4" t="s">
        <v>668</v>
      </c>
      <c r="D269" s="4" t="s">
        <v>53</v>
      </c>
      <c r="E269" s="4" t="s">
        <v>29</v>
      </c>
      <c r="F269" s="4" t="s">
        <v>102</v>
      </c>
      <c r="G269" s="4" t="s">
        <v>24</v>
      </c>
      <c r="H269" s="4" t="s">
        <v>50</v>
      </c>
      <c r="I269" s="6">
        <v>2</v>
      </c>
      <c r="J269" s="6">
        <v>1150</v>
      </c>
      <c r="K269" s="6">
        <v>786.52</v>
      </c>
      <c r="L269" s="6">
        <v>363.48</v>
      </c>
      <c r="M269" s="11">
        <f>Table13[[#This Row],[Profit]]/Table13[[#This Row],[Sales]]</f>
        <v>0.31606956521739132</v>
      </c>
      <c r="N269" s="6" t="str">
        <f>TEXT(Table13[[#This Row],[Order Date]],"mmm")</f>
        <v>Nov</v>
      </c>
      <c r="O269" s="6">
        <f>YEAR(Table13[[#This Row],[Order Date]])</f>
        <v>2025</v>
      </c>
    </row>
    <row r="270" spans="1:15" x14ac:dyDescent="0.3">
      <c r="A270" s="4" t="s">
        <v>669</v>
      </c>
      <c r="B270" s="5">
        <v>45349</v>
      </c>
      <c r="C270" s="4" t="s">
        <v>670</v>
      </c>
      <c r="D270" s="4" t="s">
        <v>671</v>
      </c>
      <c r="E270" s="4" t="s">
        <v>15</v>
      </c>
      <c r="F270" s="4" t="s">
        <v>63</v>
      </c>
      <c r="G270" s="4" t="s">
        <v>35</v>
      </c>
      <c r="H270" s="4" t="s">
        <v>80</v>
      </c>
      <c r="I270" s="6">
        <v>4</v>
      </c>
      <c r="J270" s="6">
        <v>18884</v>
      </c>
      <c r="K270" s="6">
        <v>11617.07</v>
      </c>
      <c r="L270" s="6">
        <v>7266.93</v>
      </c>
      <c r="M270" s="11">
        <f>Table13[[#This Row],[Profit]]/Table13[[#This Row],[Sales]]</f>
        <v>0.38481942385087908</v>
      </c>
      <c r="N270" s="6" t="str">
        <f>TEXT(Table13[[#This Row],[Order Date]],"mmm")</f>
        <v>Feb</v>
      </c>
      <c r="O270" s="6">
        <f>YEAR(Table13[[#This Row],[Order Date]])</f>
        <v>2024</v>
      </c>
    </row>
    <row r="271" spans="1:15" x14ac:dyDescent="0.3">
      <c r="A271" s="4" t="s">
        <v>672</v>
      </c>
      <c r="B271" s="5">
        <v>45980</v>
      </c>
      <c r="C271" s="4" t="s">
        <v>624</v>
      </c>
      <c r="D271" s="4" t="s">
        <v>673</v>
      </c>
      <c r="E271" s="4" t="s">
        <v>54</v>
      </c>
      <c r="F271" s="4" t="s">
        <v>142</v>
      </c>
      <c r="G271" s="4" t="s">
        <v>17</v>
      </c>
      <c r="H271" s="4" t="s">
        <v>18</v>
      </c>
      <c r="I271" s="6">
        <v>10</v>
      </c>
      <c r="J271" s="6">
        <v>29120</v>
      </c>
      <c r="K271" s="6">
        <v>21060.82</v>
      </c>
      <c r="L271" s="6">
        <v>8059.18</v>
      </c>
      <c r="M271" s="11">
        <f>Table13[[#This Row],[Profit]]/Table13[[#This Row],[Sales]]</f>
        <v>0.27675755494505494</v>
      </c>
      <c r="N271" s="6" t="str">
        <f>TEXT(Table13[[#This Row],[Order Date]],"mmm")</f>
        <v>Nov</v>
      </c>
      <c r="O271" s="6">
        <f>YEAR(Table13[[#This Row],[Order Date]])</f>
        <v>2025</v>
      </c>
    </row>
    <row r="272" spans="1:15" x14ac:dyDescent="0.3">
      <c r="A272" s="4" t="s">
        <v>674</v>
      </c>
      <c r="B272" s="5">
        <v>45573</v>
      </c>
      <c r="C272" s="4" t="s">
        <v>126</v>
      </c>
      <c r="D272" s="4" t="s">
        <v>612</v>
      </c>
      <c r="E272" s="4" t="s">
        <v>54</v>
      </c>
      <c r="F272" s="4" t="s">
        <v>142</v>
      </c>
      <c r="G272" s="4" t="s">
        <v>17</v>
      </c>
      <c r="H272" s="4" t="s">
        <v>31</v>
      </c>
      <c r="I272" s="6">
        <v>9</v>
      </c>
      <c r="J272" s="6">
        <v>18990</v>
      </c>
      <c r="K272" s="6">
        <v>12800.55</v>
      </c>
      <c r="L272" s="6">
        <v>6189.45</v>
      </c>
      <c r="M272" s="11">
        <f>Table13[[#This Row],[Profit]]/Table13[[#This Row],[Sales]]</f>
        <v>0.32593206951026854</v>
      </c>
      <c r="N272" s="6" t="str">
        <f>TEXT(Table13[[#This Row],[Order Date]],"mmm")</f>
        <v>Oct</v>
      </c>
      <c r="O272" s="6">
        <f>YEAR(Table13[[#This Row],[Order Date]])</f>
        <v>2024</v>
      </c>
    </row>
    <row r="273" spans="1:15" x14ac:dyDescent="0.3">
      <c r="A273" s="4" t="s">
        <v>675</v>
      </c>
      <c r="B273" s="5">
        <v>45644</v>
      </c>
      <c r="C273" s="4" t="s">
        <v>344</v>
      </c>
      <c r="D273" s="4" t="s">
        <v>631</v>
      </c>
      <c r="E273" s="4" t="s">
        <v>29</v>
      </c>
      <c r="F273" s="4" t="s">
        <v>30</v>
      </c>
      <c r="G273" s="4" t="s">
        <v>17</v>
      </c>
      <c r="H273" s="4" t="s">
        <v>31</v>
      </c>
      <c r="I273" s="6">
        <v>7</v>
      </c>
      <c r="J273" s="6">
        <v>33971</v>
      </c>
      <c r="K273" s="6">
        <v>23735.07</v>
      </c>
      <c r="L273" s="6">
        <v>10235.93</v>
      </c>
      <c r="M273" s="11">
        <f>Table13[[#This Row],[Profit]]/Table13[[#This Row],[Sales]]</f>
        <v>0.30131376762532747</v>
      </c>
      <c r="N273" s="6" t="str">
        <f>TEXT(Table13[[#This Row],[Order Date]],"mmm")</f>
        <v>Dec</v>
      </c>
      <c r="O273" s="6">
        <f>YEAR(Table13[[#This Row],[Order Date]])</f>
        <v>2024</v>
      </c>
    </row>
    <row r="274" spans="1:15" x14ac:dyDescent="0.3">
      <c r="A274" s="4" t="s">
        <v>676</v>
      </c>
      <c r="B274" s="5">
        <v>45480</v>
      </c>
      <c r="C274" s="4" t="s">
        <v>140</v>
      </c>
      <c r="D274" s="4" t="s">
        <v>108</v>
      </c>
      <c r="E274" s="4" t="s">
        <v>54</v>
      </c>
      <c r="F274" s="4" t="s">
        <v>71</v>
      </c>
      <c r="G274" s="4" t="s">
        <v>35</v>
      </c>
      <c r="H274" s="4" t="s">
        <v>36</v>
      </c>
      <c r="I274" s="6">
        <v>7</v>
      </c>
      <c r="J274" s="6">
        <v>10654</v>
      </c>
      <c r="K274" s="6">
        <v>6818.2</v>
      </c>
      <c r="L274" s="6">
        <v>3835.8</v>
      </c>
      <c r="M274" s="11">
        <f>Table13[[#This Row],[Profit]]/Table13[[#This Row],[Sales]]</f>
        <v>0.36003379012577436</v>
      </c>
      <c r="N274" s="6" t="str">
        <f>TEXT(Table13[[#This Row],[Order Date]],"mmm")</f>
        <v>Jul</v>
      </c>
      <c r="O274" s="6">
        <f>YEAR(Table13[[#This Row],[Order Date]])</f>
        <v>2024</v>
      </c>
    </row>
    <row r="275" spans="1:15" x14ac:dyDescent="0.3">
      <c r="A275" s="4" t="s">
        <v>677</v>
      </c>
      <c r="B275" s="5">
        <v>45867</v>
      </c>
      <c r="C275" s="4" t="s">
        <v>419</v>
      </c>
      <c r="D275" s="4" t="s">
        <v>626</v>
      </c>
      <c r="E275" s="4" t="s">
        <v>29</v>
      </c>
      <c r="F275" s="4" t="s">
        <v>102</v>
      </c>
      <c r="G275" s="4" t="s">
        <v>40</v>
      </c>
      <c r="H275" s="4" t="s">
        <v>99</v>
      </c>
      <c r="I275" s="6">
        <v>3</v>
      </c>
      <c r="J275" s="6">
        <v>12279</v>
      </c>
      <c r="K275" s="6">
        <v>10123.08</v>
      </c>
      <c r="L275" s="6">
        <v>2155.92</v>
      </c>
      <c r="M275" s="11">
        <f>Table13[[#This Row],[Profit]]/Table13[[#This Row],[Sales]]</f>
        <v>0.17557781578304424</v>
      </c>
      <c r="N275" s="6" t="str">
        <f>TEXT(Table13[[#This Row],[Order Date]],"mmm")</f>
        <v>Jul</v>
      </c>
      <c r="O275" s="6">
        <f>YEAR(Table13[[#This Row],[Order Date]])</f>
        <v>2025</v>
      </c>
    </row>
    <row r="276" spans="1:15" x14ac:dyDescent="0.3">
      <c r="A276" s="4" t="s">
        <v>678</v>
      </c>
      <c r="B276" s="5">
        <v>45372</v>
      </c>
      <c r="C276" s="4" t="s">
        <v>290</v>
      </c>
      <c r="D276" s="4" t="s">
        <v>394</v>
      </c>
      <c r="E276" s="4" t="s">
        <v>29</v>
      </c>
      <c r="F276" s="4" t="s">
        <v>49</v>
      </c>
      <c r="G276" s="4" t="s">
        <v>40</v>
      </c>
      <c r="H276" s="4" t="s">
        <v>56</v>
      </c>
      <c r="I276" s="6">
        <v>5</v>
      </c>
      <c r="J276" s="6">
        <v>9825</v>
      </c>
      <c r="K276" s="6">
        <v>6377.2</v>
      </c>
      <c r="L276" s="6">
        <v>3447.8</v>
      </c>
      <c r="M276" s="11">
        <f>Table13[[#This Row],[Profit]]/Table13[[#This Row],[Sales]]</f>
        <v>0.35092111959287536</v>
      </c>
      <c r="N276" s="6" t="str">
        <f>TEXT(Table13[[#This Row],[Order Date]],"mmm")</f>
        <v>Mar</v>
      </c>
      <c r="O276" s="6">
        <f>YEAR(Table13[[#This Row],[Order Date]])</f>
        <v>2024</v>
      </c>
    </row>
    <row r="277" spans="1:15" x14ac:dyDescent="0.3">
      <c r="A277" s="4" t="s">
        <v>679</v>
      </c>
      <c r="B277" s="5">
        <v>45981</v>
      </c>
      <c r="C277" s="4" t="s">
        <v>680</v>
      </c>
      <c r="D277" s="4" t="s">
        <v>681</v>
      </c>
      <c r="E277" s="4" t="s">
        <v>15</v>
      </c>
      <c r="F277" s="4" t="s">
        <v>90</v>
      </c>
      <c r="G277" s="4" t="s">
        <v>17</v>
      </c>
      <c r="H277" s="4" t="s">
        <v>18</v>
      </c>
      <c r="I277" s="6">
        <v>4</v>
      </c>
      <c r="J277" s="6">
        <v>2888</v>
      </c>
      <c r="K277" s="6">
        <v>1821</v>
      </c>
      <c r="L277" s="6">
        <v>1067</v>
      </c>
      <c r="M277" s="11">
        <f>Table13[[#This Row],[Profit]]/Table13[[#This Row],[Sales]]</f>
        <v>0.36945983379501385</v>
      </c>
      <c r="N277" s="6" t="str">
        <f>TEXT(Table13[[#This Row],[Order Date]],"mmm")</f>
        <v>Nov</v>
      </c>
      <c r="O277" s="6">
        <f>YEAR(Table13[[#This Row],[Order Date]])</f>
        <v>2025</v>
      </c>
    </row>
    <row r="278" spans="1:15" x14ac:dyDescent="0.3">
      <c r="A278" s="4" t="s">
        <v>682</v>
      </c>
      <c r="B278" s="5">
        <v>45632</v>
      </c>
      <c r="C278" s="4" t="s">
        <v>287</v>
      </c>
      <c r="D278" s="4" t="s">
        <v>404</v>
      </c>
      <c r="E278" s="4" t="s">
        <v>29</v>
      </c>
      <c r="F278" s="4" t="s">
        <v>30</v>
      </c>
      <c r="G278" s="4" t="s">
        <v>17</v>
      </c>
      <c r="H278" s="4" t="s">
        <v>18</v>
      </c>
      <c r="I278" s="6">
        <v>9</v>
      </c>
      <c r="J278" s="6">
        <v>18693</v>
      </c>
      <c r="K278" s="6">
        <v>12969.54</v>
      </c>
      <c r="L278" s="6">
        <v>5723.46</v>
      </c>
      <c r="M278" s="11">
        <f>Table13[[#This Row],[Profit]]/Table13[[#This Row],[Sales]]</f>
        <v>0.3061819932595089</v>
      </c>
      <c r="N278" s="6" t="str">
        <f>TEXT(Table13[[#This Row],[Order Date]],"mmm")</f>
        <v>Dec</v>
      </c>
      <c r="O278" s="6">
        <f>YEAR(Table13[[#This Row],[Order Date]])</f>
        <v>2024</v>
      </c>
    </row>
    <row r="279" spans="1:15" x14ac:dyDescent="0.3">
      <c r="A279" s="4" t="s">
        <v>683</v>
      </c>
      <c r="B279" s="5">
        <v>46004</v>
      </c>
      <c r="C279" s="4" t="s">
        <v>684</v>
      </c>
      <c r="D279" s="4" t="s">
        <v>531</v>
      </c>
      <c r="E279" s="4" t="s">
        <v>29</v>
      </c>
      <c r="F279" s="4" t="s">
        <v>102</v>
      </c>
      <c r="G279" s="4" t="s">
        <v>17</v>
      </c>
      <c r="H279" s="4" t="s">
        <v>18</v>
      </c>
      <c r="I279" s="6">
        <v>2</v>
      </c>
      <c r="J279" s="6">
        <v>8446</v>
      </c>
      <c r="K279" s="6">
        <v>6962.31</v>
      </c>
      <c r="L279" s="6">
        <v>1483.69</v>
      </c>
      <c r="M279" s="11">
        <f>Table13[[#This Row],[Profit]]/Table13[[#This Row],[Sales]]</f>
        <v>0.17566777172626097</v>
      </c>
      <c r="N279" s="6" t="str">
        <f>TEXT(Table13[[#This Row],[Order Date]],"mmm")</f>
        <v>Dec</v>
      </c>
      <c r="O279" s="6">
        <f>YEAR(Table13[[#This Row],[Order Date]])</f>
        <v>2025</v>
      </c>
    </row>
    <row r="280" spans="1:15" x14ac:dyDescent="0.3">
      <c r="A280" s="4" t="s">
        <v>685</v>
      </c>
      <c r="B280" s="5">
        <v>45956</v>
      </c>
      <c r="C280" s="4" t="s">
        <v>371</v>
      </c>
      <c r="D280" s="4" t="s">
        <v>656</v>
      </c>
      <c r="E280" s="4" t="s">
        <v>29</v>
      </c>
      <c r="F280" s="4" t="s">
        <v>30</v>
      </c>
      <c r="G280" s="4" t="s">
        <v>40</v>
      </c>
      <c r="H280" s="4" t="s">
        <v>41</v>
      </c>
      <c r="I280" s="6">
        <v>5</v>
      </c>
      <c r="J280" s="6">
        <v>17090</v>
      </c>
      <c r="K280" s="6">
        <v>11789.97</v>
      </c>
      <c r="L280" s="6">
        <v>5300.03</v>
      </c>
      <c r="M280" s="11">
        <f>Table13[[#This Row],[Profit]]/Table13[[#This Row],[Sales]]</f>
        <v>0.3101246342890579</v>
      </c>
      <c r="N280" s="6" t="str">
        <f>TEXT(Table13[[#This Row],[Order Date]],"mmm")</f>
        <v>Oct</v>
      </c>
      <c r="O280" s="6">
        <f>YEAR(Table13[[#This Row],[Order Date]])</f>
        <v>2025</v>
      </c>
    </row>
    <row r="281" spans="1:15" x14ac:dyDescent="0.3">
      <c r="A281" s="4" t="s">
        <v>686</v>
      </c>
      <c r="B281" s="5">
        <v>45772</v>
      </c>
      <c r="C281" s="4" t="s">
        <v>553</v>
      </c>
      <c r="D281" s="4" t="s">
        <v>580</v>
      </c>
      <c r="E281" s="4" t="s">
        <v>54</v>
      </c>
      <c r="F281" s="4" t="s">
        <v>55</v>
      </c>
      <c r="G281" s="4" t="s">
        <v>35</v>
      </c>
      <c r="H281" s="4" t="s">
        <v>45</v>
      </c>
      <c r="I281" s="6">
        <v>8</v>
      </c>
      <c r="J281" s="6">
        <v>32936</v>
      </c>
      <c r="K281" s="6">
        <v>19089.13</v>
      </c>
      <c r="L281" s="6">
        <v>13846.87</v>
      </c>
      <c r="M281" s="11">
        <f>Table13[[#This Row],[Profit]]/Table13[[#This Row],[Sales]]</f>
        <v>0.4204174763177071</v>
      </c>
      <c r="N281" s="6" t="str">
        <f>TEXT(Table13[[#This Row],[Order Date]],"mmm")</f>
        <v>Apr</v>
      </c>
      <c r="O281" s="6">
        <f>YEAR(Table13[[#This Row],[Order Date]])</f>
        <v>2025</v>
      </c>
    </row>
    <row r="282" spans="1:15" x14ac:dyDescent="0.3">
      <c r="A282" s="4" t="s">
        <v>687</v>
      </c>
      <c r="B282" s="5">
        <v>45441</v>
      </c>
      <c r="C282" s="4" t="s">
        <v>688</v>
      </c>
      <c r="D282" s="4" t="s">
        <v>689</v>
      </c>
      <c r="E282" s="4" t="s">
        <v>54</v>
      </c>
      <c r="F282" s="4" t="s">
        <v>55</v>
      </c>
      <c r="G282" s="4" t="s">
        <v>35</v>
      </c>
      <c r="H282" s="4" t="s">
        <v>36</v>
      </c>
      <c r="I282" s="6">
        <v>1</v>
      </c>
      <c r="J282" s="6">
        <v>4908</v>
      </c>
      <c r="K282" s="6">
        <v>3971.68</v>
      </c>
      <c r="L282" s="6">
        <v>936.32</v>
      </c>
      <c r="M282" s="11">
        <f>Table13[[#This Row],[Profit]]/Table13[[#This Row],[Sales]]</f>
        <v>0.19077424612876936</v>
      </c>
      <c r="N282" s="6" t="str">
        <f>TEXT(Table13[[#This Row],[Order Date]],"mmm")</f>
        <v>May</v>
      </c>
      <c r="O282" s="6">
        <f>YEAR(Table13[[#This Row],[Order Date]])</f>
        <v>2024</v>
      </c>
    </row>
    <row r="283" spans="1:15" x14ac:dyDescent="0.3">
      <c r="A283" s="4" t="s">
        <v>690</v>
      </c>
      <c r="B283" s="5">
        <v>45875</v>
      </c>
      <c r="C283" s="4" t="s">
        <v>197</v>
      </c>
      <c r="D283" s="4" t="s">
        <v>691</v>
      </c>
      <c r="E283" s="4" t="s">
        <v>22</v>
      </c>
      <c r="F283" s="4" t="s">
        <v>67</v>
      </c>
      <c r="G283" s="4" t="s">
        <v>24</v>
      </c>
      <c r="H283" s="4" t="s">
        <v>166</v>
      </c>
      <c r="I283" s="6">
        <v>4</v>
      </c>
      <c r="J283" s="6">
        <v>12008</v>
      </c>
      <c r="K283" s="6">
        <v>7433.02</v>
      </c>
      <c r="L283" s="6">
        <v>4574.9799999999996</v>
      </c>
      <c r="M283" s="11">
        <f>Table13[[#This Row],[Profit]]/Table13[[#This Row],[Sales]]</f>
        <v>0.38099433710859426</v>
      </c>
      <c r="N283" s="6" t="str">
        <f>TEXT(Table13[[#This Row],[Order Date]],"mmm")</f>
        <v>Aug</v>
      </c>
      <c r="O283" s="6">
        <f>YEAR(Table13[[#This Row],[Order Date]])</f>
        <v>2025</v>
      </c>
    </row>
    <row r="284" spans="1:15" x14ac:dyDescent="0.3">
      <c r="A284" s="4" t="s">
        <v>692</v>
      </c>
      <c r="B284" s="5">
        <v>45652</v>
      </c>
      <c r="C284" s="4" t="s">
        <v>570</v>
      </c>
      <c r="D284" s="4" t="s">
        <v>599</v>
      </c>
      <c r="E284" s="4" t="s">
        <v>54</v>
      </c>
      <c r="F284" s="4" t="s">
        <v>55</v>
      </c>
      <c r="G284" s="4" t="s">
        <v>35</v>
      </c>
      <c r="H284" s="4" t="s">
        <v>80</v>
      </c>
      <c r="I284" s="6">
        <v>8</v>
      </c>
      <c r="J284" s="6">
        <v>32600</v>
      </c>
      <c r="K284" s="6">
        <v>19575.330000000002</v>
      </c>
      <c r="L284" s="6">
        <v>13024.67</v>
      </c>
      <c r="M284" s="11">
        <f>Table13[[#This Row],[Profit]]/Table13[[#This Row],[Sales]]</f>
        <v>0.39952975460122697</v>
      </c>
      <c r="N284" s="6" t="str">
        <f>TEXT(Table13[[#This Row],[Order Date]],"mmm")</f>
        <v>Dec</v>
      </c>
      <c r="O284" s="6">
        <f>YEAR(Table13[[#This Row],[Order Date]])</f>
        <v>2024</v>
      </c>
    </row>
    <row r="285" spans="1:15" x14ac:dyDescent="0.3">
      <c r="A285" s="4" t="s">
        <v>693</v>
      </c>
      <c r="B285" s="5">
        <v>45368</v>
      </c>
      <c r="C285" s="4" t="s">
        <v>668</v>
      </c>
      <c r="D285" s="4" t="s">
        <v>28</v>
      </c>
      <c r="E285" s="4" t="s">
        <v>22</v>
      </c>
      <c r="F285" s="4" t="s">
        <v>23</v>
      </c>
      <c r="G285" s="4" t="s">
        <v>35</v>
      </c>
      <c r="H285" s="4" t="s">
        <v>45</v>
      </c>
      <c r="I285" s="6">
        <v>1</v>
      </c>
      <c r="J285" s="6">
        <v>4592</v>
      </c>
      <c r="K285" s="6">
        <v>2572.1999999999998</v>
      </c>
      <c r="L285" s="6">
        <v>2019.8</v>
      </c>
      <c r="M285" s="11">
        <f>Table13[[#This Row],[Profit]]/Table13[[#This Row],[Sales]]</f>
        <v>0.43985191637630661</v>
      </c>
      <c r="N285" s="6" t="str">
        <f>TEXT(Table13[[#This Row],[Order Date]],"mmm")</f>
        <v>Mar</v>
      </c>
      <c r="O285" s="6">
        <f>YEAR(Table13[[#This Row],[Order Date]])</f>
        <v>2024</v>
      </c>
    </row>
    <row r="286" spans="1:15" x14ac:dyDescent="0.3">
      <c r="A286" s="4" t="s">
        <v>694</v>
      </c>
      <c r="B286" s="5">
        <v>45301</v>
      </c>
      <c r="C286" s="4" t="s">
        <v>695</v>
      </c>
      <c r="D286" s="4" t="s">
        <v>696</v>
      </c>
      <c r="E286" s="4" t="s">
        <v>22</v>
      </c>
      <c r="F286" s="4" t="s">
        <v>23</v>
      </c>
      <c r="G286" s="4" t="s">
        <v>17</v>
      </c>
      <c r="H286" s="4" t="s">
        <v>31</v>
      </c>
      <c r="I286" s="6">
        <v>4</v>
      </c>
      <c r="J286" s="6">
        <v>3424</v>
      </c>
      <c r="K286" s="6">
        <v>2609.6</v>
      </c>
      <c r="L286" s="6">
        <v>814.4</v>
      </c>
      <c r="M286" s="11">
        <f>Table13[[#This Row],[Profit]]/Table13[[#This Row],[Sales]]</f>
        <v>0.23785046728971962</v>
      </c>
      <c r="N286" s="6" t="str">
        <f>TEXT(Table13[[#This Row],[Order Date]],"mmm")</f>
        <v>Jan</v>
      </c>
      <c r="O286" s="6">
        <f>YEAR(Table13[[#This Row],[Order Date]])</f>
        <v>2024</v>
      </c>
    </row>
    <row r="287" spans="1:15" x14ac:dyDescent="0.3">
      <c r="A287" s="4" t="s">
        <v>697</v>
      </c>
      <c r="B287" s="5">
        <v>45308</v>
      </c>
      <c r="C287" s="4" t="s">
        <v>435</v>
      </c>
      <c r="D287" s="4" t="s">
        <v>610</v>
      </c>
      <c r="E287" s="4" t="s">
        <v>22</v>
      </c>
      <c r="F287" s="4" t="s">
        <v>67</v>
      </c>
      <c r="G287" s="4" t="s">
        <v>24</v>
      </c>
      <c r="H287" s="4" t="s">
        <v>25</v>
      </c>
      <c r="I287" s="6">
        <v>10</v>
      </c>
      <c r="J287" s="6">
        <v>42580</v>
      </c>
      <c r="K287" s="6">
        <v>31840.7</v>
      </c>
      <c r="L287" s="6">
        <v>10739.3</v>
      </c>
      <c r="M287" s="11">
        <f>Table13[[#This Row],[Profit]]/Table13[[#This Row],[Sales]]</f>
        <v>0.25221465476749644</v>
      </c>
      <c r="N287" s="6" t="str">
        <f>TEXT(Table13[[#This Row],[Order Date]],"mmm")</f>
        <v>Jan</v>
      </c>
      <c r="O287" s="6">
        <f>YEAR(Table13[[#This Row],[Order Date]])</f>
        <v>2024</v>
      </c>
    </row>
    <row r="288" spans="1:15" x14ac:dyDescent="0.3">
      <c r="A288" s="4" t="s">
        <v>698</v>
      </c>
      <c r="B288" s="5">
        <v>45585</v>
      </c>
      <c r="C288" s="4" t="s">
        <v>688</v>
      </c>
      <c r="D288" s="4" t="s">
        <v>671</v>
      </c>
      <c r="E288" s="4" t="s">
        <v>22</v>
      </c>
      <c r="F288" s="4" t="s">
        <v>23</v>
      </c>
      <c r="G288" s="4" t="s">
        <v>24</v>
      </c>
      <c r="H288" s="4" t="s">
        <v>25</v>
      </c>
      <c r="I288" s="6">
        <v>9</v>
      </c>
      <c r="J288" s="6">
        <v>22950</v>
      </c>
      <c r="K288" s="6">
        <v>16311.06</v>
      </c>
      <c r="L288" s="6">
        <v>6638.94</v>
      </c>
      <c r="M288" s="11">
        <f>Table13[[#This Row],[Profit]]/Table13[[#This Row],[Sales]]</f>
        <v>0.28927843137254899</v>
      </c>
      <c r="N288" s="6" t="str">
        <f>TEXT(Table13[[#This Row],[Order Date]],"mmm")</f>
        <v>Oct</v>
      </c>
      <c r="O288" s="6">
        <f>YEAR(Table13[[#This Row],[Order Date]])</f>
        <v>2024</v>
      </c>
    </row>
    <row r="289" spans="1:15" x14ac:dyDescent="0.3">
      <c r="A289" s="4" t="s">
        <v>699</v>
      </c>
      <c r="B289" s="5">
        <v>45488</v>
      </c>
      <c r="C289" s="4" t="s">
        <v>700</v>
      </c>
      <c r="D289" s="4" t="s">
        <v>701</v>
      </c>
      <c r="E289" s="4" t="s">
        <v>22</v>
      </c>
      <c r="F289" s="4" t="s">
        <v>23</v>
      </c>
      <c r="G289" s="4" t="s">
        <v>24</v>
      </c>
      <c r="H289" s="4" t="s">
        <v>50</v>
      </c>
      <c r="I289" s="6">
        <v>2</v>
      </c>
      <c r="J289" s="6">
        <v>9190</v>
      </c>
      <c r="K289" s="6">
        <v>5465.01</v>
      </c>
      <c r="L289" s="6">
        <v>3724.99</v>
      </c>
      <c r="M289" s="11">
        <f>Table13[[#This Row],[Profit]]/Table13[[#This Row],[Sales]]</f>
        <v>0.40533079434167574</v>
      </c>
      <c r="N289" s="6" t="str">
        <f>TEXT(Table13[[#This Row],[Order Date]],"mmm")</f>
        <v>Jul</v>
      </c>
      <c r="O289" s="6">
        <f>YEAR(Table13[[#This Row],[Order Date]])</f>
        <v>2024</v>
      </c>
    </row>
    <row r="290" spans="1:15" x14ac:dyDescent="0.3">
      <c r="A290" s="4" t="s">
        <v>702</v>
      </c>
      <c r="B290" s="5">
        <v>45762</v>
      </c>
      <c r="C290" s="4" t="s">
        <v>134</v>
      </c>
      <c r="D290" s="4" t="s">
        <v>703</v>
      </c>
      <c r="E290" s="4" t="s">
        <v>54</v>
      </c>
      <c r="F290" s="4" t="s">
        <v>55</v>
      </c>
      <c r="G290" s="4" t="s">
        <v>35</v>
      </c>
      <c r="H290" s="4" t="s">
        <v>36</v>
      </c>
      <c r="I290" s="6">
        <v>2</v>
      </c>
      <c r="J290" s="6">
        <v>6712</v>
      </c>
      <c r="K290" s="6">
        <v>5623.24</v>
      </c>
      <c r="L290" s="6">
        <v>1088.76</v>
      </c>
      <c r="M290" s="11">
        <f>Table13[[#This Row],[Profit]]/Table13[[#This Row],[Sales]]</f>
        <v>0.16221096543504171</v>
      </c>
      <c r="N290" s="6" t="str">
        <f>TEXT(Table13[[#This Row],[Order Date]],"mmm")</f>
        <v>Apr</v>
      </c>
      <c r="O290" s="6">
        <f>YEAR(Table13[[#This Row],[Order Date]])</f>
        <v>2025</v>
      </c>
    </row>
    <row r="291" spans="1:15" x14ac:dyDescent="0.3">
      <c r="A291" s="4" t="s">
        <v>704</v>
      </c>
      <c r="B291" s="5">
        <v>45680</v>
      </c>
      <c r="C291" s="4" t="s">
        <v>705</v>
      </c>
      <c r="D291" s="4" t="s">
        <v>706</v>
      </c>
      <c r="E291" s="4" t="s">
        <v>29</v>
      </c>
      <c r="F291" s="4" t="s">
        <v>49</v>
      </c>
      <c r="G291" s="4" t="s">
        <v>17</v>
      </c>
      <c r="H291" s="4" t="s">
        <v>31</v>
      </c>
      <c r="I291" s="6">
        <v>2</v>
      </c>
      <c r="J291" s="6">
        <v>1118</v>
      </c>
      <c r="K291" s="6">
        <v>646.26</v>
      </c>
      <c r="L291" s="6">
        <v>471.74</v>
      </c>
      <c r="M291" s="11">
        <f>Table13[[#This Row],[Profit]]/Table13[[#This Row],[Sales]]</f>
        <v>0.42194991055456171</v>
      </c>
      <c r="N291" s="6" t="str">
        <f>TEXT(Table13[[#This Row],[Order Date]],"mmm")</f>
        <v>Jan</v>
      </c>
      <c r="O291" s="6">
        <f>YEAR(Table13[[#This Row],[Order Date]])</f>
        <v>2025</v>
      </c>
    </row>
    <row r="292" spans="1:15" x14ac:dyDescent="0.3">
      <c r="A292" s="4" t="s">
        <v>707</v>
      </c>
      <c r="B292" s="5">
        <v>45736</v>
      </c>
      <c r="C292" s="4" t="s">
        <v>104</v>
      </c>
      <c r="D292" s="4" t="s">
        <v>246</v>
      </c>
      <c r="E292" s="4" t="s">
        <v>22</v>
      </c>
      <c r="F292" s="4" t="s">
        <v>23</v>
      </c>
      <c r="G292" s="4" t="s">
        <v>17</v>
      </c>
      <c r="H292" s="4" t="s">
        <v>31</v>
      </c>
      <c r="I292" s="6">
        <v>1</v>
      </c>
      <c r="J292" s="6">
        <v>1703</v>
      </c>
      <c r="K292" s="6">
        <v>978.89</v>
      </c>
      <c r="L292" s="6">
        <v>724.11</v>
      </c>
      <c r="M292" s="11">
        <f>Table13[[#This Row],[Profit]]/Table13[[#This Row],[Sales]]</f>
        <v>0.4251967116852613</v>
      </c>
      <c r="N292" s="6" t="str">
        <f>TEXT(Table13[[#This Row],[Order Date]],"mmm")</f>
        <v>Mar</v>
      </c>
      <c r="O292" s="6">
        <f>YEAR(Table13[[#This Row],[Order Date]])</f>
        <v>2025</v>
      </c>
    </row>
    <row r="293" spans="1:15" x14ac:dyDescent="0.3">
      <c r="A293" s="4" t="s">
        <v>708</v>
      </c>
      <c r="B293" s="5">
        <v>46000</v>
      </c>
      <c r="C293" s="4" t="s">
        <v>634</v>
      </c>
      <c r="D293" s="4" t="s">
        <v>198</v>
      </c>
      <c r="E293" s="4" t="s">
        <v>15</v>
      </c>
      <c r="F293" s="4" t="s">
        <v>90</v>
      </c>
      <c r="G293" s="4" t="s">
        <v>24</v>
      </c>
      <c r="H293" s="4" t="s">
        <v>25</v>
      </c>
      <c r="I293" s="6">
        <v>4</v>
      </c>
      <c r="J293" s="6">
        <v>8124</v>
      </c>
      <c r="K293" s="6">
        <v>6664.78</v>
      </c>
      <c r="L293" s="6">
        <v>1459.22</v>
      </c>
      <c r="M293" s="11">
        <f>Table13[[#This Row],[Profit]]/Table13[[#This Row],[Sales]]</f>
        <v>0.17961841457410144</v>
      </c>
      <c r="N293" s="6" t="str">
        <f>TEXT(Table13[[#This Row],[Order Date]],"mmm")</f>
        <v>Dec</v>
      </c>
      <c r="O293" s="6">
        <f>YEAR(Table13[[#This Row],[Order Date]])</f>
        <v>2025</v>
      </c>
    </row>
    <row r="294" spans="1:15" x14ac:dyDescent="0.3">
      <c r="A294" s="4" t="s">
        <v>709</v>
      </c>
      <c r="B294" s="5">
        <v>45325</v>
      </c>
      <c r="C294" s="4" t="s">
        <v>710</v>
      </c>
      <c r="D294" s="4" t="s">
        <v>711</v>
      </c>
      <c r="E294" s="4" t="s">
        <v>54</v>
      </c>
      <c r="F294" s="4" t="s">
        <v>142</v>
      </c>
      <c r="G294" s="4" t="s">
        <v>24</v>
      </c>
      <c r="H294" s="4" t="s">
        <v>50</v>
      </c>
      <c r="I294" s="6">
        <v>5</v>
      </c>
      <c r="J294" s="6">
        <v>23740</v>
      </c>
      <c r="K294" s="6">
        <v>17070.32</v>
      </c>
      <c r="L294" s="6">
        <v>6669.68</v>
      </c>
      <c r="M294" s="11">
        <f>Table13[[#This Row],[Profit]]/Table13[[#This Row],[Sales]]</f>
        <v>0.2809469250210615</v>
      </c>
      <c r="N294" s="6" t="str">
        <f>TEXT(Table13[[#This Row],[Order Date]],"mmm")</f>
        <v>Feb</v>
      </c>
      <c r="O294" s="6">
        <f>YEAR(Table13[[#This Row],[Order Date]])</f>
        <v>2024</v>
      </c>
    </row>
    <row r="295" spans="1:15" x14ac:dyDescent="0.3">
      <c r="A295" s="4" t="s">
        <v>712</v>
      </c>
      <c r="B295" s="5">
        <v>45598</v>
      </c>
      <c r="C295" s="4" t="s">
        <v>498</v>
      </c>
      <c r="D295" s="4" t="s">
        <v>713</v>
      </c>
      <c r="E295" s="4" t="s">
        <v>15</v>
      </c>
      <c r="F295" s="4" t="s">
        <v>16</v>
      </c>
      <c r="G295" s="4" t="s">
        <v>17</v>
      </c>
      <c r="H295" s="4" t="s">
        <v>72</v>
      </c>
      <c r="I295" s="6">
        <v>3</v>
      </c>
      <c r="J295" s="6">
        <v>10686</v>
      </c>
      <c r="K295" s="6">
        <v>8855.09</v>
      </c>
      <c r="L295" s="6">
        <v>1830.91</v>
      </c>
      <c r="M295" s="11">
        <f>Table13[[#This Row],[Profit]]/Table13[[#This Row],[Sales]]</f>
        <v>0.17133726370952648</v>
      </c>
      <c r="N295" s="6" t="str">
        <f>TEXT(Table13[[#This Row],[Order Date]],"mmm")</f>
        <v>Nov</v>
      </c>
      <c r="O295" s="6">
        <f>YEAR(Table13[[#This Row],[Order Date]])</f>
        <v>2024</v>
      </c>
    </row>
    <row r="296" spans="1:15" x14ac:dyDescent="0.3">
      <c r="A296" s="4" t="s">
        <v>714</v>
      </c>
      <c r="B296" s="5">
        <v>45435</v>
      </c>
      <c r="C296" s="4" t="s">
        <v>461</v>
      </c>
      <c r="D296" s="4" t="s">
        <v>715</v>
      </c>
      <c r="E296" s="4" t="s">
        <v>29</v>
      </c>
      <c r="F296" s="4" t="s">
        <v>30</v>
      </c>
      <c r="G296" s="4" t="s">
        <v>35</v>
      </c>
      <c r="H296" s="4" t="s">
        <v>36</v>
      </c>
      <c r="I296" s="6">
        <v>9</v>
      </c>
      <c r="J296" s="6">
        <v>27153</v>
      </c>
      <c r="K296" s="6">
        <v>18060.919999999998</v>
      </c>
      <c r="L296" s="6">
        <v>9092.08</v>
      </c>
      <c r="M296" s="11">
        <f>Table13[[#This Row],[Profit]]/Table13[[#This Row],[Sales]]</f>
        <v>0.33484624166758736</v>
      </c>
      <c r="N296" s="6" t="str">
        <f>TEXT(Table13[[#This Row],[Order Date]],"mmm")</f>
        <v>May</v>
      </c>
      <c r="O296" s="6">
        <f>YEAR(Table13[[#This Row],[Order Date]])</f>
        <v>2024</v>
      </c>
    </row>
    <row r="297" spans="1:15" x14ac:dyDescent="0.3">
      <c r="A297" s="4" t="s">
        <v>716</v>
      </c>
      <c r="B297" s="5">
        <v>45640</v>
      </c>
      <c r="C297" s="4" t="s">
        <v>242</v>
      </c>
      <c r="D297" s="4" t="s">
        <v>232</v>
      </c>
      <c r="E297" s="4" t="s">
        <v>54</v>
      </c>
      <c r="F297" s="4" t="s">
        <v>142</v>
      </c>
      <c r="G297" s="4" t="s">
        <v>24</v>
      </c>
      <c r="H297" s="4" t="s">
        <v>50</v>
      </c>
      <c r="I297" s="6">
        <v>7</v>
      </c>
      <c r="J297" s="6">
        <v>15407</v>
      </c>
      <c r="K297" s="6">
        <v>12350.29</v>
      </c>
      <c r="L297" s="6">
        <v>3056.71</v>
      </c>
      <c r="M297" s="11">
        <f>Table13[[#This Row],[Profit]]/Table13[[#This Row],[Sales]]</f>
        <v>0.19839748166417862</v>
      </c>
      <c r="N297" s="6" t="str">
        <f>TEXT(Table13[[#This Row],[Order Date]],"mmm")</f>
        <v>Dec</v>
      </c>
      <c r="O297" s="6">
        <f>YEAR(Table13[[#This Row],[Order Date]])</f>
        <v>2024</v>
      </c>
    </row>
    <row r="298" spans="1:15" x14ac:dyDescent="0.3">
      <c r="A298" s="4" t="s">
        <v>717</v>
      </c>
      <c r="B298" s="5">
        <v>45858</v>
      </c>
      <c r="C298" s="4" t="s">
        <v>718</v>
      </c>
      <c r="D298" s="4" t="s">
        <v>719</v>
      </c>
      <c r="E298" s="4" t="s">
        <v>15</v>
      </c>
      <c r="F298" s="4" t="s">
        <v>90</v>
      </c>
      <c r="G298" s="4" t="s">
        <v>40</v>
      </c>
      <c r="H298" s="4" t="s">
        <v>99</v>
      </c>
      <c r="I298" s="6">
        <v>8</v>
      </c>
      <c r="J298" s="6">
        <v>34552</v>
      </c>
      <c r="K298" s="6">
        <v>21368.39</v>
      </c>
      <c r="L298" s="6">
        <v>13183.61</v>
      </c>
      <c r="M298" s="11">
        <f>Table13[[#This Row],[Profit]]/Table13[[#This Row],[Sales]]</f>
        <v>0.38155852049085437</v>
      </c>
      <c r="N298" s="6" t="str">
        <f>TEXT(Table13[[#This Row],[Order Date]],"mmm")</f>
        <v>Jul</v>
      </c>
      <c r="O298" s="6">
        <f>YEAR(Table13[[#This Row],[Order Date]])</f>
        <v>2025</v>
      </c>
    </row>
    <row r="299" spans="1:15" x14ac:dyDescent="0.3">
      <c r="A299" s="4" t="s">
        <v>720</v>
      </c>
      <c r="B299" s="5">
        <v>45594</v>
      </c>
      <c r="C299" s="4" t="s">
        <v>480</v>
      </c>
      <c r="D299" s="4" t="s">
        <v>681</v>
      </c>
      <c r="E299" s="4" t="s">
        <v>29</v>
      </c>
      <c r="F299" s="4" t="s">
        <v>30</v>
      </c>
      <c r="G299" s="4" t="s">
        <v>17</v>
      </c>
      <c r="H299" s="4" t="s">
        <v>72</v>
      </c>
      <c r="I299" s="6">
        <v>7</v>
      </c>
      <c r="J299" s="6">
        <v>7014</v>
      </c>
      <c r="K299" s="6">
        <v>5482.49</v>
      </c>
      <c r="L299" s="6">
        <v>1531.51</v>
      </c>
      <c r="M299" s="11">
        <f>Table13[[#This Row],[Profit]]/Table13[[#This Row],[Sales]]</f>
        <v>0.21835044197319647</v>
      </c>
      <c r="N299" s="6" t="str">
        <f>TEXT(Table13[[#This Row],[Order Date]],"mmm")</f>
        <v>Oct</v>
      </c>
      <c r="O299" s="6">
        <f>YEAR(Table13[[#This Row],[Order Date]])</f>
        <v>2024</v>
      </c>
    </row>
    <row r="300" spans="1:15" x14ac:dyDescent="0.3">
      <c r="A300" s="4" t="s">
        <v>721</v>
      </c>
      <c r="B300" s="5">
        <v>45616</v>
      </c>
      <c r="C300" s="4" t="s">
        <v>558</v>
      </c>
      <c r="D300" s="4" t="s">
        <v>722</v>
      </c>
      <c r="E300" s="4" t="s">
        <v>15</v>
      </c>
      <c r="F300" s="4" t="s">
        <v>63</v>
      </c>
      <c r="G300" s="4" t="s">
        <v>24</v>
      </c>
      <c r="H300" s="4" t="s">
        <v>166</v>
      </c>
      <c r="I300" s="6">
        <v>7</v>
      </c>
      <c r="J300" s="6">
        <v>10941</v>
      </c>
      <c r="K300" s="6">
        <v>8445.32</v>
      </c>
      <c r="L300" s="6">
        <v>2495.6799999999998</v>
      </c>
      <c r="M300" s="11">
        <f>Table13[[#This Row],[Profit]]/Table13[[#This Row],[Sales]]</f>
        <v>0.22810346403436613</v>
      </c>
      <c r="N300" s="6" t="str">
        <f>TEXT(Table13[[#This Row],[Order Date]],"mmm")</f>
        <v>Nov</v>
      </c>
      <c r="O300" s="6">
        <f>YEAR(Table13[[#This Row],[Order Date]])</f>
        <v>2024</v>
      </c>
    </row>
    <row r="301" spans="1:15" x14ac:dyDescent="0.3">
      <c r="A301" s="4" t="s">
        <v>723</v>
      </c>
      <c r="B301" s="5">
        <v>45396</v>
      </c>
      <c r="C301" s="4" t="s">
        <v>403</v>
      </c>
      <c r="D301" s="4" t="s">
        <v>14</v>
      </c>
      <c r="E301" s="4" t="s">
        <v>15</v>
      </c>
      <c r="F301" s="4" t="s">
        <v>16</v>
      </c>
      <c r="G301" s="4" t="s">
        <v>40</v>
      </c>
      <c r="H301" s="4" t="s">
        <v>99</v>
      </c>
      <c r="I301" s="6">
        <v>8</v>
      </c>
      <c r="J301" s="6">
        <v>25984</v>
      </c>
      <c r="K301" s="6">
        <v>20226.05</v>
      </c>
      <c r="L301" s="6">
        <v>5757.95</v>
      </c>
      <c r="M301" s="11">
        <f>Table13[[#This Row],[Profit]]/Table13[[#This Row],[Sales]]</f>
        <v>0.22159598214285714</v>
      </c>
      <c r="N301" s="6" t="str">
        <f>TEXT(Table13[[#This Row],[Order Date]],"mmm")</f>
        <v>Apr</v>
      </c>
      <c r="O301" s="6">
        <f>YEAR(Table13[[#This Row],[Order Date]])</f>
        <v>2024</v>
      </c>
    </row>
    <row r="302" spans="1:15" x14ac:dyDescent="0.3">
      <c r="A302" s="4" t="s">
        <v>724</v>
      </c>
      <c r="B302" s="5">
        <v>45397</v>
      </c>
      <c r="C302" s="4" t="s">
        <v>20</v>
      </c>
      <c r="D302" s="4" t="s">
        <v>725</v>
      </c>
      <c r="E302" s="4" t="s">
        <v>29</v>
      </c>
      <c r="F302" s="4" t="s">
        <v>49</v>
      </c>
      <c r="G302" s="4" t="s">
        <v>35</v>
      </c>
      <c r="H302" s="4" t="s">
        <v>80</v>
      </c>
      <c r="I302" s="6">
        <v>9</v>
      </c>
      <c r="J302" s="6">
        <v>43596</v>
      </c>
      <c r="K302" s="6">
        <v>30679.91</v>
      </c>
      <c r="L302" s="6">
        <v>12916.09</v>
      </c>
      <c r="M302" s="11">
        <f>Table13[[#This Row],[Profit]]/Table13[[#This Row],[Sales]]</f>
        <v>0.2962677768602624</v>
      </c>
      <c r="N302" s="6" t="str">
        <f>TEXT(Table13[[#This Row],[Order Date]],"mmm")</f>
        <v>Apr</v>
      </c>
      <c r="O302" s="6">
        <f>YEAR(Table13[[#This Row],[Order Date]])</f>
        <v>2024</v>
      </c>
    </row>
    <row r="303" spans="1:15" x14ac:dyDescent="0.3">
      <c r="A303" s="4" t="s">
        <v>726</v>
      </c>
      <c r="B303" s="5">
        <v>45304</v>
      </c>
      <c r="C303" s="4" t="s">
        <v>727</v>
      </c>
      <c r="D303" s="4" t="s">
        <v>728</v>
      </c>
      <c r="E303" s="4" t="s">
        <v>54</v>
      </c>
      <c r="F303" s="4" t="s">
        <v>71</v>
      </c>
      <c r="G303" s="4" t="s">
        <v>24</v>
      </c>
      <c r="H303" s="4" t="s">
        <v>50</v>
      </c>
      <c r="I303" s="6">
        <v>10</v>
      </c>
      <c r="J303" s="6">
        <v>29570</v>
      </c>
      <c r="K303" s="6">
        <v>23925.54</v>
      </c>
      <c r="L303" s="6">
        <v>5644.46</v>
      </c>
      <c r="M303" s="11">
        <f>Table13[[#This Row],[Profit]]/Table13[[#This Row],[Sales]]</f>
        <v>0.19088468041934392</v>
      </c>
      <c r="N303" s="6" t="str">
        <f>TEXT(Table13[[#This Row],[Order Date]],"mmm")</f>
        <v>Jan</v>
      </c>
      <c r="O303" s="6">
        <f>YEAR(Table13[[#This Row],[Order Date]])</f>
        <v>2024</v>
      </c>
    </row>
    <row r="304" spans="1:15" x14ac:dyDescent="0.3">
      <c r="A304" s="4" t="s">
        <v>729</v>
      </c>
      <c r="B304" s="5">
        <v>45465</v>
      </c>
      <c r="C304" s="4" t="s">
        <v>231</v>
      </c>
      <c r="D304" s="4" t="s">
        <v>730</v>
      </c>
      <c r="E304" s="4" t="s">
        <v>22</v>
      </c>
      <c r="F304" s="4" t="s">
        <v>23</v>
      </c>
      <c r="G304" s="4" t="s">
        <v>17</v>
      </c>
      <c r="H304" s="4" t="s">
        <v>18</v>
      </c>
      <c r="I304" s="6">
        <v>9</v>
      </c>
      <c r="J304" s="6">
        <v>20592</v>
      </c>
      <c r="K304" s="6">
        <v>14858.94</v>
      </c>
      <c r="L304" s="6">
        <v>5733.06</v>
      </c>
      <c r="M304" s="11">
        <f>Table13[[#This Row],[Profit]]/Table13[[#This Row],[Sales]]</f>
        <v>0.27841200466200466</v>
      </c>
      <c r="N304" s="6" t="str">
        <f>TEXT(Table13[[#This Row],[Order Date]],"mmm")</f>
        <v>Jun</v>
      </c>
      <c r="O304" s="6">
        <f>YEAR(Table13[[#This Row],[Order Date]])</f>
        <v>2024</v>
      </c>
    </row>
    <row r="305" spans="1:15" x14ac:dyDescent="0.3">
      <c r="A305" s="4" t="s">
        <v>731</v>
      </c>
      <c r="B305" s="5">
        <v>45463</v>
      </c>
      <c r="C305" s="4" t="s">
        <v>176</v>
      </c>
      <c r="D305" s="4" t="s">
        <v>401</v>
      </c>
      <c r="E305" s="4" t="s">
        <v>29</v>
      </c>
      <c r="F305" s="4" t="s">
        <v>49</v>
      </c>
      <c r="G305" s="4" t="s">
        <v>40</v>
      </c>
      <c r="H305" s="4" t="s">
        <v>99</v>
      </c>
      <c r="I305" s="6">
        <v>5</v>
      </c>
      <c r="J305" s="6">
        <v>21695</v>
      </c>
      <c r="K305" s="6">
        <v>12882.07</v>
      </c>
      <c r="L305" s="6">
        <v>8812.93</v>
      </c>
      <c r="M305" s="11">
        <f>Table13[[#This Row],[Profit]]/Table13[[#This Row],[Sales]]</f>
        <v>0.40621940539294771</v>
      </c>
      <c r="N305" s="6" t="str">
        <f>TEXT(Table13[[#This Row],[Order Date]],"mmm")</f>
        <v>Jun</v>
      </c>
      <c r="O305" s="6">
        <f>YEAR(Table13[[#This Row],[Order Date]])</f>
        <v>2024</v>
      </c>
    </row>
    <row r="306" spans="1:15" x14ac:dyDescent="0.3">
      <c r="A306" s="4" t="s">
        <v>732</v>
      </c>
      <c r="B306" s="5">
        <v>45544</v>
      </c>
      <c r="C306" s="4" t="s">
        <v>200</v>
      </c>
      <c r="D306" s="4" t="s">
        <v>733</v>
      </c>
      <c r="E306" s="4" t="s">
        <v>22</v>
      </c>
      <c r="F306" s="4" t="s">
        <v>67</v>
      </c>
      <c r="G306" s="4" t="s">
        <v>35</v>
      </c>
      <c r="H306" s="4" t="s">
        <v>80</v>
      </c>
      <c r="I306" s="6">
        <v>2</v>
      </c>
      <c r="J306" s="6">
        <v>6516</v>
      </c>
      <c r="K306" s="6">
        <v>4075.82</v>
      </c>
      <c r="L306" s="6">
        <v>2440.1799999999998</v>
      </c>
      <c r="M306" s="11">
        <f>Table13[[#This Row],[Profit]]/Table13[[#This Row],[Sales]]</f>
        <v>0.37449048496009818</v>
      </c>
      <c r="N306" s="6" t="str">
        <f>TEXT(Table13[[#This Row],[Order Date]],"mmm")</f>
        <v>Sep</v>
      </c>
      <c r="O306" s="6">
        <f>YEAR(Table13[[#This Row],[Order Date]])</f>
        <v>2024</v>
      </c>
    </row>
    <row r="307" spans="1:15" x14ac:dyDescent="0.3">
      <c r="A307" s="4" t="s">
        <v>734</v>
      </c>
      <c r="B307" s="5">
        <v>45632</v>
      </c>
      <c r="C307" s="4" t="s">
        <v>231</v>
      </c>
      <c r="D307" s="4" t="s">
        <v>172</v>
      </c>
      <c r="E307" s="4" t="s">
        <v>22</v>
      </c>
      <c r="F307" s="4" t="s">
        <v>23</v>
      </c>
      <c r="G307" s="4" t="s">
        <v>24</v>
      </c>
      <c r="H307" s="4" t="s">
        <v>166</v>
      </c>
      <c r="I307" s="6">
        <v>5</v>
      </c>
      <c r="J307" s="6">
        <v>1775</v>
      </c>
      <c r="K307" s="6">
        <v>1481.5</v>
      </c>
      <c r="L307" s="6">
        <v>293.5</v>
      </c>
      <c r="M307" s="11">
        <f>Table13[[#This Row],[Profit]]/Table13[[#This Row],[Sales]]</f>
        <v>0.16535211267605635</v>
      </c>
      <c r="N307" s="6" t="str">
        <f>TEXT(Table13[[#This Row],[Order Date]],"mmm")</f>
        <v>Dec</v>
      </c>
      <c r="O307" s="6">
        <f>YEAR(Table13[[#This Row],[Order Date]])</f>
        <v>2024</v>
      </c>
    </row>
    <row r="308" spans="1:15" x14ac:dyDescent="0.3">
      <c r="A308" s="4" t="s">
        <v>735</v>
      </c>
      <c r="B308" s="5">
        <v>45909</v>
      </c>
      <c r="C308" s="4" t="s">
        <v>503</v>
      </c>
      <c r="D308" s="4" t="s">
        <v>410</v>
      </c>
      <c r="E308" s="4" t="s">
        <v>22</v>
      </c>
      <c r="F308" s="4" t="s">
        <v>67</v>
      </c>
      <c r="G308" s="4" t="s">
        <v>35</v>
      </c>
      <c r="H308" s="4" t="s">
        <v>36</v>
      </c>
      <c r="I308" s="6">
        <v>10</v>
      </c>
      <c r="J308" s="6">
        <v>14150</v>
      </c>
      <c r="K308" s="6">
        <v>9057.85</v>
      </c>
      <c r="L308" s="6">
        <v>5092.1499999999996</v>
      </c>
      <c r="M308" s="11">
        <f>Table13[[#This Row],[Profit]]/Table13[[#This Row],[Sales]]</f>
        <v>0.35986925795052999</v>
      </c>
      <c r="N308" s="6" t="str">
        <f>TEXT(Table13[[#This Row],[Order Date]],"mmm")</f>
        <v>Sep</v>
      </c>
      <c r="O308" s="6">
        <f>YEAR(Table13[[#This Row],[Order Date]])</f>
        <v>2025</v>
      </c>
    </row>
    <row r="309" spans="1:15" x14ac:dyDescent="0.3">
      <c r="A309" s="4" t="s">
        <v>736</v>
      </c>
      <c r="B309" s="5">
        <v>45940</v>
      </c>
      <c r="C309" s="4" t="s">
        <v>737</v>
      </c>
      <c r="D309" s="4" t="s">
        <v>372</v>
      </c>
      <c r="E309" s="4" t="s">
        <v>54</v>
      </c>
      <c r="F309" s="4" t="s">
        <v>142</v>
      </c>
      <c r="G309" s="4" t="s">
        <v>35</v>
      </c>
      <c r="H309" s="4" t="s">
        <v>36</v>
      </c>
      <c r="I309" s="6">
        <v>6</v>
      </c>
      <c r="J309" s="6">
        <v>16122</v>
      </c>
      <c r="K309" s="6">
        <v>12421.39</v>
      </c>
      <c r="L309" s="6">
        <v>3700.61</v>
      </c>
      <c r="M309" s="11">
        <f>Table13[[#This Row],[Profit]]/Table13[[#This Row],[Sales]]</f>
        <v>0.22953789852375636</v>
      </c>
      <c r="N309" s="6" t="str">
        <f>TEXT(Table13[[#This Row],[Order Date]],"mmm")</f>
        <v>Oct</v>
      </c>
      <c r="O309" s="6">
        <f>YEAR(Table13[[#This Row],[Order Date]])</f>
        <v>2025</v>
      </c>
    </row>
    <row r="310" spans="1:15" x14ac:dyDescent="0.3">
      <c r="A310" s="4" t="s">
        <v>738</v>
      </c>
      <c r="B310" s="5">
        <v>45869</v>
      </c>
      <c r="C310" s="4" t="s">
        <v>503</v>
      </c>
      <c r="D310" s="4" t="s">
        <v>158</v>
      </c>
      <c r="E310" s="4" t="s">
        <v>29</v>
      </c>
      <c r="F310" s="4" t="s">
        <v>49</v>
      </c>
      <c r="G310" s="4" t="s">
        <v>35</v>
      </c>
      <c r="H310" s="4" t="s">
        <v>36</v>
      </c>
      <c r="I310" s="6">
        <v>5</v>
      </c>
      <c r="J310" s="6">
        <v>17590</v>
      </c>
      <c r="K310" s="6">
        <v>11600.69</v>
      </c>
      <c r="L310" s="6">
        <v>5989.31</v>
      </c>
      <c r="M310" s="11">
        <f>Table13[[#This Row],[Profit]]/Table13[[#This Row],[Sales]]</f>
        <v>0.34049516770892557</v>
      </c>
      <c r="N310" s="6" t="str">
        <f>TEXT(Table13[[#This Row],[Order Date]],"mmm")</f>
        <v>Jul</v>
      </c>
      <c r="O310" s="6">
        <f>YEAR(Table13[[#This Row],[Order Date]])</f>
        <v>2025</v>
      </c>
    </row>
    <row r="311" spans="1:15" x14ac:dyDescent="0.3">
      <c r="A311" s="4" t="s">
        <v>739</v>
      </c>
      <c r="B311" s="5">
        <v>45506</v>
      </c>
      <c r="C311" s="4" t="s">
        <v>144</v>
      </c>
      <c r="D311" s="4" t="s">
        <v>332</v>
      </c>
      <c r="E311" s="4" t="s">
        <v>29</v>
      </c>
      <c r="F311" s="4" t="s">
        <v>30</v>
      </c>
      <c r="G311" s="4" t="s">
        <v>35</v>
      </c>
      <c r="H311" s="4" t="s">
        <v>45</v>
      </c>
      <c r="I311" s="6">
        <v>1</v>
      </c>
      <c r="J311" s="6">
        <v>4081</v>
      </c>
      <c r="K311" s="6">
        <v>3399.03</v>
      </c>
      <c r="L311" s="6">
        <v>681.97</v>
      </c>
      <c r="M311" s="11">
        <f>Table13[[#This Row],[Profit]]/Table13[[#This Row],[Sales]]</f>
        <v>0.16710855182553297</v>
      </c>
      <c r="N311" s="6" t="str">
        <f>TEXT(Table13[[#This Row],[Order Date]],"mmm")</f>
        <v>Aug</v>
      </c>
      <c r="O311" s="6">
        <f>YEAR(Table13[[#This Row],[Order Date]])</f>
        <v>2024</v>
      </c>
    </row>
    <row r="312" spans="1:15" x14ac:dyDescent="0.3">
      <c r="A312" s="4" t="s">
        <v>740</v>
      </c>
      <c r="B312" s="5">
        <v>45539</v>
      </c>
      <c r="C312" s="4" t="s">
        <v>234</v>
      </c>
      <c r="D312" s="4" t="s">
        <v>645</v>
      </c>
      <c r="E312" s="4" t="s">
        <v>15</v>
      </c>
      <c r="F312" s="4" t="s">
        <v>63</v>
      </c>
      <c r="G312" s="4" t="s">
        <v>17</v>
      </c>
      <c r="H312" s="4" t="s">
        <v>31</v>
      </c>
      <c r="I312" s="6">
        <v>8</v>
      </c>
      <c r="J312" s="6">
        <v>11520</v>
      </c>
      <c r="K312" s="6">
        <v>8524.81</v>
      </c>
      <c r="L312" s="6">
        <v>2995.19</v>
      </c>
      <c r="M312" s="11">
        <f>Table13[[#This Row],[Profit]]/Table13[[#This Row],[Sales]]</f>
        <v>0.25999913194444446</v>
      </c>
      <c r="N312" s="6" t="str">
        <f>TEXT(Table13[[#This Row],[Order Date]],"mmm")</f>
        <v>Sep</v>
      </c>
      <c r="O312" s="6">
        <f>YEAR(Table13[[#This Row],[Order Date]])</f>
        <v>2024</v>
      </c>
    </row>
    <row r="313" spans="1:15" x14ac:dyDescent="0.3">
      <c r="A313" s="4" t="s">
        <v>741</v>
      </c>
      <c r="B313" s="5">
        <v>45839</v>
      </c>
      <c r="C313" s="4" t="s">
        <v>495</v>
      </c>
      <c r="D313" s="4" t="s">
        <v>223</v>
      </c>
      <c r="E313" s="4" t="s">
        <v>22</v>
      </c>
      <c r="F313" s="4" t="s">
        <v>67</v>
      </c>
      <c r="G313" s="4" t="s">
        <v>24</v>
      </c>
      <c r="H313" s="4" t="s">
        <v>50</v>
      </c>
      <c r="I313" s="6">
        <v>8</v>
      </c>
      <c r="J313" s="6">
        <v>33800</v>
      </c>
      <c r="K313" s="6">
        <v>24493.95</v>
      </c>
      <c r="L313" s="6">
        <v>9306.0499999999993</v>
      </c>
      <c r="M313" s="11">
        <f>Table13[[#This Row],[Profit]]/Table13[[#This Row],[Sales]]</f>
        <v>0.27532692307692308</v>
      </c>
      <c r="N313" s="6" t="str">
        <f>TEXT(Table13[[#This Row],[Order Date]],"mmm")</f>
        <v>Jul</v>
      </c>
      <c r="O313" s="6">
        <f>YEAR(Table13[[#This Row],[Order Date]])</f>
        <v>2025</v>
      </c>
    </row>
    <row r="314" spans="1:15" x14ac:dyDescent="0.3">
      <c r="A314" s="4" t="s">
        <v>742</v>
      </c>
      <c r="B314" s="5">
        <v>45546</v>
      </c>
      <c r="C314" s="4" t="s">
        <v>110</v>
      </c>
      <c r="D314" s="4" t="s">
        <v>743</v>
      </c>
      <c r="E314" s="4" t="s">
        <v>15</v>
      </c>
      <c r="F314" s="4" t="s">
        <v>63</v>
      </c>
      <c r="G314" s="4" t="s">
        <v>17</v>
      </c>
      <c r="H314" s="4" t="s">
        <v>18</v>
      </c>
      <c r="I314" s="6">
        <v>9</v>
      </c>
      <c r="J314" s="6">
        <v>8964</v>
      </c>
      <c r="K314" s="6">
        <v>5224.32</v>
      </c>
      <c r="L314" s="6">
        <v>3739.68</v>
      </c>
      <c r="M314" s="11">
        <f>Table13[[#This Row],[Profit]]/Table13[[#This Row],[Sales]]</f>
        <v>0.41718875502008029</v>
      </c>
      <c r="N314" s="6" t="str">
        <f>TEXT(Table13[[#This Row],[Order Date]],"mmm")</f>
        <v>Sep</v>
      </c>
      <c r="O314" s="6">
        <f>YEAR(Table13[[#This Row],[Order Date]])</f>
        <v>2024</v>
      </c>
    </row>
    <row r="315" spans="1:15" x14ac:dyDescent="0.3">
      <c r="A315" s="4" t="s">
        <v>744</v>
      </c>
      <c r="B315" s="5">
        <v>45732</v>
      </c>
      <c r="C315" s="4" t="s">
        <v>745</v>
      </c>
      <c r="D315" s="4" t="s">
        <v>746</v>
      </c>
      <c r="E315" s="4" t="s">
        <v>15</v>
      </c>
      <c r="F315" s="4" t="s">
        <v>90</v>
      </c>
      <c r="G315" s="4" t="s">
        <v>17</v>
      </c>
      <c r="H315" s="4" t="s">
        <v>31</v>
      </c>
      <c r="I315" s="6">
        <v>7</v>
      </c>
      <c r="J315" s="6">
        <v>21112</v>
      </c>
      <c r="K315" s="6">
        <v>17728.060000000001</v>
      </c>
      <c r="L315" s="6">
        <v>3383.94</v>
      </c>
      <c r="M315" s="11">
        <f>Table13[[#This Row],[Profit]]/Table13[[#This Row],[Sales]]</f>
        <v>0.16028514588859416</v>
      </c>
      <c r="N315" s="6" t="str">
        <f>TEXT(Table13[[#This Row],[Order Date]],"mmm")</f>
        <v>Mar</v>
      </c>
      <c r="O315" s="6">
        <f>YEAR(Table13[[#This Row],[Order Date]])</f>
        <v>2025</v>
      </c>
    </row>
    <row r="316" spans="1:15" x14ac:dyDescent="0.3">
      <c r="A316" s="4" t="s">
        <v>747</v>
      </c>
      <c r="B316" s="5">
        <v>45996</v>
      </c>
      <c r="C316" s="4" t="s">
        <v>748</v>
      </c>
      <c r="D316" s="4" t="s">
        <v>749</v>
      </c>
      <c r="E316" s="4" t="s">
        <v>15</v>
      </c>
      <c r="F316" s="4" t="s">
        <v>63</v>
      </c>
      <c r="G316" s="4" t="s">
        <v>40</v>
      </c>
      <c r="H316" s="4" t="s">
        <v>56</v>
      </c>
      <c r="I316" s="6">
        <v>9</v>
      </c>
      <c r="J316" s="6">
        <v>40941</v>
      </c>
      <c r="K316" s="6">
        <v>29370.99</v>
      </c>
      <c r="L316" s="6">
        <v>11570.01</v>
      </c>
      <c r="M316" s="11">
        <f>Table13[[#This Row],[Profit]]/Table13[[#This Row],[Sales]]</f>
        <v>0.282602037077746</v>
      </c>
      <c r="N316" s="6" t="str">
        <f>TEXT(Table13[[#This Row],[Order Date]],"mmm")</f>
        <v>Dec</v>
      </c>
      <c r="O316" s="6">
        <f>YEAR(Table13[[#This Row],[Order Date]])</f>
        <v>2025</v>
      </c>
    </row>
    <row r="317" spans="1:15" x14ac:dyDescent="0.3">
      <c r="A317" s="4" t="s">
        <v>750</v>
      </c>
      <c r="B317" s="5">
        <v>45317</v>
      </c>
      <c r="C317" s="4" t="s">
        <v>751</v>
      </c>
      <c r="D317" s="4" t="s">
        <v>147</v>
      </c>
      <c r="E317" s="4" t="s">
        <v>22</v>
      </c>
      <c r="F317" s="4" t="s">
        <v>67</v>
      </c>
      <c r="G317" s="4" t="s">
        <v>35</v>
      </c>
      <c r="H317" s="4" t="s">
        <v>36</v>
      </c>
      <c r="I317" s="6">
        <v>8</v>
      </c>
      <c r="J317" s="6">
        <v>35192</v>
      </c>
      <c r="K317" s="6">
        <v>20947.099999999999</v>
      </c>
      <c r="L317" s="6">
        <v>14244.9</v>
      </c>
      <c r="M317" s="11">
        <f>Table13[[#This Row],[Profit]]/Table13[[#This Row],[Sales]]</f>
        <v>0.40477665378495109</v>
      </c>
      <c r="N317" s="6" t="str">
        <f>TEXT(Table13[[#This Row],[Order Date]],"mmm")</f>
        <v>Jan</v>
      </c>
      <c r="O317" s="6">
        <f>YEAR(Table13[[#This Row],[Order Date]])</f>
        <v>2024</v>
      </c>
    </row>
    <row r="318" spans="1:15" x14ac:dyDescent="0.3">
      <c r="A318" s="4" t="s">
        <v>752</v>
      </c>
      <c r="B318" s="5">
        <v>45643</v>
      </c>
      <c r="C318" s="4" t="s">
        <v>753</v>
      </c>
      <c r="D318" s="4" t="s">
        <v>754</v>
      </c>
      <c r="E318" s="4" t="s">
        <v>54</v>
      </c>
      <c r="F318" s="4" t="s">
        <v>55</v>
      </c>
      <c r="G318" s="4" t="s">
        <v>24</v>
      </c>
      <c r="H318" s="4" t="s">
        <v>50</v>
      </c>
      <c r="I318" s="6">
        <v>2</v>
      </c>
      <c r="J318" s="6">
        <v>2920</v>
      </c>
      <c r="K318" s="6">
        <v>1911.14</v>
      </c>
      <c r="L318" s="6">
        <v>1008.86</v>
      </c>
      <c r="M318" s="11">
        <f>Table13[[#This Row],[Profit]]/Table13[[#This Row],[Sales]]</f>
        <v>0.34550000000000003</v>
      </c>
      <c r="N318" s="6" t="str">
        <f>TEXT(Table13[[#This Row],[Order Date]],"mmm")</f>
        <v>Dec</v>
      </c>
      <c r="O318" s="6">
        <f>YEAR(Table13[[#This Row],[Order Date]])</f>
        <v>2024</v>
      </c>
    </row>
    <row r="319" spans="1:15" x14ac:dyDescent="0.3">
      <c r="A319" s="4" t="s">
        <v>755</v>
      </c>
      <c r="B319" s="5">
        <v>45755</v>
      </c>
      <c r="C319" s="4" t="s">
        <v>553</v>
      </c>
      <c r="D319" s="4" t="s">
        <v>527</v>
      </c>
      <c r="E319" s="4" t="s">
        <v>22</v>
      </c>
      <c r="F319" s="4" t="s">
        <v>67</v>
      </c>
      <c r="G319" s="4" t="s">
        <v>35</v>
      </c>
      <c r="H319" s="4" t="s">
        <v>80</v>
      </c>
      <c r="I319" s="6">
        <v>2</v>
      </c>
      <c r="J319" s="6">
        <v>7778</v>
      </c>
      <c r="K319" s="6">
        <v>5962.6</v>
      </c>
      <c r="L319" s="6">
        <v>1815.4</v>
      </c>
      <c r="M319" s="11">
        <f>Table13[[#This Row],[Profit]]/Table13[[#This Row],[Sales]]</f>
        <v>0.23340190280277706</v>
      </c>
      <c r="N319" s="6" t="str">
        <f>TEXT(Table13[[#This Row],[Order Date]],"mmm")</f>
        <v>Apr</v>
      </c>
      <c r="O319" s="6">
        <f>YEAR(Table13[[#This Row],[Order Date]])</f>
        <v>2025</v>
      </c>
    </row>
    <row r="320" spans="1:15" x14ac:dyDescent="0.3">
      <c r="A320" s="4" t="s">
        <v>756</v>
      </c>
      <c r="B320" s="5">
        <v>45955</v>
      </c>
      <c r="C320" s="4" t="s">
        <v>113</v>
      </c>
      <c r="D320" s="4" t="s">
        <v>121</v>
      </c>
      <c r="E320" s="4" t="s">
        <v>54</v>
      </c>
      <c r="F320" s="4" t="s">
        <v>142</v>
      </c>
      <c r="G320" s="4" t="s">
        <v>17</v>
      </c>
      <c r="H320" s="4" t="s">
        <v>18</v>
      </c>
      <c r="I320" s="6">
        <v>2</v>
      </c>
      <c r="J320" s="6">
        <v>970</v>
      </c>
      <c r="K320" s="6">
        <v>780.61</v>
      </c>
      <c r="L320" s="6">
        <v>189.39</v>
      </c>
      <c r="M320" s="11">
        <f>Table13[[#This Row],[Profit]]/Table13[[#This Row],[Sales]]</f>
        <v>0.19524742268041237</v>
      </c>
      <c r="N320" s="6" t="str">
        <f>TEXT(Table13[[#This Row],[Order Date]],"mmm")</f>
        <v>Oct</v>
      </c>
      <c r="O320" s="6">
        <f>YEAR(Table13[[#This Row],[Order Date]])</f>
        <v>2025</v>
      </c>
    </row>
    <row r="321" spans="1:15" x14ac:dyDescent="0.3">
      <c r="A321" s="4" t="s">
        <v>757</v>
      </c>
      <c r="B321" s="5">
        <v>45728</v>
      </c>
      <c r="C321" s="4" t="s">
        <v>116</v>
      </c>
      <c r="D321" s="4" t="s">
        <v>365</v>
      </c>
      <c r="E321" s="4" t="s">
        <v>29</v>
      </c>
      <c r="F321" s="4" t="s">
        <v>30</v>
      </c>
      <c r="G321" s="4" t="s">
        <v>24</v>
      </c>
      <c r="H321" s="4" t="s">
        <v>166</v>
      </c>
      <c r="I321" s="6">
        <v>9</v>
      </c>
      <c r="J321" s="6">
        <v>14499</v>
      </c>
      <c r="K321" s="6">
        <v>9414.16</v>
      </c>
      <c r="L321" s="6">
        <v>5084.84</v>
      </c>
      <c r="M321" s="11">
        <f>Table13[[#This Row],[Profit]]/Table13[[#This Row],[Sales]]</f>
        <v>0.35070280709014418</v>
      </c>
      <c r="N321" s="6" t="str">
        <f>TEXT(Table13[[#This Row],[Order Date]],"mmm")</f>
        <v>Mar</v>
      </c>
      <c r="O321" s="6">
        <f>YEAR(Table13[[#This Row],[Order Date]])</f>
        <v>2025</v>
      </c>
    </row>
    <row r="322" spans="1:15" x14ac:dyDescent="0.3">
      <c r="A322" s="4" t="s">
        <v>758</v>
      </c>
      <c r="B322" s="5">
        <v>45920</v>
      </c>
      <c r="C322" s="4" t="s">
        <v>301</v>
      </c>
      <c r="D322" s="4" t="s">
        <v>563</v>
      </c>
      <c r="E322" s="4" t="s">
        <v>22</v>
      </c>
      <c r="F322" s="4" t="s">
        <v>79</v>
      </c>
      <c r="G322" s="4" t="s">
        <v>24</v>
      </c>
      <c r="H322" s="4" t="s">
        <v>166</v>
      </c>
      <c r="I322" s="6">
        <v>3</v>
      </c>
      <c r="J322" s="6">
        <v>11520</v>
      </c>
      <c r="K322" s="6">
        <v>7703.13</v>
      </c>
      <c r="L322" s="6">
        <v>3816.87</v>
      </c>
      <c r="M322" s="11">
        <f>Table13[[#This Row],[Profit]]/Table13[[#This Row],[Sales]]</f>
        <v>0.33132552083333333</v>
      </c>
      <c r="N322" s="6" t="str">
        <f>TEXT(Table13[[#This Row],[Order Date]],"mmm")</f>
        <v>Sep</v>
      </c>
      <c r="O322" s="6">
        <f>YEAR(Table13[[#This Row],[Order Date]])</f>
        <v>2025</v>
      </c>
    </row>
    <row r="323" spans="1:15" x14ac:dyDescent="0.3">
      <c r="A323" s="4" t="s">
        <v>759</v>
      </c>
      <c r="B323" s="5">
        <v>46012</v>
      </c>
      <c r="C323" s="4" t="s">
        <v>74</v>
      </c>
      <c r="D323" s="4" t="s">
        <v>311</v>
      </c>
      <c r="E323" s="4" t="s">
        <v>22</v>
      </c>
      <c r="F323" s="4" t="s">
        <v>67</v>
      </c>
      <c r="G323" s="4" t="s">
        <v>24</v>
      </c>
      <c r="H323" s="4" t="s">
        <v>25</v>
      </c>
      <c r="I323" s="6">
        <v>4</v>
      </c>
      <c r="J323" s="6">
        <v>7940</v>
      </c>
      <c r="K323" s="6">
        <v>5030.0200000000004</v>
      </c>
      <c r="L323" s="6">
        <v>2909.98</v>
      </c>
      <c r="M323" s="11">
        <f>Table13[[#This Row],[Profit]]/Table13[[#This Row],[Sales]]</f>
        <v>0.36649622166246854</v>
      </c>
      <c r="N323" s="6" t="str">
        <f>TEXT(Table13[[#This Row],[Order Date]],"mmm")</f>
        <v>Dec</v>
      </c>
      <c r="O323" s="6">
        <f>YEAR(Table13[[#This Row],[Order Date]])</f>
        <v>2025</v>
      </c>
    </row>
    <row r="324" spans="1:15" x14ac:dyDescent="0.3">
      <c r="A324" s="4" t="s">
        <v>760</v>
      </c>
      <c r="B324" s="5">
        <v>45408</v>
      </c>
      <c r="C324" s="4" t="s">
        <v>761</v>
      </c>
      <c r="D324" s="4" t="s">
        <v>762</v>
      </c>
      <c r="E324" s="4" t="s">
        <v>15</v>
      </c>
      <c r="F324" s="4" t="s">
        <v>90</v>
      </c>
      <c r="G324" s="4" t="s">
        <v>24</v>
      </c>
      <c r="H324" s="4" t="s">
        <v>166</v>
      </c>
      <c r="I324" s="6">
        <v>6</v>
      </c>
      <c r="J324" s="6">
        <v>17820</v>
      </c>
      <c r="K324" s="6">
        <v>10854.56</v>
      </c>
      <c r="L324" s="6">
        <v>6965.44</v>
      </c>
      <c r="M324" s="11">
        <f>Table13[[#This Row],[Profit]]/Table13[[#This Row],[Sales]]</f>
        <v>0.39087766554433218</v>
      </c>
      <c r="N324" s="6" t="str">
        <f>TEXT(Table13[[#This Row],[Order Date]],"mmm")</f>
        <v>Apr</v>
      </c>
      <c r="O324" s="6">
        <f>YEAR(Table13[[#This Row],[Order Date]])</f>
        <v>2024</v>
      </c>
    </row>
    <row r="325" spans="1:15" x14ac:dyDescent="0.3">
      <c r="A325" s="4" t="s">
        <v>763</v>
      </c>
      <c r="B325" s="5">
        <v>45648</v>
      </c>
      <c r="C325" s="4" t="s">
        <v>764</v>
      </c>
      <c r="D325" s="4" t="s">
        <v>138</v>
      </c>
      <c r="E325" s="4" t="s">
        <v>54</v>
      </c>
      <c r="F325" s="4" t="s">
        <v>71</v>
      </c>
      <c r="G325" s="4" t="s">
        <v>35</v>
      </c>
      <c r="H325" s="4" t="s">
        <v>36</v>
      </c>
      <c r="I325" s="6">
        <v>10</v>
      </c>
      <c r="J325" s="6">
        <v>35150</v>
      </c>
      <c r="K325" s="6">
        <v>25522.46</v>
      </c>
      <c r="L325" s="6">
        <v>9627.5400000000009</v>
      </c>
      <c r="M325" s="11">
        <f>Table13[[#This Row],[Profit]]/Table13[[#This Row],[Sales]]</f>
        <v>0.27389871977240399</v>
      </c>
      <c r="N325" s="6" t="str">
        <f>TEXT(Table13[[#This Row],[Order Date]],"mmm")</f>
        <v>Dec</v>
      </c>
      <c r="O325" s="6">
        <f>YEAR(Table13[[#This Row],[Order Date]])</f>
        <v>2024</v>
      </c>
    </row>
    <row r="326" spans="1:15" x14ac:dyDescent="0.3">
      <c r="A326" s="4" t="s">
        <v>765</v>
      </c>
      <c r="B326" s="5">
        <v>45612</v>
      </c>
      <c r="C326" s="4" t="s">
        <v>550</v>
      </c>
      <c r="D326" s="4" t="s">
        <v>89</v>
      </c>
      <c r="E326" s="4" t="s">
        <v>29</v>
      </c>
      <c r="F326" s="4" t="s">
        <v>30</v>
      </c>
      <c r="G326" s="4" t="s">
        <v>17</v>
      </c>
      <c r="H326" s="4" t="s">
        <v>18</v>
      </c>
      <c r="I326" s="6">
        <v>5</v>
      </c>
      <c r="J326" s="6">
        <v>4970</v>
      </c>
      <c r="K326" s="6">
        <v>3735.62</v>
      </c>
      <c r="L326" s="6">
        <v>1234.3800000000001</v>
      </c>
      <c r="M326" s="11">
        <f>Table13[[#This Row],[Profit]]/Table13[[#This Row],[Sales]]</f>
        <v>0.2483661971830986</v>
      </c>
      <c r="N326" s="6" t="str">
        <f>TEXT(Table13[[#This Row],[Order Date]],"mmm")</f>
        <v>Nov</v>
      </c>
      <c r="O326" s="6">
        <f>YEAR(Table13[[#This Row],[Order Date]])</f>
        <v>2024</v>
      </c>
    </row>
    <row r="327" spans="1:15" x14ac:dyDescent="0.3">
      <c r="A327" s="4" t="s">
        <v>766</v>
      </c>
      <c r="B327" s="5">
        <v>45720</v>
      </c>
      <c r="C327" s="4" t="s">
        <v>449</v>
      </c>
      <c r="D327" s="4" t="s">
        <v>372</v>
      </c>
      <c r="E327" s="4" t="s">
        <v>54</v>
      </c>
      <c r="F327" s="4" t="s">
        <v>142</v>
      </c>
      <c r="G327" s="4" t="s">
        <v>24</v>
      </c>
      <c r="H327" s="4" t="s">
        <v>166</v>
      </c>
      <c r="I327" s="6">
        <v>6</v>
      </c>
      <c r="J327" s="6">
        <v>8748</v>
      </c>
      <c r="K327" s="6">
        <v>6152.01</v>
      </c>
      <c r="L327" s="6">
        <v>2595.9899999999998</v>
      </c>
      <c r="M327" s="11">
        <f>Table13[[#This Row],[Profit]]/Table13[[#This Row],[Sales]]</f>
        <v>0.29675240054869684</v>
      </c>
      <c r="N327" s="6" t="str">
        <f>TEXT(Table13[[#This Row],[Order Date]],"mmm")</f>
        <v>Mar</v>
      </c>
      <c r="O327" s="6">
        <f>YEAR(Table13[[#This Row],[Order Date]])</f>
        <v>2025</v>
      </c>
    </row>
    <row r="328" spans="1:15" x14ac:dyDescent="0.3">
      <c r="A328" s="4" t="s">
        <v>767</v>
      </c>
      <c r="B328" s="5">
        <v>45952</v>
      </c>
      <c r="C328" s="4" t="s">
        <v>768</v>
      </c>
      <c r="D328" s="4" t="s">
        <v>769</v>
      </c>
      <c r="E328" s="4" t="s">
        <v>22</v>
      </c>
      <c r="F328" s="4" t="s">
        <v>67</v>
      </c>
      <c r="G328" s="4" t="s">
        <v>24</v>
      </c>
      <c r="H328" s="4" t="s">
        <v>166</v>
      </c>
      <c r="I328" s="6">
        <v>8</v>
      </c>
      <c r="J328" s="6">
        <v>37616</v>
      </c>
      <c r="K328" s="6">
        <v>28514.05</v>
      </c>
      <c r="L328" s="6">
        <v>9101.9500000000007</v>
      </c>
      <c r="M328" s="11">
        <f>Table13[[#This Row],[Profit]]/Table13[[#This Row],[Sales]]</f>
        <v>0.24197017226712039</v>
      </c>
      <c r="N328" s="6" t="str">
        <f>TEXT(Table13[[#This Row],[Order Date]],"mmm")</f>
        <v>Oct</v>
      </c>
      <c r="O328" s="6">
        <f>YEAR(Table13[[#This Row],[Order Date]])</f>
        <v>2025</v>
      </c>
    </row>
    <row r="329" spans="1:15" x14ac:dyDescent="0.3">
      <c r="A329" s="4" t="s">
        <v>770</v>
      </c>
      <c r="B329" s="5">
        <v>45753</v>
      </c>
      <c r="C329" s="4" t="s">
        <v>771</v>
      </c>
      <c r="D329" s="4" t="s">
        <v>359</v>
      </c>
      <c r="E329" s="4" t="s">
        <v>29</v>
      </c>
      <c r="F329" s="4" t="s">
        <v>49</v>
      </c>
      <c r="G329" s="4" t="s">
        <v>40</v>
      </c>
      <c r="H329" s="4" t="s">
        <v>99</v>
      </c>
      <c r="I329" s="6">
        <v>3</v>
      </c>
      <c r="J329" s="6">
        <v>5496</v>
      </c>
      <c r="K329" s="6">
        <v>3541.48</v>
      </c>
      <c r="L329" s="6">
        <v>1954.52</v>
      </c>
      <c r="M329" s="11">
        <f>Table13[[#This Row],[Profit]]/Table13[[#This Row],[Sales]]</f>
        <v>0.35562590975254732</v>
      </c>
      <c r="N329" s="6" t="str">
        <f>TEXT(Table13[[#This Row],[Order Date]],"mmm")</f>
        <v>Apr</v>
      </c>
      <c r="O329" s="6">
        <f>YEAR(Table13[[#This Row],[Order Date]])</f>
        <v>2025</v>
      </c>
    </row>
    <row r="330" spans="1:15" x14ac:dyDescent="0.3">
      <c r="A330" s="4" t="s">
        <v>772</v>
      </c>
      <c r="B330" s="5">
        <v>45809</v>
      </c>
      <c r="C330" s="4" t="s">
        <v>200</v>
      </c>
      <c r="D330" s="4" t="s">
        <v>484</v>
      </c>
      <c r="E330" s="4" t="s">
        <v>15</v>
      </c>
      <c r="F330" s="4" t="s">
        <v>63</v>
      </c>
      <c r="G330" s="4" t="s">
        <v>24</v>
      </c>
      <c r="H330" s="4" t="s">
        <v>166</v>
      </c>
      <c r="I330" s="6">
        <v>4</v>
      </c>
      <c r="J330" s="6">
        <v>13780</v>
      </c>
      <c r="K330" s="6">
        <v>11563.47</v>
      </c>
      <c r="L330" s="6">
        <v>2216.5300000000002</v>
      </c>
      <c r="M330" s="11">
        <f>Table13[[#This Row],[Profit]]/Table13[[#This Row],[Sales]]</f>
        <v>0.16085123367198839</v>
      </c>
      <c r="N330" s="6" t="str">
        <f>TEXT(Table13[[#This Row],[Order Date]],"mmm")</f>
        <v>Jun</v>
      </c>
      <c r="O330" s="6">
        <f>YEAR(Table13[[#This Row],[Order Date]])</f>
        <v>2025</v>
      </c>
    </row>
    <row r="331" spans="1:15" x14ac:dyDescent="0.3">
      <c r="A331" s="4" t="s">
        <v>773</v>
      </c>
      <c r="B331" s="5">
        <v>45870</v>
      </c>
      <c r="C331" s="4" t="s">
        <v>438</v>
      </c>
      <c r="D331" s="4" t="s">
        <v>447</v>
      </c>
      <c r="E331" s="4" t="s">
        <v>22</v>
      </c>
      <c r="F331" s="4" t="s">
        <v>67</v>
      </c>
      <c r="G331" s="4" t="s">
        <v>17</v>
      </c>
      <c r="H331" s="4" t="s">
        <v>18</v>
      </c>
      <c r="I331" s="6">
        <v>8</v>
      </c>
      <c r="J331" s="6">
        <v>34424</v>
      </c>
      <c r="K331" s="6">
        <v>20660.46</v>
      </c>
      <c r="L331" s="6">
        <v>13763.54</v>
      </c>
      <c r="M331" s="11">
        <f>Table13[[#This Row],[Profit]]/Table13[[#This Row],[Sales]]</f>
        <v>0.39982396002788756</v>
      </c>
      <c r="N331" s="6" t="str">
        <f>TEXT(Table13[[#This Row],[Order Date]],"mmm")</f>
        <v>Aug</v>
      </c>
      <c r="O331" s="6">
        <f>YEAR(Table13[[#This Row],[Order Date]])</f>
        <v>2025</v>
      </c>
    </row>
    <row r="332" spans="1:15" x14ac:dyDescent="0.3">
      <c r="A332" s="4" t="s">
        <v>774</v>
      </c>
      <c r="B332" s="5">
        <v>45760</v>
      </c>
      <c r="C332" s="4" t="s">
        <v>134</v>
      </c>
      <c r="D332" s="4" t="s">
        <v>775</v>
      </c>
      <c r="E332" s="4" t="s">
        <v>54</v>
      </c>
      <c r="F332" s="4" t="s">
        <v>142</v>
      </c>
      <c r="G332" s="4" t="s">
        <v>40</v>
      </c>
      <c r="H332" s="4" t="s">
        <v>99</v>
      </c>
      <c r="I332" s="6">
        <v>4</v>
      </c>
      <c r="J332" s="6">
        <v>18816</v>
      </c>
      <c r="K332" s="6">
        <v>11978.29</v>
      </c>
      <c r="L332" s="6">
        <v>6837.71</v>
      </c>
      <c r="M332" s="11">
        <f>Table13[[#This Row],[Profit]]/Table13[[#This Row],[Sales]]</f>
        <v>0.36339870323129253</v>
      </c>
      <c r="N332" s="6" t="str">
        <f>TEXT(Table13[[#This Row],[Order Date]],"mmm")</f>
        <v>Apr</v>
      </c>
      <c r="O332" s="6">
        <f>YEAR(Table13[[#This Row],[Order Date]])</f>
        <v>2025</v>
      </c>
    </row>
    <row r="333" spans="1:15" x14ac:dyDescent="0.3">
      <c r="A333" s="4" t="s">
        <v>776</v>
      </c>
      <c r="B333" s="5">
        <v>45667</v>
      </c>
      <c r="C333" s="4" t="s">
        <v>777</v>
      </c>
      <c r="D333" s="4" t="s">
        <v>475</v>
      </c>
      <c r="E333" s="4" t="s">
        <v>15</v>
      </c>
      <c r="F333" s="4" t="s">
        <v>90</v>
      </c>
      <c r="G333" s="4" t="s">
        <v>24</v>
      </c>
      <c r="H333" s="4" t="s">
        <v>50</v>
      </c>
      <c r="I333" s="6">
        <v>5</v>
      </c>
      <c r="J333" s="6">
        <v>23745</v>
      </c>
      <c r="K333" s="6">
        <v>18924.41</v>
      </c>
      <c r="L333" s="6">
        <v>4820.59</v>
      </c>
      <c r="M333" s="11">
        <f>Table13[[#This Row],[Profit]]/Table13[[#This Row],[Sales]]</f>
        <v>0.2030149505158981</v>
      </c>
      <c r="N333" s="6" t="str">
        <f>TEXT(Table13[[#This Row],[Order Date]],"mmm")</f>
        <v>Jan</v>
      </c>
      <c r="O333" s="6">
        <f>YEAR(Table13[[#This Row],[Order Date]])</f>
        <v>2025</v>
      </c>
    </row>
    <row r="334" spans="1:15" x14ac:dyDescent="0.3">
      <c r="A334" s="4" t="s">
        <v>778</v>
      </c>
      <c r="B334" s="5">
        <v>45961</v>
      </c>
      <c r="C334" s="4" t="s">
        <v>480</v>
      </c>
      <c r="D334" s="4" t="s">
        <v>577</v>
      </c>
      <c r="E334" s="4" t="s">
        <v>22</v>
      </c>
      <c r="F334" s="4" t="s">
        <v>79</v>
      </c>
      <c r="G334" s="4" t="s">
        <v>40</v>
      </c>
      <c r="H334" s="4" t="s">
        <v>56</v>
      </c>
      <c r="I334" s="6">
        <v>7</v>
      </c>
      <c r="J334" s="6">
        <v>7966</v>
      </c>
      <c r="K334" s="6">
        <v>6140.17</v>
      </c>
      <c r="L334" s="6">
        <v>1825.83</v>
      </c>
      <c r="M334" s="11">
        <f>Table13[[#This Row],[Profit]]/Table13[[#This Row],[Sales]]</f>
        <v>0.22920286216419783</v>
      </c>
      <c r="N334" s="6" t="str">
        <f>TEXT(Table13[[#This Row],[Order Date]],"mmm")</f>
        <v>Oct</v>
      </c>
      <c r="O334" s="6">
        <f>YEAR(Table13[[#This Row],[Order Date]])</f>
        <v>2025</v>
      </c>
    </row>
    <row r="335" spans="1:15" x14ac:dyDescent="0.3">
      <c r="A335" s="4" t="s">
        <v>779</v>
      </c>
      <c r="B335" s="5">
        <v>45412</v>
      </c>
      <c r="C335" s="4" t="s">
        <v>780</v>
      </c>
      <c r="D335" s="4" t="s">
        <v>781</v>
      </c>
      <c r="E335" s="4" t="s">
        <v>15</v>
      </c>
      <c r="F335" s="4" t="s">
        <v>63</v>
      </c>
      <c r="G335" s="4" t="s">
        <v>40</v>
      </c>
      <c r="H335" s="4" t="s">
        <v>99</v>
      </c>
      <c r="I335" s="6">
        <v>6</v>
      </c>
      <c r="J335" s="6">
        <v>6072</v>
      </c>
      <c r="K335" s="6">
        <v>4139.41</v>
      </c>
      <c r="L335" s="6">
        <v>1932.59</v>
      </c>
      <c r="M335" s="11">
        <f>Table13[[#This Row],[Profit]]/Table13[[#This Row],[Sales]]</f>
        <v>0.31827898550724637</v>
      </c>
      <c r="N335" s="6" t="str">
        <f>TEXT(Table13[[#This Row],[Order Date]],"mmm")</f>
        <v>Apr</v>
      </c>
      <c r="O335" s="6">
        <f>YEAR(Table13[[#This Row],[Order Date]])</f>
        <v>2024</v>
      </c>
    </row>
    <row r="336" spans="1:15" x14ac:dyDescent="0.3">
      <c r="A336" s="4" t="s">
        <v>782</v>
      </c>
      <c r="B336" s="5">
        <v>45503</v>
      </c>
      <c r="C336" s="4" t="s">
        <v>783</v>
      </c>
      <c r="D336" s="4" t="s">
        <v>784</v>
      </c>
      <c r="E336" s="4" t="s">
        <v>54</v>
      </c>
      <c r="F336" s="4" t="s">
        <v>71</v>
      </c>
      <c r="G336" s="4" t="s">
        <v>17</v>
      </c>
      <c r="H336" s="4" t="s">
        <v>72</v>
      </c>
      <c r="I336" s="6">
        <v>7</v>
      </c>
      <c r="J336" s="6">
        <v>11613</v>
      </c>
      <c r="K336" s="6">
        <v>8533.76</v>
      </c>
      <c r="L336" s="6">
        <v>3079.24</v>
      </c>
      <c r="M336" s="11">
        <f>Table13[[#This Row],[Profit]]/Table13[[#This Row],[Sales]]</f>
        <v>0.26515456815637645</v>
      </c>
      <c r="N336" s="6" t="str">
        <f>TEXT(Table13[[#This Row],[Order Date]],"mmm")</f>
        <v>Jul</v>
      </c>
      <c r="O336" s="6">
        <f>YEAR(Table13[[#This Row],[Order Date]])</f>
        <v>2024</v>
      </c>
    </row>
    <row r="337" spans="1:15" x14ac:dyDescent="0.3">
      <c r="A337" s="4" t="s">
        <v>785</v>
      </c>
      <c r="B337" s="5">
        <v>46012</v>
      </c>
      <c r="C337" s="4" t="s">
        <v>727</v>
      </c>
      <c r="D337" s="4" t="s">
        <v>456</v>
      </c>
      <c r="E337" s="4" t="s">
        <v>54</v>
      </c>
      <c r="F337" s="4" t="s">
        <v>71</v>
      </c>
      <c r="G337" s="4" t="s">
        <v>40</v>
      </c>
      <c r="H337" s="4" t="s">
        <v>99</v>
      </c>
      <c r="I337" s="6">
        <v>10</v>
      </c>
      <c r="J337" s="6">
        <v>47130</v>
      </c>
      <c r="K337" s="6">
        <v>28302.19</v>
      </c>
      <c r="L337" s="6">
        <v>18827.810000000001</v>
      </c>
      <c r="M337" s="11">
        <f>Table13[[#This Row],[Profit]]/Table13[[#This Row],[Sales]]</f>
        <v>0.39948673880755359</v>
      </c>
      <c r="N337" s="6" t="str">
        <f>TEXT(Table13[[#This Row],[Order Date]],"mmm")</f>
        <v>Dec</v>
      </c>
      <c r="O337" s="6">
        <f>YEAR(Table13[[#This Row],[Order Date]])</f>
        <v>2025</v>
      </c>
    </row>
    <row r="338" spans="1:15" x14ac:dyDescent="0.3">
      <c r="A338" s="4" t="s">
        <v>786</v>
      </c>
      <c r="B338" s="5">
        <v>45713</v>
      </c>
      <c r="C338" s="4" t="s">
        <v>120</v>
      </c>
      <c r="D338" s="4" t="s">
        <v>401</v>
      </c>
      <c r="E338" s="4" t="s">
        <v>54</v>
      </c>
      <c r="F338" s="4" t="s">
        <v>71</v>
      </c>
      <c r="G338" s="4" t="s">
        <v>17</v>
      </c>
      <c r="H338" s="4" t="s">
        <v>31</v>
      </c>
      <c r="I338" s="6">
        <v>2</v>
      </c>
      <c r="J338" s="6">
        <v>2820</v>
      </c>
      <c r="K338" s="6">
        <v>2365.5100000000002</v>
      </c>
      <c r="L338" s="6">
        <v>454.49</v>
      </c>
      <c r="M338" s="11">
        <f>Table13[[#This Row],[Profit]]/Table13[[#This Row],[Sales]]</f>
        <v>0.16116666666666668</v>
      </c>
      <c r="N338" s="6" t="str">
        <f>TEXT(Table13[[#This Row],[Order Date]],"mmm")</f>
        <v>Feb</v>
      </c>
      <c r="O338" s="6">
        <f>YEAR(Table13[[#This Row],[Order Date]])</f>
        <v>2025</v>
      </c>
    </row>
    <row r="339" spans="1:15" x14ac:dyDescent="0.3">
      <c r="A339" s="4" t="s">
        <v>787</v>
      </c>
      <c r="B339" s="5">
        <v>45545</v>
      </c>
      <c r="C339" s="4" t="s">
        <v>594</v>
      </c>
      <c r="D339" s="4" t="s">
        <v>762</v>
      </c>
      <c r="E339" s="4" t="s">
        <v>29</v>
      </c>
      <c r="F339" s="4" t="s">
        <v>30</v>
      </c>
      <c r="G339" s="4" t="s">
        <v>24</v>
      </c>
      <c r="H339" s="4" t="s">
        <v>166</v>
      </c>
      <c r="I339" s="6">
        <v>4</v>
      </c>
      <c r="J339" s="6">
        <v>5992</v>
      </c>
      <c r="K339" s="6">
        <v>4574.3999999999996</v>
      </c>
      <c r="L339" s="6">
        <v>1417.6</v>
      </c>
      <c r="M339" s="11">
        <f>Table13[[#This Row],[Profit]]/Table13[[#This Row],[Sales]]</f>
        <v>0.23658210947930572</v>
      </c>
      <c r="N339" s="6" t="str">
        <f>TEXT(Table13[[#This Row],[Order Date]],"mmm")</f>
        <v>Sep</v>
      </c>
      <c r="O339" s="6">
        <f>YEAR(Table13[[#This Row],[Order Date]])</f>
        <v>2024</v>
      </c>
    </row>
    <row r="340" spans="1:15" x14ac:dyDescent="0.3">
      <c r="A340" s="4" t="s">
        <v>788</v>
      </c>
      <c r="B340" s="5">
        <v>45369</v>
      </c>
      <c r="C340" s="4" t="s">
        <v>152</v>
      </c>
      <c r="D340" s="4" t="s">
        <v>305</v>
      </c>
      <c r="E340" s="4" t="s">
        <v>29</v>
      </c>
      <c r="F340" s="4" t="s">
        <v>30</v>
      </c>
      <c r="G340" s="4" t="s">
        <v>17</v>
      </c>
      <c r="H340" s="4" t="s">
        <v>31</v>
      </c>
      <c r="I340" s="6">
        <v>5</v>
      </c>
      <c r="J340" s="6">
        <v>18465</v>
      </c>
      <c r="K340" s="6">
        <v>12234.02</v>
      </c>
      <c r="L340" s="6">
        <v>6230.98</v>
      </c>
      <c r="M340" s="11">
        <f>Table13[[#This Row],[Profit]]/Table13[[#This Row],[Sales]]</f>
        <v>0.33744814513945298</v>
      </c>
      <c r="N340" s="6" t="str">
        <f>TEXT(Table13[[#This Row],[Order Date]],"mmm")</f>
        <v>Mar</v>
      </c>
      <c r="O340" s="6">
        <f>YEAR(Table13[[#This Row],[Order Date]])</f>
        <v>2024</v>
      </c>
    </row>
    <row r="341" spans="1:15" x14ac:dyDescent="0.3">
      <c r="A341" s="4" t="s">
        <v>789</v>
      </c>
      <c r="B341" s="5">
        <v>45294</v>
      </c>
      <c r="C341" s="4" t="s">
        <v>152</v>
      </c>
      <c r="D341" s="4" t="s">
        <v>138</v>
      </c>
      <c r="E341" s="4" t="s">
        <v>54</v>
      </c>
      <c r="F341" s="4" t="s">
        <v>71</v>
      </c>
      <c r="G341" s="4" t="s">
        <v>40</v>
      </c>
      <c r="H341" s="4" t="s">
        <v>41</v>
      </c>
      <c r="I341" s="6">
        <v>8</v>
      </c>
      <c r="J341" s="6">
        <v>34384</v>
      </c>
      <c r="K341" s="6">
        <v>22287.25</v>
      </c>
      <c r="L341" s="6">
        <v>12096.75</v>
      </c>
      <c r="M341" s="11">
        <f>Table13[[#This Row],[Profit]]/Table13[[#This Row],[Sales]]</f>
        <v>0.3518133434155421</v>
      </c>
      <c r="N341" s="6" t="str">
        <f>TEXT(Table13[[#This Row],[Order Date]],"mmm")</f>
        <v>Jan</v>
      </c>
      <c r="O341" s="6">
        <f>YEAR(Table13[[#This Row],[Order Date]])</f>
        <v>2024</v>
      </c>
    </row>
    <row r="342" spans="1:15" x14ac:dyDescent="0.3">
      <c r="A342" s="4" t="s">
        <v>790</v>
      </c>
      <c r="B342" s="5">
        <v>45508</v>
      </c>
      <c r="C342" s="4" t="s">
        <v>200</v>
      </c>
      <c r="D342" s="4" t="s">
        <v>255</v>
      </c>
      <c r="E342" s="4" t="s">
        <v>54</v>
      </c>
      <c r="F342" s="4" t="s">
        <v>142</v>
      </c>
      <c r="G342" s="4" t="s">
        <v>35</v>
      </c>
      <c r="H342" s="4" t="s">
        <v>45</v>
      </c>
      <c r="I342" s="6">
        <v>7</v>
      </c>
      <c r="J342" s="6">
        <v>14588</v>
      </c>
      <c r="K342" s="6">
        <v>12260.32</v>
      </c>
      <c r="L342" s="6">
        <v>2327.6799999999998</v>
      </c>
      <c r="M342" s="11">
        <f>Table13[[#This Row],[Profit]]/Table13[[#This Row],[Sales]]</f>
        <v>0.15956128324650395</v>
      </c>
      <c r="N342" s="6" t="str">
        <f>TEXT(Table13[[#This Row],[Order Date]],"mmm")</f>
        <v>Aug</v>
      </c>
      <c r="O342" s="6">
        <f>YEAR(Table13[[#This Row],[Order Date]])</f>
        <v>2024</v>
      </c>
    </row>
    <row r="343" spans="1:15" x14ac:dyDescent="0.3">
      <c r="A343" s="4" t="s">
        <v>791</v>
      </c>
      <c r="B343" s="5">
        <v>45788</v>
      </c>
      <c r="C343" s="4" t="s">
        <v>792</v>
      </c>
      <c r="D343" s="4" t="s">
        <v>793</v>
      </c>
      <c r="E343" s="4" t="s">
        <v>54</v>
      </c>
      <c r="F343" s="4" t="s">
        <v>55</v>
      </c>
      <c r="G343" s="4" t="s">
        <v>40</v>
      </c>
      <c r="H343" s="4" t="s">
        <v>41</v>
      </c>
      <c r="I343" s="6">
        <v>9</v>
      </c>
      <c r="J343" s="6">
        <v>12321</v>
      </c>
      <c r="K343" s="6">
        <v>8869.18</v>
      </c>
      <c r="L343" s="6">
        <v>3451.82</v>
      </c>
      <c r="M343" s="11">
        <f>Table13[[#This Row],[Profit]]/Table13[[#This Row],[Sales]]</f>
        <v>0.28015745475204934</v>
      </c>
      <c r="N343" s="6" t="str">
        <f>TEXT(Table13[[#This Row],[Order Date]],"mmm")</f>
        <v>May</v>
      </c>
      <c r="O343" s="6">
        <f>YEAR(Table13[[#This Row],[Order Date]])</f>
        <v>2025</v>
      </c>
    </row>
    <row r="344" spans="1:15" x14ac:dyDescent="0.3">
      <c r="A344" s="4" t="s">
        <v>794</v>
      </c>
      <c r="B344" s="5">
        <v>45453</v>
      </c>
      <c r="C344" s="4" t="s">
        <v>795</v>
      </c>
      <c r="D344" s="4" t="s">
        <v>369</v>
      </c>
      <c r="E344" s="4" t="s">
        <v>15</v>
      </c>
      <c r="F344" s="4" t="s">
        <v>16</v>
      </c>
      <c r="G344" s="4" t="s">
        <v>17</v>
      </c>
      <c r="H344" s="4" t="s">
        <v>31</v>
      </c>
      <c r="I344" s="6">
        <v>8</v>
      </c>
      <c r="J344" s="6">
        <v>3464</v>
      </c>
      <c r="K344" s="6">
        <v>2034.31</v>
      </c>
      <c r="L344" s="6">
        <v>1429.69</v>
      </c>
      <c r="M344" s="11">
        <f>Table13[[#This Row],[Profit]]/Table13[[#This Row],[Sales]]</f>
        <v>0.41272806004618939</v>
      </c>
      <c r="N344" s="6" t="str">
        <f>TEXT(Table13[[#This Row],[Order Date]],"mmm")</f>
        <v>Jun</v>
      </c>
      <c r="O344" s="6">
        <f>YEAR(Table13[[#This Row],[Order Date]])</f>
        <v>2024</v>
      </c>
    </row>
    <row r="345" spans="1:15" x14ac:dyDescent="0.3">
      <c r="A345" s="4" t="s">
        <v>796</v>
      </c>
      <c r="B345" s="5">
        <v>45572</v>
      </c>
      <c r="C345" s="4" t="s">
        <v>152</v>
      </c>
      <c r="D345" s="4" t="s">
        <v>797</v>
      </c>
      <c r="E345" s="4" t="s">
        <v>15</v>
      </c>
      <c r="F345" s="4" t="s">
        <v>63</v>
      </c>
      <c r="G345" s="4" t="s">
        <v>40</v>
      </c>
      <c r="H345" s="4" t="s">
        <v>56</v>
      </c>
      <c r="I345" s="6">
        <v>3</v>
      </c>
      <c r="J345" s="6">
        <v>8316</v>
      </c>
      <c r="K345" s="6">
        <v>4970.42</v>
      </c>
      <c r="L345" s="6">
        <v>3345.58</v>
      </c>
      <c r="M345" s="11">
        <f>Table13[[#This Row],[Profit]]/Table13[[#This Row],[Sales]]</f>
        <v>0.40230639730639728</v>
      </c>
      <c r="N345" s="6" t="str">
        <f>TEXT(Table13[[#This Row],[Order Date]],"mmm")</f>
        <v>Oct</v>
      </c>
      <c r="O345" s="6">
        <f>YEAR(Table13[[#This Row],[Order Date]])</f>
        <v>2024</v>
      </c>
    </row>
    <row r="346" spans="1:15" x14ac:dyDescent="0.3">
      <c r="A346" s="4" t="s">
        <v>798</v>
      </c>
      <c r="B346" s="5">
        <v>45604</v>
      </c>
      <c r="C346" s="4" t="s">
        <v>799</v>
      </c>
      <c r="D346" s="4" t="s">
        <v>800</v>
      </c>
      <c r="E346" s="4" t="s">
        <v>54</v>
      </c>
      <c r="F346" s="4" t="s">
        <v>142</v>
      </c>
      <c r="G346" s="4" t="s">
        <v>40</v>
      </c>
      <c r="H346" s="4" t="s">
        <v>41</v>
      </c>
      <c r="I346" s="6">
        <v>3</v>
      </c>
      <c r="J346" s="6">
        <v>2172</v>
      </c>
      <c r="K346" s="6">
        <v>1452.86</v>
      </c>
      <c r="L346" s="6">
        <v>719.14</v>
      </c>
      <c r="M346" s="11">
        <f>Table13[[#This Row],[Profit]]/Table13[[#This Row],[Sales]]</f>
        <v>0.33109576427255982</v>
      </c>
      <c r="N346" s="6" t="str">
        <f>TEXT(Table13[[#This Row],[Order Date]],"mmm")</f>
        <v>Nov</v>
      </c>
      <c r="O346" s="6">
        <f>YEAR(Table13[[#This Row],[Order Date]])</f>
        <v>2024</v>
      </c>
    </row>
    <row r="347" spans="1:15" x14ac:dyDescent="0.3">
      <c r="A347" s="4" t="s">
        <v>801</v>
      </c>
      <c r="B347" s="5">
        <v>45427</v>
      </c>
      <c r="C347" s="4" t="s">
        <v>802</v>
      </c>
      <c r="D347" s="4" t="s">
        <v>204</v>
      </c>
      <c r="E347" s="4" t="s">
        <v>15</v>
      </c>
      <c r="F347" s="4" t="s">
        <v>90</v>
      </c>
      <c r="G347" s="4" t="s">
        <v>24</v>
      </c>
      <c r="H347" s="4" t="s">
        <v>50</v>
      </c>
      <c r="I347" s="6">
        <v>1</v>
      </c>
      <c r="J347" s="6">
        <v>2048</v>
      </c>
      <c r="K347" s="6">
        <v>1419.35</v>
      </c>
      <c r="L347" s="6">
        <v>628.65</v>
      </c>
      <c r="M347" s="11">
        <f>Table13[[#This Row],[Profit]]/Table13[[#This Row],[Sales]]</f>
        <v>0.30695800781249999</v>
      </c>
      <c r="N347" s="6" t="str">
        <f>TEXT(Table13[[#This Row],[Order Date]],"mmm")</f>
        <v>May</v>
      </c>
      <c r="O347" s="6">
        <f>YEAR(Table13[[#This Row],[Order Date]])</f>
        <v>2024</v>
      </c>
    </row>
    <row r="348" spans="1:15" x14ac:dyDescent="0.3">
      <c r="A348" s="4" t="s">
        <v>803</v>
      </c>
      <c r="B348" s="5">
        <v>45724</v>
      </c>
      <c r="C348" s="4" t="s">
        <v>403</v>
      </c>
      <c r="D348" s="4" t="s">
        <v>804</v>
      </c>
      <c r="E348" s="4" t="s">
        <v>22</v>
      </c>
      <c r="F348" s="4" t="s">
        <v>23</v>
      </c>
      <c r="G348" s="4" t="s">
        <v>24</v>
      </c>
      <c r="H348" s="4" t="s">
        <v>25</v>
      </c>
      <c r="I348" s="6">
        <v>6</v>
      </c>
      <c r="J348" s="6">
        <v>7722</v>
      </c>
      <c r="K348" s="6">
        <v>6536.26</v>
      </c>
      <c r="L348" s="6">
        <v>1185.74</v>
      </c>
      <c r="M348" s="11">
        <f>Table13[[#This Row],[Profit]]/Table13[[#This Row],[Sales]]</f>
        <v>0.15355348355348356</v>
      </c>
      <c r="N348" s="6" t="str">
        <f>TEXT(Table13[[#This Row],[Order Date]],"mmm")</f>
        <v>Mar</v>
      </c>
      <c r="O348" s="6">
        <f>YEAR(Table13[[#This Row],[Order Date]])</f>
        <v>2025</v>
      </c>
    </row>
    <row r="349" spans="1:15" x14ac:dyDescent="0.3">
      <c r="A349" s="4" t="s">
        <v>805</v>
      </c>
      <c r="B349" s="5">
        <v>45668</v>
      </c>
      <c r="C349" s="4" t="s">
        <v>137</v>
      </c>
      <c r="D349" s="4" t="s">
        <v>377</v>
      </c>
      <c r="E349" s="4" t="s">
        <v>15</v>
      </c>
      <c r="F349" s="4" t="s">
        <v>16</v>
      </c>
      <c r="G349" s="4" t="s">
        <v>35</v>
      </c>
      <c r="H349" s="4" t="s">
        <v>36</v>
      </c>
      <c r="I349" s="6">
        <v>2</v>
      </c>
      <c r="J349" s="6">
        <v>2278</v>
      </c>
      <c r="K349" s="6">
        <v>1323.43</v>
      </c>
      <c r="L349" s="6">
        <v>954.57</v>
      </c>
      <c r="M349" s="11">
        <f>Table13[[#This Row],[Profit]]/Table13[[#This Row],[Sales]]</f>
        <v>0.41903863037752415</v>
      </c>
      <c r="N349" s="6" t="str">
        <f>TEXT(Table13[[#This Row],[Order Date]],"mmm")</f>
        <v>Jan</v>
      </c>
      <c r="O349" s="6">
        <f>YEAR(Table13[[#This Row],[Order Date]])</f>
        <v>2025</v>
      </c>
    </row>
    <row r="350" spans="1:15" x14ac:dyDescent="0.3">
      <c r="A350" s="4" t="s">
        <v>806</v>
      </c>
      <c r="B350" s="5">
        <v>45300</v>
      </c>
      <c r="C350" s="4" t="s">
        <v>652</v>
      </c>
      <c r="D350" s="4" t="s">
        <v>347</v>
      </c>
      <c r="E350" s="4" t="s">
        <v>22</v>
      </c>
      <c r="F350" s="4" t="s">
        <v>23</v>
      </c>
      <c r="G350" s="4" t="s">
        <v>17</v>
      </c>
      <c r="H350" s="4" t="s">
        <v>31</v>
      </c>
      <c r="I350" s="6">
        <v>3</v>
      </c>
      <c r="J350" s="6">
        <v>2580</v>
      </c>
      <c r="K350" s="6">
        <v>1829.61</v>
      </c>
      <c r="L350" s="6">
        <v>750.39</v>
      </c>
      <c r="M350" s="11">
        <f>Table13[[#This Row],[Profit]]/Table13[[#This Row],[Sales]]</f>
        <v>0.29084883720930232</v>
      </c>
      <c r="N350" s="6" t="str">
        <f>TEXT(Table13[[#This Row],[Order Date]],"mmm")</f>
        <v>Jan</v>
      </c>
      <c r="O350" s="6">
        <f>YEAR(Table13[[#This Row],[Order Date]])</f>
        <v>2024</v>
      </c>
    </row>
    <row r="351" spans="1:15" x14ac:dyDescent="0.3">
      <c r="A351" s="4" t="s">
        <v>807</v>
      </c>
      <c r="B351" s="5">
        <v>45745</v>
      </c>
      <c r="C351" s="4" t="s">
        <v>695</v>
      </c>
      <c r="D351" s="4" t="s">
        <v>14</v>
      </c>
      <c r="E351" s="4" t="s">
        <v>54</v>
      </c>
      <c r="F351" s="4" t="s">
        <v>71</v>
      </c>
      <c r="G351" s="4" t="s">
        <v>40</v>
      </c>
      <c r="H351" s="4" t="s">
        <v>56</v>
      </c>
      <c r="I351" s="6">
        <v>3</v>
      </c>
      <c r="J351" s="6">
        <v>11016</v>
      </c>
      <c r="K351" s="6">
        <v>8094.81</v>
      </c>
      <c r="L351" s="6">
        <v>2921.19</v>
      </c>
      <c r="M351" s="11">
        <f>Table13[[#This Row],[Profit]]/Table13[[#This Row],[Sales]]</f>
        <v>0.26517701525054466</v>
      </c>
      <c r="N351" s="6" t="str">
        <f>TEXT(Table13[[#This Row],[Order Date]],"mmm")</f>
        <v>Mar</v>
      </c>
      <c r="O351" s="6">
        <f>YEAR(Table13[[#This Row],[Order Date]])</f>
        <v>2025</v>
      </c>
    </row>
    <row r="352" spans="1:15" x14ac:dyDescent="0.3">
      <c r="A352" s="4" t="s">
        <v>808</v>
      </c>
      <c r="B352" s="5">
        <v>45731</v>
      </c>
      <c r="C352" s="4" t="s">
        <v>61</v>
      </c>
      <c r="D352" s="4" t="s">
        <v>599</v>
      </c>
      <c r="E352" s="4" t="s">
        <v>15</v>
      </c>
      <c r="F352" s="4" t="s">
        <v>16</v>
      </c>
      <c r="G352" s="4" t="s">
        <v>24</v>
      </c>
      <c r="H352" s="4" t="s">
        <v>50</v>
      </c>
      <c r="I352" s="6">
        <v>10</v>
      </c>
      <c r="J352" s="6">
        <v>34450</v>
      </c>
      <c r="K352" s="6">
        <v>22580.62</v>
      </c>
      <c r="L352" s="6">
        <v>11869.38</v>
      </c>
      <c r="M352" s="11">
        <f>Table13[[#This Row],[Profit]]/Table13[[#This Row],[Sales]]</f>
        <v>0.34453933236574746</v>
      </c>
      <c r="N352" s="6" t="str">
        <f>TEXT(Table13[[#This Row],[Order Date]],"mmm")</f>
        <v>Mar</v>
      </c>
      <c r="O352" s="6">
        <f>YEAR(Table13[[#This Row],[Order Date]])</f>
        <v>2025</v>
      </c>
    </row>
    <row r="353" spans="1:15" x14ac:dyDescent="0.3">
      <c r="A353" s="4" t="s">
        <v>809</v>
      </c>
      <c r="B353" s="5">
        <v>45906</v>
      </c>
      <c r="C353" s="4" t="s">
        <v>810</v>
      </c>
      <c r="D353" s="4" t="s">
        <v>229</v>
      </c>
      <c r="E353" s="4" t="s">
        <v>29</v>
      </c>
      <c r="F353" s="4" t="s">
        <v>49</v>
      </c>
      <c r="G353" s="4" t="s">
        <v>17</v>
      </c>
      <c r="H353" s="4" t="s">
        <v>31</v>
      </c>
      <c r="I353" s="6">
        <v>2</v>
      </c>
      <c r="J353" s="6">
        <v>4664</v>
      </c>
      <c r="K353" s="6">
        <v>3339.51</v>
      </c>
      <c r="L353" s="6">
        <v>1324.49</v>
      </c>
      <c r="M353" s="11">
        <f>Table13[[#This Row],[Profit]]/Table13[[#This Row],[Sales]]</f>
        <v>0.28398156089193827</v>
      </c>
      <c r="N353" s="6" t="str">
        <f>TEXT(Table13[[#This Row],[Order Date]],"mmm")</f>
        <v>Sep</v>
      </c>
      <c r="O353" s="6">
        <f>YEAR(Table13[[#This Row],[Order Date]])</f>
        <v>2025</v>
      </c>
    </row>
    <row r="354" spans="1:15" x14ac:dyDescent="0.3">
      <c r="A354" s="4" t="s">
        <v>811</v>
      </c>
      <c r="B354" s="5">
        <v>45693</v>
      </c>
      <c r="C354" s="4" t="s">
        <v>812</v>
      </c>
      <c r="D354" s="4" t="s">
        <v>813</v>
      </c>
      <c r="E354" s="4" t="s">
        <v>54</v>
      </c>
      <c r="F354" s="4" t="s">
        <v>142</v>
      </c>
      <c r="G354" s="4" t="s">
        <v>35</v>
      </c>
      <c r="H354" s="4" t="s">
        <v>45</v>
      </c>
      <c r="I354" s="6">
        <v>10</v>
      </c>
      <c r="J354" s="6">
        <v>44740</v>
      </c>
      <c r="K354" s="6">
        <v>27139.01</v>
      </c>
      <c r="L354" s="6">
        <v>17600.990000000002</v>
      </c>
      <c r="M354" s="11">
        <f>Table13[[#This Row],[Profit]]/Table13[[#This Row],[Sales]]</f>
        <v>0.39340612427358074</v>
      </c>
      <c r="N354" s="6" t="str">
        <f>TEXT(Table13[[#This Row],[Order Date]],"mmm")</f>
        <v>Feb</v>
      </c>
      <c r="O354" s="6">
        <f>YEAR(Table13[[#This Row],[Order Date]])</f>
        <v>2025</v>
      </c>
    </row>
    <row r="355" spans="1:15" x14ac:dyDescent="0.3">
      <c r="A355" s="4" t="s">
        <v>814</v>
      </c>
      <c r="B355" s="5">
        <v>45900</v>
      </c>
      <c r="C355" s="4" t="s">
        <v>815</v>
      </c>
      <c r="D355" s="4" t="s">
        <v>816</v>
      </c>
      <c r="E355" s="4" t="s">
        <v>29</v>
      </c>
      <c r="F355" s="4" t="s">
        <v>49</v>
      </c>
      <c r="G355" s="4" t="s">
        <v>35</v>
      </c>
      <c r="H355" s="4" t="s">
        <v>36</v>
      </c>
      <c r="I355" s="6">
        <v>2</v>
      </c>
      <c r="J355" s="6">
        <v>4548</v>
      </c>
      <c r="K355" s="6">
        <v>3183.03</v>
      </c>
      <c r="L355" s="6">
        <v>1364.97</v>
      </c>
      <c r="M355" s="11">
        <f>Table13[[#This Row],[Profit]]/Table13[[#This Row],[Sales]]</f>
        <v>0.30012532981530343</v>
      </c>
      <c r="N355" s="6" t="str">
        <f>TEXT(Table13[[#This Row],[Order Date]],"mmm")</f>
        <v>Aug</v>
      </c>
      <c r="O355" s="6">
        <f>YEAR(Table13[[#This Row],[Order Date]])</f>
        <v>2025</v>
      </c>
    </row>
    <row r="356" spans="1:15" x14ac:dyDescent="0.3">
      <c r="A356" s="4" t="s">
        <v>817</v>
      </c>
      <c r="B356" s="5">
        <v>45874</v>
      </c>
      <c r="C356" s="4" t="s">
        <v>818</v>
      </c>
      <c r="D356" s="4" t="s">
        <v>381</v>
      </c>
      <c r="E356" s="4" t="s">
        <v>15</v>
      </c>
      <c r="F356" s="4" t="s">
        <v>63</v>
      </c>
      <c r="G356" s="4" t="s">
        <v>40</v>
      </c>
      <c r="H356" s="4" t="s">
        <v>41</v>
      </c>
      <c r="I356" s="6">
        <v>3</v>
      </c>
      <c r="J356" s="6">
        <v>10404</v>
      </c>
      <c r="K356" s="6">
        <v>8408.9699999999993</v>
      </c>
      <c r="L356" s="6">
        <v>1995.03</v>
      </c>
      <c r="M356" s="11">
        <f>Table13[[#This Row],[Profit]]/Table13[[#This Row],[Sales]]</f>
        <v>0.1917560553633218</v>
      </c>
      <c r="N356" s="6" t="str">
        <f>TEXT(Table13[[#This Row],[Order Date]],"mmm")</f>
        <v>Aug</v>
      </c>
      <c r="O356" s="6">
        <f>YEAR(Table13[[#This Row],[Order Date]])</f>
        <v>2025</v>
      </c>
    </row>
    <row r="357" spans="1:15" x14ac:dyDescent="0.3">
      <c r="A357" s="4" t="s">
        <v>819</v>
      </c>
      <c r="B357" s="5">
        <v>45512</v>
      </c>
      <c r="C357" s="4" t="s">
        <v>680</v>
      </c>
      <c r="D357" s="4" t="s">
        <v>784</v>
      </c>
      <c r="E357" s="4" t="s">
        <v>29</v>
      </c>
      <c r="F357" s="4" t="s">
        <v>49</v>
      </c>
      <c r="G357" s="4" t="s">
        <v>24</v>
      </c>
      <c r="H357" s="4" t="s">
        <v>50</v>
      </c>
      <c r="I357" s="6">
        <v>1</v>
      </c>
      <c r="J357" s="6">
        <v>853</v>
      </c>
      <c r="K357" s="6">
        <v>472.68</v>
      </c>
      <c r="L357" s="6">
        <v>380.32</v>
      </c>
      <c r="M357" s="11">
        <f>Table13[[#This Row],[Profit]]/Table13[[#This Row],[Sales]]</f>
        <v>0.44586166471277844</v>
      </c>
      <c r="N357" s="6" t="str">
        <f>TEXT(Table13[[#This Row],[Order Date]],"mmm")</f>
        <v>Aug</v>
      </c>
      <c r="O357" s="6">
        <f>YEAR(Table13[[#This Row],[Order Date]])</f>
        <v>2024</v>
      </c>
    </row>
    <row r="358" spans="1:15" x14ac:dyDescent="0.3">
      <c r="A358" s="4" t="s">
        <v>820</v>
      </c>
      <c r="B358" s="5">
        <v>45703</v>
      </c>
      <c r="C358" s="4" t="s">
        <v>821</v>
      </c>
      <c r="D358" s="4" t="s">
        <v>78</v>
      </c>
      <c r="E358" s="4" t="s">
        <v>22</v>
      </c>
      <c r="F358" s="4" t="s">
        <v>79</v>
      </c>
      <c r="G358" s="4" t="s">
        <v>40</v>
      </c>
      <c r="H358" s="4" t="s">
        <v>99</v>
      </c>
      <c r="I358" s="6">
        <v>9</v>
      </c>
      <c r="J358" s="6">
        <v>33327</v>
      </c>
      <c r="K358" s="6">
        <v>22564.799999999999</v>
      </c>
      <c r="L358" s="6">
        <v>10762.2</v>
      </c>
      <c r="M358" s="11">
        <f>Table13[[#This Row],[Profit]]/Table13[[#This Row],[Sales]]</f>
        <v>0.3229273561976776</v>
      </c>
      <c r="N358" s="6" t="str">
        <f>TEXT(Table13[[#This Row],[Order Date]],"mmm")</f>
        <v>Feb</v>
      </c>
      <c r="O358" s="6">
        <f>YEAR(Table13[[#This Row],[Order Date]])</f>
        <v>2025</v>
      </c>
    </row>
    <row r="359" spans="1:15" x14ac:dyDescent="0.3">
      <c r="A359" s="4" t="s">
        <v>822</v>
      </c>
      <c r="B359" s="5">
        <v>45500</v>
      </c>
      <c r="C359" s="4" t="s">
        <v>349</v>
      </c>
      <c r="D359" s="4" t="s">
        <v>78</v>
      </c>
      <c r="E359" s="4" t="s">
        <v>29</v>
      </c>
      <c r="F359" s="4" t="s">
        <v>49</v>
      </c>
      <c r="G359" s="4" t="s">
        <v>24</v>
      </c>
      <c r="H359" s="4" t="s">
        <v>50</v>
      </c>
      <c r="I359" s="6">
        <v>5</v>
      </c>
      <c r="J359" s="6">
        <v>4735</v>
      </c>
      <c r="K359" s="6">
        <v>3330.56</v>
      </c>
      <c r="L359" s="6">
        <v>1404.44</v>
      </c>
      <c r="M359" s="11">
        <f>Table13[[#This Row],[Profit]]/Table13[[#This Row],[Sales]]</f>
        <v>0.29660823653643087</v>
      </c>
      <c r="N359" s="6" t="str">
        <f>TEXT(Table13[[#This Row],[Order Date]],"mmm")</f>
        <v>Jul</v>
      </c>
      <c r="O359" s="6">
        <f>YEAR(Table13[[#This Row],[Order Date]])</f>
        <v>2024</v>
      </c>
    </row>
    <row r="360" spans="1:15" x14ac:dyDescent="0.3">
      <c r="A360" s="4" t="s">
        <v>823</v>
      </c>
      <c r="B360" s="5">
        <v>45536</v>
      </c>
      <c r="C360" s="4" t="s">
        <v>472</v>
      </c>
      <c r="D360" s="4" t="s">
        <v>53</v>
      </c>
      <c r="E360" s="4" t="s">
        <v>54</v>
      </c>
      <c r="F360" s="4" t="s">
        <v>55</v>
      </c>
      <c r="G360" s="4" t="s">
        <v>17</v>
      </c>
      <c r="H360" s="4" t="s">
        <v>72</v>
      </c>
      <c r="I360" s="6">
        <v>2</v>
      </c>
      <c r="J360" s="6">
        <v>5680</v>
      </c>
      <c r="K360" s="6">
        <v>4314.54</v>
      </c>
      <c r="L360" s="6">
        <v>1365.46</v>
      </c>
      <c r="M360" s="11">
        <f>Table13[[#This Row],[Profit]]/Table13[[#This Row],[Sales]]</f>
        <v>0.24039788732394368</v>
      </c>
      <c r="N360" s="6" t="str">
        <f>TEXT(Table13[[#This Row],[Order Date]],"mmm")</f>
        <v>Sep</v>
      </c>
      <c r="O360" s="6">
        <f>YEAR(Table13[[#This Row],[Order Date]])</f>
        <v>2024</v>
      </c>
    </row>
    <row r="361" spans="1:15" x14ac:dyDescent="0.3">
      <c r="A361" s="4" t="s">
        <v>824</v>
      </c>
      <c r="B361" s="5">
        <v>45965</v>
      </c>
      <c r="C361" s="4" t="s">
        <v>556</v>
      </c>
      <c r="D361" s="4" t="s">
        <v>98</v>
      </c>
      <c r="E361" s="4" t="s">
        <v>15</v>
      </c>
      <c r="F361" s="4" t="s">
        <v>63</v>
      </c>
      <c r="G361" s="4" t="s">
        <v>24</v>
      </c>
      <c r="H361" s="4" t="s">
        <v>50</v>
      </c>
      <c r="I361" s="6">
        <v>8</v>
      </c>
      <c r="J361" s="6">
        <v>6000</v>
      </c>
      <c r="K361" s="6">
        <v>3856.72</v>
      </c>
      <c r="L361" s="6">
        <v>2143.2800000000002</v>
      </c>
      <c r="M361" s="11">
        <f>Table13[[#This Row],[Profit]]/Table13[[#This Row],[Sales]]</f>
        <v>0.35721333333333338</v>
      </c>
      <c r="N361" s="6" t="str">
        <f>TEXT(Table13[[#This Row],[Order Date]],"mmm")</f>
        <v>Nov</v>
      </c>
      <c r="O361" s="6">
        <f>YEAR(Table13[[#This Row],[Order Date]])</f>
        <v>2025</v>
      </c>
    </row>
    <row r="362" spans="1:15" x14ac:dyDescent="0.3">
      <c r="A362" s="4" t="s">
        <v>825</v>
      </c>
      <c r="B362" s="5">
        <v>45647</v>
      </c>
      <c r="C362" s="4" t="s">
        <v>826</v>
      </c>
      <c r="D362" s="4" t="s">
        <v>827</v>
      </c>
      <c r="E362" s="4" t="s">
        <v>15</v>
      </c>
      <c r="F362" s="4" t="s">
        <v>90</v>
      </c>
      <c r="G362" s="4" t="s">
        <v>24</v>
      </c>
      <c r="H362" s="4" t="s">
        <v>166</v>
      </c>
      <c r="I362" s="6">
        <v>1</v>
      </c>
      <c r="J362" s="6">
        <v>1642</v>
      </c>
      <c r="K362" s="6">
        <v>1147.6300000000001</v>
      </c>
      <c r="L362" s="6">
        <v>494.37</v>
      </c>
      <c r="M362" s="11">
        <f>Table13[[#This Row],[Profit]]/Table13[[#This Row],[Sales]]</f>
        <v>0.30107795371498175</v>
      </c>
      <c r="N362" s="6" t="str">
        <f>TEXT(Table13[[#This Row],[Order Date]],"mmm")</f>
        <v>Dec</v>
      </c>
      <c r="O362" s="6">
        <f>YEAR(Table13[[#This Row],[Order Date]])</f>
        <v>2024</v>
      </c>
    </row>
    <row r="363" spans="1:15" x14ac:dyDescent="0.3">
      <c r="A363" s="4" t="s">
        <v>828</v>
      </c>
      <c r="B363" s="5">
        <v>45412</v>
      </c>
      <c r="C363" s="4" t="s">
        <v>438</v>
      </c>
      <c r="D363" s="4" t="s">
        <v>829</v>
      </c>
      <c r="E363" s="4" t="s">
        <v>54</v>
      </c>
      <c r="F363" s="4" t="s">
        <v>142</v>
      </c>
      <c r="G363" s="4" t="s">
        <v>40</v>
      </c>
      <c r="H363" s="4" t="s">
        <v>41</v>
      </c>
      <c r="I363" s="6">
        <v>3</v>
      </c>
      <c r="J363" s="6">
        <v>7503</v>
      </c>
      <c r="K363" s="6">
        <v>5776.42</v>
      </c>
      <c r="L363" s="6">
        <v>1726.58</v>
      </c>
      <c r="M363" s="11">
        <f>Table13[[#This Row],[Profit]]/Table13[[#This Row],[Sales]]</f>
        <v>0.23011861921897905</v>
      </c>
      <c r="N363" s="6" t="str">
        <f>TEXT(Table13[[#This Row],[Order Date]],"mmm")</f>
        <v>Apr</v>
      </c>
      <c r="O363" s="6">
        <f>YEAR(Table13[[#This Row],[Order Date]])</f>
        <v>2024</v>
      </c>
    </row>
    <row r="364" spans="1:15" x14ac:dyDescent="0.3">
      <c r="A364" s="4" t="s">
        <v>830</v>
      </c>
      <c r="B364" s="5">
        <v>45882</v>
      </c>
      <c r="C364" s="4" t="s">
        <v>831</v>
      </c>
      <c r="D364" s="4" t="s">
        <v>375</v>
      </c>
      <c r="E364" s="4" t="s">
        <v>22</v>
      </c>
      <c r="F364" s="4" t="s">
        <v>67</v>
      </c>
      <c r="G364" s="4" t="s">
        <v>35</v>
      </c>
      <c r="H364" s="4" t="s">
        <v>45</v>
      </c>
      <c r="I364" s="6">
        <v>2</v>
      </c>
      <c r="J364" s="6">
        <v>4908</v>
      </c>
      <c r="K364" s="6">
        <v>3748.22</v>
      </c>
      <c r="L364" s="6">
        <v>1159.78</v>
      </c>
      <c r="M364" s="11">
        <f>Table13[[#This Row],[Profit]]/Table13[[#This Row],[Sales]]</f>
        <v>0.23630399348003259</v>
      </c>
      <c r="N364" s="6" t="str">
        <f>TEXT(Table13[[#This Row],[Order Date]],"mmm")</f>
        <v>Aug</v>
      </c>
      <c r="O364" s="6">
        <f>YEAR(Table13[[#This Row],[Order Date]])</f>
        <v>2025</v>
      </c>
    </row>
    <row r="365" spans="1:15" x14ac:dyDescent="0.3">
      <c r="A365" s="4" t="s">
        <v>832</v>
      </c>
      <c r="B365" s="5">
        <v>45462</v>
      </c>
      <c r="C365" s="4" t="s">
        <v>269</v>
      </c>
      <c r="D365" s="4" t="s">
        <v>296</v>
      </c>
      <c r="E365" s="4" t="s">
        <v>22</v>
      </c>
      <c r="F365" s="4" t="s">
        <v>79</v>
      </c>
      <c r="G365" s="4" t="s">
        <v>40</v>
      </c>
      <c r="H365" s="4" t="s">
        <v>41</v>
      </c>
      <c r="I365" s="6">
        <v>1</v>
      </c>
      <c r="J365" s="6">
        <v>4392</v>
      </c>
      <c r="K365" s="6">
        <v>3547.89</v>
      </c>
      <c r="L365" s="6">
        <v>844.11</v>
      </c>
      <c r="M365" s="11">
        <f>Table13[[#This Row],[Profit]]/Table13[[#This Row],[Sales]]</f>
        <v>0.19219262295081968</v>
      </c>
      <c r="N365" s="6" t="str">
        <f>TEXT(Table13[[#This Row],[Order Date]],"mmm")</f>
        <v>Jun</v>
      </c>
      <c r="O365" s="6">
        <f>YEAR(Table13[[#This Row],[Order Date]])</f>
        <v>2024</v>
      </c>
    </row>
    <row r="366" spans="1:15" x14ac:dyDescent="0.3">
      <c r="A366" s="4" t="s">
        <v>833</v>
      </c>
      <c r="B366" s="5">
        <v>45294</v>
      </c>
      <c r="C366" s="4" t="s">
        <v>834</v>
      </c>
      <c r="D366" s="4" t="s">
        <v>249</v>
      </c>
      <c r="E366" s="4" t="s">
        <v>54</v>
      </c>
      <c r="F366" s="4" t="s">
        <v>142</v>
      </c>
      <c r="G366" s="4" t="s">
        <v>17</v>
      </c>
      <c r="H366" s="4" t="s">
        <v>72</v>
      </c>
      <c r="I366" s="6">
        <v>2</v>
      </c>
      <c r="J366" s="6">
        <v>4342</v>
      </c>
      <c r="K366" s="6">
        <v>3353.04</v>
      </c>
      <c r="L366" s="6">
        <v>988.96</v>
      </c>
      <c r="M366" s="11">
        <f>Table13[[#This Row],[Profit]]/Table13[[#This Row],[Sales]]</f>
        <v>0.2277660064486412</v>
      </c>
      <c r="N366" s="6" t="str">
        <f>TEXT(Table13[[#This Row],[Order Date]],"mmm")</f>
        <v>Jan</v>
      </c>
      <c r="O366" s="6">
        <f>YEAR(Table13[[#This Row],[Order Date]])</f>
        <v>2024</v>
      </c>
    </row>
    <row r="367" spans="1:15" x14ac:dyDescent="0.3">
      <c r="A367" s="4" t="s">
        <v>835</v>
      </c>
      <c r="B367" s="5">
        <v>45475</v>
      </c>
      <c r="C367" s="4" t="s">
        <v>836</v>
      </c>
      <c r="D367" s="4" t="s">
        <v>399</v>
      </c>
      <c r="E367" s="4" t="s">
        <v>29</v>
      </c>
      <c r="F367" s="4" t="s">
        <v>102</v>
      </c>
      <c r="G367" s="4" t="s">
        <v>35</v>
      </c>
      <c r="H367" s="4" t="s">
        <v>80</v>
      </c>
      <c r="I367" s="6">
        <v>6</v>
      </c>
      <c r="J367" s="6">
        <v>20622</v>
      </c>
      <c r="K367" s="6">
        <v>17035.169999999998</v>
      </c>
      <c r="L367" s="6">
        <v>3586.83</v>
      </c>
      <c r="M367" s="11">
        <f>Table13[[#This Row],[Profit]]/Table13[[#This Row],[Sales]]</f>
        <v>0.17393220832121034</v>
      </c>
      <c r="N367" s="6" t="str">
        <f>TEXT(Table13[[#This Row],[Order Date]],"mmm")</f>
        <v>Jul</v>
      </c>
      <c r="O367" s="6">
        <f>YEAR(Table13[[#This Row],[Order Date]])</f>
        <v>2024</v>
      </c>
    </row>
    <row r="368" spans="1:15" x14ac:dyDescent="0.3">
      <c r="A368" s="4" t="s">
        <v>837</v>
      </c>
      <c r="B368" s="5">
        <v>45619</v>
      </c>
      <c r="C368" s="4" t="s">
        <v>271</v>
      </c>
      <c r="D368" s="4" t="s">
        <v>650</v>
      </c>
      <c r="E368" s="4" t="s">
        <v>22</v>
      </c>
      <c r="F368" s="4" t="s">
        <v>23</v>
      </c>
      <c r="G368" s="4" t="s">
        <v>40</v>
      </c>
      <c r="H368" s="4" t="s">
        <v>41</v>
      </c>
      <c r="I368" s="6">
        <v>4</v>
      </c>
      <c r="J368" s="6">
        <v>14836</v>
      </c>
      <c r="K368" s="6">
        <v>12236.09</v>
      </c>
      <c r="L368" s="6">
        <v>2599.91</v>
      </c>
      <c r="M368" s="11">
        <f>Table13[[#This Row],[Profit]]/Table13[[#This Row],[Sales]]</f>
        <v>0.17524332704232945</v>
      </c>
      <c r="N368" s="6" t="str">
        <f>TEXT(Table13[[#This Row],[Order Date]],"mmm")</f>
        <v>Nov</v>
      </c>
      <c r="O368" s="6">
        <f>YEAR(Table13[[#This Row],[Order Date]])</f>
        <v>2024</v>
      </c>
    </row>
    <row r="369" spans="1:15" x14ac:dyDescent="0.3">
      <c r="A369" s="4" t="s">
        <v>838</v>
      </c>
      <c r="B369" s="5">
        <v>45820</v>
      </c>
      <c r="C369" s="4" t="s">
        <v>446</v>
      </c>
      <c r="D369" s="4" t="s">
        <v>839</v>
      </c>
      <c r="E369" s="4" t="s">
        <v>54</v>
      </c>
      <c r="F369" s="4" t="s">
        <v>142</v>
      </c>
      <c r="G369" s="4" t="s">
        <v>35</v>
      </c>
      <c r="H369" s="4" t="s">
        <v>45</v>
      </c>
      <c r="I369" s="6">
        <v>1</v>
      </c>
      <c r="J369" s="6">
        <v>1769</v>
      </c>
      <c r="K369" s="6">
        <v>1091.3900000000001</v>
      </c>
      <c r="L369" s="6">
        <v>677.61</v>
      </c>
      <c r="M369" s="11">
        <f>Table13[[#This Row],[Profit]]/Table13[[#This Row],[Sales]]</f>
        <v>0.38304691916336914</v>
      </c>
      <c r="N369" s="6" t="str">
        <f>TEXT(Table13[[#This Row],[Order Date]],"mmm")</f>
        <v>Jun</v>
      </c>
      <c r="O369" s="6">
        <f>YEAR(Table13[[#This Row],[Order Date]])</f>
        <v>2025</v>
      </c>
    </row>
    <row r="370" spans="1:15" x14ac:dyDescent="0.3">
      <c r="A370" s="4" t="s">
        <v>840</v>
      </c>
      <c r="B370" s="5">
        <v>45759</v>
      </c>
      <c r="C370" s="4" t="s">
        <v>841</v>
      </c>
      <c r="D370" s="4" t="s">
        <v>431</v>
      </c>
      <c r="E370" s="4" t="s">
        <v>15</v>
      </c>
      <c r="F370" s="4" t="s">
        <v>63</v>
      </c>
      <c r="G370" s="4" t="s">
        <v>40</v>
      </c>
      <c r="H370" s="4" t="s">
        <v>99</v>
      </c>
      <c r="I370" s="6">
        <v>5</v>
      </c>
      <c r="J370" s="6">
        <v>14905</v>
      </c>
      <c r="K370" s="6">
        <v>8584.02</v>
      </c>
      <c r="L370" s="6">
        <v>6320.98</v>
      </c>
      <c r="M370" s="11">
        <f>Table13[[#This Row],[Profit]]/Table13[[#This Row],[Sales]]</f>
        <v>0.42408453539080843</v>
      </c>
      <c r="N370" s="6" t="str">
        <f>TEXT(Table13[[#This Row],[Order Date]],"mmm")</f>
        <v>Apr</v>
      </c>
      <c r="O370" s="6">
        <f>YEAR(Table13[[#This Row],[Order Date]])</f>
        <v>2025</v>
      </c>
    </row>
    <row r="371" spans="1:15" x14ac:dyDescent="0.3">
      <c r="A371" s="4" t="s">
        <v>842</v>
      </c>
      <c r="B371" s="5">
        <v>45897</v>
      </c>
      <c r="C371" s="4" t="s">
        <v>843</v>
      </c>
      <c r="D371" s="4" t="s">
        <v>733</v>
      </c>
      <c r="E371" s="4" t="s">
        <v>29</v>
      </c>
      <c r="F371" s="4" t="s">
        <v>49</v>
      </c>
      <c r="G371" s="4" t="s">
        <v>17</v>
      </c>
      <c r="H371" s="4" t="s">
        <v>72</v>
      </c>
      <c r="I371" s="6">
        <v>5</v>
      </c>
      <c r="J371" s="6">
        <v>11435</v>
      </c>
      <c r="K371" s="6">
        <v>7880.75</v>
      </c>
      <c r="L371" s="6">
        <v>3554.25</v>
      </c>
      <c r="M371" s="11">
        <f>Table13[[#This Row],[Profit]]/Table13[[#This Row],[Sales]]</f>
        <v>0.31082203760384786</v>
      </c>
      <c r="N371" s="6" t="str">
        <f>TEXT(Table13[[#This Row],[Order Date]],"mmm")</f>
        <v>Aug</v>
      </c>
      <c r="O371" s="6">
        <f>YEAR(Table13[[#This Row],[Order Date]])</f>
        <v>2025</v>
      </c>
    </row>
    <row r="372" spans="1:15" x14ac:dyDescent="0.3">
      <c r="A372" s="4" t="s">
        <v>844</v>
      </c>
      <c r="B372" s="5">
        <v>45646</v>
      </c>
      <c r="C372" s="4" t="s">
        <v>841</v>
      </c>
      <c r="D372" s="4" t="s">
        <v>829</v>
      </c>
      <c r="E372" s="4" t="s">
        <v>29</v>
      </c>
      <c r="F372" s="4" t="s">
        <v>102</v>
      </c>
      <c r="G372" s="4" t="s">
        <v>24</v>
      </c>
      <c r="H372" s="4" t="s">
        <v>25</v>
      </c>
      <c r="I372" s="6">
        <v>7</v>
      </c>
      <c r="J372" s="6">
        <v>3465</v>
      </c>
      <c r="K372" s="6">
        <v>2147.9499999999998</v>
      </c>
      <c r="L372" s="6">
        <v>1317.05</v>
      </c>
      <c r="M372" s="11">
        <f>Table13[[#This Row],[Profit]]/Table13[[#This Row],[Sales]]</f>
        <v>0.38010101010101011</v>
      </c>
      <c r="N372" s="6" t="str">
        <f>TEXT(Table13[[#This Row],[Order Date]],"mmm")</f>
        <v>Dec</v>
      </c>
      <c r="O372" s="6">
        <f>YEAR(Table13[[#This Row],[Order Date]])</f>
        <v>2024</v>
      </c>
    </row>
    <row r="373" spans="1:15" x14ac:dyDescent="0.3">
      <c r="A373" s="4" t="s">
        <v>845</v>
      </c>
      <c r="B373" s="5">
        <v>45535</v>
      </c>
      <c r="C373" s="4" t="s">
        <v>584</v>
      </c>
      <c r="D373" s="4" t="s">
        <v>846</v>
      </c>
      <c r="E373" s="4" t="s">
        <v>15</v>
      </c>
      <c r="F373" s="4" t="s">
        <v>90</v>
      </c>
      <c r="G373" s="4" t="s">
        <v>35</v>
      </c>
      <c r="H373" s="4" t="s">
        <v>36</v>
      </c>
      <c r="I373" s="6">
        <v>5</v>
      </c>
      <c r="J373" s="6">
        <v>5755</v>
      </c>
      <c r="K373" s="6">
        <v>3519.52</v>
      </c>
      <c r="L373" s="6">
        <v>2235.48</v>
      </c>
      <c r="M373" s="11">
        <f>Table13[[#This Row],[Profit]]/Table13[[#This Row],[Sales]]</f>
        <v>0.38844135534317986</v>
      </c>
      <c r="N373" s="6" t="str">
        <f>TEXT(Table13[[#This Row],[Order Date]],"mmm")</f>
        <v>Aug</v>
      </c>
      <c r="O373" s="6">
        <f>YEAR(Table13[[#This Row],[Order Date]])</f>
        <v>2024</v>
      </c>
    </row>
    <row r="374" spans="1:15" x14ac:dyDescent="0.3">
      <c r="A374" s="4" t="s">
        <v>847</v>
      </c>
      <c r="B374" s="5">
        <v>45529</v>
      </c>
      <c r="C374" s="4" t="s">
        <v>848</v>
      </c>
      <c r="D374" s="4" t="s">
        <v>728</v>
      </c>
      <c r="E374" s="4" t="s">
        <v>15</v>
      </c>
      <c r="F374" s="4" t="s">
        <v>16</v>
      </c>
      <c r="G374" s="4" t="s">
        <v>17</v>
      </c>
      <c r="H374" s="4" t="s">
        <v>18</v>
      </c>
      <c r="I374" s="6">
        <v>5</v>
      </c>
      <c r="J374" s="6">
        <v>5310</v>
      </c>
      <c r="K374" s="6">
        <v>2990.43</v>
      </c>
      <c r="L374" s="6">
        <v>2319.5700000000002</v>
      </c>
      <c r="M374" s="11">
        <f>Table13[[#This Row],[Profit]]/Table13[[#This Row],[Sales]]</f>
        <v>0.43683050847457633</v>
      </c>
      <c r="N374" s="6" t="str">
        <f>TEXT(Table13[[#This Row],[Order Date]],"mmm")</f>
        <v>Aug</v>
      </c>
      <c r="O374" s="6">
        <f>YEAR(Table13[[#This Row],[Order Date]])</f>
        <v>2024</v>
      </c>
    </row>
    <row r="375" spans="1:15" x14ac:dyDescent="0.3">
      <c r="A375" s="4" t="s">
        <v>849</v>
      </c>
      <c r="B375" s="5">
        <v>45944</v>
      </c>
      <c r="C375" s="4" t="s">
        <v>594</v>
      </c>
      <c r="D375" s="4" t="s">
        <v>350</v>
      </c>
      <c r="E375" s="4" t="s">
        <v>54</v>
      </c>
      <c r="F375" s="4" t="s">
        <v>55</v>
      </c>
      <c r="G375" s="4" t="s">
        <v>17</v>
      </c>
      <c r="H375" s="4" t="s">
        <v>18</v>
      </c>
      <c r="I375" s="6">
        <v>2</v>
      </c>
      <c r="J375" s="6">
        <v>2164</v>
      </c>
      <c r="K375" s="6">
        <v>1518.32</v>
      </c>
      <c r="L375" s="6">
        <v>645.67999999999995</v>
      </c>
      <c r="M375" s="11">
        <f>Table13[[#This Row],[Profit]]/Table13[[#This Row],[Sales]]</f>
        <v>0.29837338262476892</v>
      </c>
      <c r="N375" s="6" t="str">
        <f>TEXT(Table13[[#This Row],[Order Date]],"mmm")</f>
        <v>Oct</v>
      </c>
      <c r="O375" s="6">
        <f>YEAR(Table13[[#This Row],[Order Date]])</f>
        <v>2025</v>
      </c>
    </row>
    <row r="376" spans="1:15" x14ac:dyDescent="0.3">
      <c r="A376" s="4" t="s">
        <v>850</v>
      </c>
      <c r="B376" s="5">
        <v>45614</v>
      </c>
      <c r="C376" s="4" t="s">
        <v>594</v>
      </c>
      <c r="D376" s="4" t="s">
        <v>232</v>
      </c>
      <c r="E376" s="4" t="s">
        <v>15</v>
      </c>
      <c r="F376" s="4" t="s">
        <v>63</v>
      </c>
      <c r="G376" s="4" t="s">
        <v>17</v>
      </c>
      <c r="H376" s="4" t="s">
        <v>31</v>
      </c>
      <c r="I376" s="6">
        <v>3</v>
      </c>
      <c r="J376" s="6">
        <v>6717</v>
      </c>
      <c r="K376" s="6">
        <v>4282.1099999999997</v>
      </c>
      <c r="L376" s="6">
        <v>2434.89</v>
      </c>
      <c r="M376" s="11">
        <f>Table13[[#This Row],[Profit]]/Table13[[#This Row],[Sales]]</f>
        <v>0.36249665029030814</v>
      </c>
      <c r="N376" s="6" t="str">
        <f>TEXT(Table13[[#This Row],[Order Date]],"mmm")</f>
        <v>Nov</v>
      </c>
      <c r="O376" s="6">
        <f>YEAR(Table13[[#This Row],[Order Date]])</f>
        <v>2024</v>
      </c>
    </row>
    <row r="377" spans="1:15" x14ac:dyDescent="0.3">
      <c r="A377" s="4" t="s">
        <v>851</v>
      </c>
      <c r="B377" s="5">
        <v>45431</v>
      </c>
      <c r="C377" s="4" t="s">
        <v>313</v>
      </c>
      <c r="D377" s="4" t="s">
        <v>852</v>
      </c>
      <c r="E377" s="4" t="s">
        <v>54</v>
      </c>
      <c r="F377" s="4" t="s">
        <v>55</v>
      </c>
      <c r="G377" s="4" t="s">
        <v>40</v>
      </c>
      <c r="H377" s="4" t="s">
        <v>99</v>
      </c>
      <c r="I377" s="6">
        <v>4</v>
      </c>
      <c r="J377" s="6">
        <v>3644</v>
      </c>
      <c r="K377" s="6">
        <v>3035.69</v>
      </c>
      <c r="L377" s="6">
        <v>608.30999999999995</v>
      </c>
      <c r="M377" s="11">
        <f>Table13[[#This Row],[Profit]]/Table13[[#This Row],[Sales]]</f>
        <v>0.16693468715697035</v>
      </c>
      <c r="N377" s="6" t="str">
        <f>TEXT(Table13[[#This Row],[Order Date]],"mmm")</f>
        <v>May</v>
      </c>
      <c r="O377" s="6">
        <f>YEAR(Table13[[#This Row],[Order Date]])</f>
        <v>2024</v>
      </c>
    </row>
    <row r="378" spans="1:15" x14ac:dyDescent="0.3">
      <c r="A378" s="4" t="s">
        <v>853</v>
      </c>
      <c r="B378" s="5">
        <v>45415</v>
      </c>
      <c r="C378" s="4" t="s">
        <v>38</v>
      </c>
      <c r="D378" s="4" t="s">
        <v>359</v>
      </c>
      <c r="E378" s="4" t="s">
        <v>29</v>
      </c>
      <c r="F378" s="4" t="s">
        <v>102</v>
      </c>
      <c r="G378" s="4" t="s">
        <v>24</v>
      </c>
      <c r="H378" s="4" t="s">
        <v>166</v>
      </c>
      <c r="I378" s="6">
        <v>8</v>
      </c>
      <c r="J378" s="6">
        <v>32936</v>
      </c>
      <c r="K378" s="6">
        <v>21217.7</v>
      </c>
      <c r="L378" s="6">
        <v>11718.3</v>
      </c>
      <c r="M378" s="11">
        <f>Table13[[#This Row],[Profit]]/Table13[[#This Row],[Sales]]</f>
        <v>0.35579001700267182</v>
      </c>
      <c r="N378" s="6" t="str">
        <f>TEXT(Table13[[#This Row],[Order Date]],"mmm")</f>
        <v>May</v>
      </c>
      <c r="O378" s="6">
        <f>YEAR(Table13[[#This Row],[Order Date]])</f>
        <v>2024</v>
      </c>
    </row>
    <row r="379" spans="1:15" x14ac:dyDescent="0.3">
      <c r="A379" s="4" t="s">
        <v>854</v>
      </c>
      <c r="B379" s="5">
        <v>45384</v>
      </c>
      <c r="C379" s="4" t="s">
        <v>129</v>
      </c>
      <c r="D379" s="4" t="s">
        <v>190</v>
      </c>
      <c r="E379" s="4" t="s">
        <v>29</v>
      </c>
      <c r="F379" s="4" t="s">
        <v>49</v>
      </c>
      <c r="G379" s="4" t="s">
        <v>40</v>
      </c>
      <c r="H379" s="4" t="s">
        <v>99</v>
      </c>
      <c r="I379" s="6">
        <v>8</v>
      </c>
      <c r="J379" s="6">
        <v>19760</v>
      </c>
      <c r="K379" s="6">
        <v>15921.51</v>
      </c>
      <c r="L379" s="6">
        <v>3838.49</v>
      </c>
      <c r="M379" s="11">
        <f>Table13[[#This Row],[Profit]]/Table13[[#This Row],[Sales]]</f>
        <v>0.19425556680161943</v>
      </c>
      <c r="N379" s="6" t="str">
        <f>TEXT(Table13[[#This Row],[Order Date]],"mmm")</f>
        <v>Apr</v>
      </c>
      <c r="O379" s="6">
        <f>YEAR(Table13[[#This Row],[Order Date]])</f>
        <v>2024</v>
      </c>
    </row>
    <row r="380" spans="1:15" x14ac:dyDescent="0.3">
      <c r="A380" s="4" t="s">
        <v>855</v>
      </c>
      <c r="B380" s="5">
        <v>45656</v>
      </c>
      <c r="C380" s="4" t="s">
        <v>856</v>
      </c>
      <c r="D380" s="4" t="s">
        <v>857</v>
      </c>
      <c r="E380" s="4" t="s">
        <v>15</v>
      </c>
      <c r="F380" s="4" t="s">
        <v>16</v>
      </c>
      <c r="G380" s="4" t="s">
        <v>40</v>
      </c>
      <c r="H380" s="4" t="s">
        <v>41</v>
      </c>
      <c r="I380" s="6">
        <v>3</v>
      </c>
      <c r="J380" s="6">
        <v>3141</v>
      </c>
      <c r="K380" s="6">
        <v>2397.67</v>
      </c>
      <c r="L380" s="6">
        <v>743.33</v>
      </c>
      <c r="M380" s="11">
        <f>Table13[[#This Row],[Profit]]/Table13[[#This Row],[Sales]]</f>
        <v>0.2366539318688316</v>
      </c>
      <c r="N380" s="6" t="str">
        <f>TEXT(Table13[[#This Row],[Order Date]],"mmm")</f>
        <v>Dec</v>
      </c>
      <c r="O380" s="6">
        <f>YEAR(Table13[[#This Row],[Order Date]])</f>
        <v>2024</v>
      </c>
    </row>
    <row r="381" spans="1:15" x14ac:dyDescent="0.3">
      <c r="A381" s="4" t="s">
        <v>858</v>
      </c>
      <c r="B381" s="5">
        <v>45706</v>
      </c>
      <c r="C381" s="4" t="s">
        <v>97</v>
      </c>
      <c r="D381" s="4" t="s">
        <v>769</v>
      </c>
      <c r="E381" s="4" t="s">
        <v>15</v>
      </c>
      <c r="F381" s="4" t="s">
        <v>90</v>
      </c>
      <c r="G381" s="4" t="s">
        <v>40</v>
      </c>
      <c r="H381" s="4" t="s">
        <v>99</v>
      </c>
      <c r="I381" s="6">
        <v>5</v>
      </c>
      <c r="J381" s="6">
        <v>8620</v>
      </c>
      <c r="K381" s="6">
        <v>4821.38</v>
      </c>
      <c r="L381" s="6">
        <v>3798.62</v>
      </c>
      <c r="M381" s="11">
        <f>Table13[[#This Row],[Profit]]/Table13[[#This Row],[Sales]]</f>
        <v>0.44067517401392109</v>
      </c>
      <c r="N381" s="6" t="str">
        <f>TEXT(Table13[[#This Row],[Order Date]],"mmm")</f>
        <v>Feb</v>
      </c>
      <c r="O381" s="6">
        <f>YEAR(Table13[[#This Row],[Order Date]])</f>
        <v>2025</v>
      </c>
    </row>
    <row r="382" spans="1:15" x14ac:dyDescent="0.3">
      <c r="A382" s="4" t="s">
        <v>859</v>
      </c>
      <c r="B382" s="5">
        <v>45355</v>
      </c>
      <c r="C382" s="4" t="s">
        <v>168</v>
      </c>
      <c r="D382" s="4" t="s">
        <v>566</v>
      </c>
      <c r="E382" s="4" t="s">
        <v>29</v>
      </c>
      <c r="F382" s="4" t="s">
        <v>102</v>
      </c>
      <c r="G382" s="4" t="s">
        <v>35</v>
      </c>
      <c r="H382" s="4" t="s">
        <v>80</v>
      </c>
      <c r="I382" s="6">
        <v>2</v>
      </c>
      <c r="J382" s="6">
        <v>2890</v>
      </c>
      <c r="K382" s="6">
        <v>1694.8</v>
      </c>
      <c r="L382" s="6">
        <v>1195.2</v>
      </c>
      <c r="M382" s="11">
        <f>Table13[[#This Row],[Profit]]/Table13[[#This Row],[Sales]]</f>
        <v>0.41356401384083047</v>
      </c>
      <c r="N382" s="6" t="str">
        <f>TEXT(Table13[[#This Row],[Order Date]],"mmm")</f>
        <v>Mar</v>
      </c>
      <c r="O382" s="6">
        <f>YEAR(Table13[[#This Row],[Order Date]])</f>
        <v>2024</v>
      </c>
    </row>
    <row r="383" spans="1:15" x14ac:dyDescent="0.3">
      <c r="A383" s="4" t="s">
        <v>860</v>
      </c>
      <c r="B383" s="5">
        <v>45368</v>
      </c>
      <c r="C383" s="4" t="s">
        <v>861</v>
      </c>
      <c r="D383" s="4" t="s">
        <v>862</v>
      </c>
      <c r="E383" s="4" t="s">
        <v>29</v>
      </c>
      <c r="F383" s="4" t="s">
        <v>49</v>
      </c>
      <c r="G383" s="4" t="s">
        <v>40</v>
      </c>
      <c r="H383" s="4" t="s">
        <v>41</v>
      </c>
      <c r="I383" s="6">
        <v>2</v>
      </c>
      <c r="J383" s="6">
        <v>4840</v>
      </c>
      <c r="K383" s="6">
        <v>3994.11</v>
      </c>
      <c r="L383" s="6">
        <v>845.89</v>
      </c>
      <c r="M383" s="11">
        <f>Table13[[#This Row],[Profit]]/Table13[[#This Row],[Sales]]</f>
        <v>0.1747706611570248</v>
      </c>
      <c r="N383" s="6" t="str">
        <f>TEXT(Table13[[#This Row],[Order Date]],"mmm")</f>
        <v>Mar</v>
      </c>
      <c r="O383" s="6">
        <f>YEAR(Table13[[#This Row],[Order Date]])</f>
        <v>2024</v>
      </c>
    </row>
    <row r="384" spans="1:15" x14ac:dyDescent="0.3">
      <c r="A384" s="4" t="s">
        <v>863</v>
      </c>
      <c r="B384" s="5">
        <v>45631</v>
      </c>
      <c r="C384" s="4" t="s">
        <v>427</v>
      </c>
      <c r="D384" s="4" t="s">
        <v>475</v>
      </c>
      <c r="E384" s="4" t="s">
        <v>29</v>
      </c>
      <c r="F384" s="4" t="s">
        <v>30</v>
      </c>
      <c r="G384" s="4" t="s">
        <v>35</v>
      </c>
      <c r="H384" s="4" t="s">
        <v>80</v>
      </c>
      <c r="I384" s="6">
        <v>3</v>
      </c>
      <c r="J384" s="6">
        <v>3159</v>
      </c>
      <c r="K384" s="6">
        <v>2595.19</v>
      </c>
      <c r="L384" s="6">
        <v>563.80999999999995</v>
      </c>
      <c r="M384" s="11">
        <f>Table13[[#This Row],[Profit]]/Table13[[#This Row],[Sales]]</f>
        <v>0.17847736625514402</v>
      </c>
      <c r="N384" s="6" t="str">
        <f>TEXT(Table13[[#This Row],[Order Date]],"mmm")</f>
        <v>Dec</v>
      </c>
      <c r="O384" s="6">
        <f>YEAR(Table13[[#This Row],[Order Date]])</f>
        <v>2024</v>
      </c>
    </row>
    <row r="385" spans="1:15" x14ac:dyDescent="0.3">
      <c r="A385" s="4" t="s">
        <v>864</v>
      </c>
      <c r="B385" s="5">
        <v>45696</v>
      </c>
      <c r="C385" s="4" t="s">
        <v>865</v>
      </c>
      <c r="D385" s="4" t="s">
        <v>575</v>
      </c>
      <c r="E385" s="4" t="s">
        <v>22</v>
      </c>
      <c r="F385" s="4" t="s">
        <v>23</v>
      </c>
      <c r="G385" s="4" t="s">
        <v>24</v>
      </c>
      <c r="H385" s="4" t="s">
        <v>166</v>
      </c>
      <c r="I385" s="6">
        <v>10</v>
      </c>
      <c r="J385" s="6">
        <v>38480</v>
      </c>
      <c r="K385" s="6">
        <v>30649.54</v>
      </c>
      <c r="L385" s="6">
        <v>7830.46</v>
      </c>
      <c r="M385" s="11">
        <f>Table13[[#This Row],[Profit]]/Table13[[#This Row],[Sales]]</f>
        <v>0.20349428274428275</v>
      </c>
      <c r="N385" s="6" t="str">
        <f>TEXT(Table13[[#This Row],[Order Date]],"mmm")</f>
        <v>Feb</v>
      </c>
      <c r="O385" s="6">
        <f>YEAR(Table13[[#This Row],[Order Date]])</f>
        <v>2025</v>
      </c>
    </row>
    <row r="386" spans="1:15" x14ac:dyDescent="0.3">
      <c r="A386" s="4" t="s">
        <v>866</v>
      </c>
      <c r="B386" s="5">
        <v>45483</v>
      </c>
      <c r="C386" s="4" t="s">
        <v>279</v>
      </c>
      <c r="D386" s="4" t="s">
        <v>867</v>
      </c>
      <c r="E386" s="4" t="s">
        <v>22</v>
      </c>
      <c r="F386" s="4" t="s">
        <v>79</v>
      </c>
      <c r="G386" s="4" t="s">
        <v>35</v>
      </c>
      <c r="H386" s="4" t="s">
        <v>36</v>
      </c>
      <c r="I386" s="6">
        <v>3</v>
      </c>
      <c r="J386" s="6">
        <v>9597</v>
      </c>
      <c r="K386" s="6">
        <v>5896.54</v>
      </c>
      <c r="L386" s="6">
        <v>3700.46</v>
      </c>
      <c r="M386" s="11">
        <f>Table13[[#This Row],[Profit]]/Table13[[#This Row],[Sales]]</f>
        <v>0.38558507867041786</v>
      </c>
      <c r="N386" s="6" t="str">
        <f>TEXT(Table13[[#This Row],[Order Date]],"mmm")</f>
        <v>Jul</v>
      </c>
      <c r="O386" s="6">
        <f>YEAR(Table13[[#This Row],[Order Date]])</f>
        <v>2024</v>
      </c>
    </row>
    <row r="387" spans="1:15" x14ac:dyDescent="0.3">
      <c r="A387" s="4" t="s">
        <v>868</v>
      </c>
      <c r="B387" s="5">
        <v>45802</v>
      </c>
      <c r="C387" s="4" t="s">
        <v>165</v>
      </c>
      <c r="D387" s="4" t="s">
        <v>869</v>
      </c>
      <c r="E387" s="4" t="s">
        <v>22</v>
      </c>
      <c r="F387" s="4" t="s">
        <v>23</v>
      </c>
      <c r="G387" s="4" t="s">
        <v>24</v>
      </c>
      <c r="H387" s="4" t="s">
        <v>25</v>
      </c>
      <c r="I387" s="6">
        <v>10</v>
      </c>
      <c r="J387" s="6">
        <v>23130</v>
      </c>
      <c r="K387" s="6">
        <v>17212.96</v>
      </c>
      <c r="L387" s="6">
        <v>5917.04</v>
      </c>
      <c r="M387" s="11">
        <f>Table13[[#This Row],[Profit]]/Table13[[#This Row],[Sales]]</f>
        <v>0.25581668828361437</v>
      </c>
      <c r="N387" s="6" t="str">
        <f>TEXT(Table13[[#This Row],[Order Date]],"mmm")</f>
        <v>May</v>
      </c>
      <c r="O387" s="6">
        <f>YEAR(Table13[[#This Row],[Order Date]])</f>
        <v>2025</v>
      </c>
    </row>
    <row r="388" spans="1:15" x14ac:dyDescent="0.3">
      <c r="A388" s="4" t="s">
        <v>870</v>
      </c>
      <c r="B388" s="5">
        <v>45496</v>
      </c>
      <c r="C388" s="4" t="s">
        <v>700</v>
      </c>
      <c r="D388" s="4" t="s">
        <v>114</v>
      </c>
      <c r="E388" s="4" t="s">
        <v>22</v>
      </c>
      <c r="F388" s="4" t="s">
        <v>23</v>
      </c>
      <c r="G388" s="4" t="s">
        <v>24</v>
      </c>
      <c r="H388" s="4" t="s">
        <v>50</v>
      </c>
      <c r="I388" s="6">
        <v>5</v>
      </c>
      <c r="J388" s="6">
        <v>17185</v>
      </c>
      <c r="K388" s="6">
        <v>10159.27</v>
      </c>
      <c r="L388" s="6">
        <v>7025.73</v>
      </c>
      <c r="M388" s="11">
        <f>Table13[[#This Row],[Profit]]/Table13[[#This Row],[Sales]]</f>
        <v>0.40882921152167584</v>
      </c>
      <c r="N388" s="6" t="str">
        <f>TEXT(Table13[[#This Row],[Order Date]],"mmm")</f>
        <v>Jul</v>
      </c>
      <c r="O388" s="6">
        <f>YEAR(Table13[[#This Row],[Order Date]])</f>
        <v>2024</v>
      </c>
    </row>
    <row r="389" spans="1:15" x14ac:dyDescent="0.3">
      <c r="A389" s="4" t="s">
        <v>871</v>
      </c>
      <c r="B389" s="5">
        <v>45788</v>
      </c>
      <c r="C389" s="4" t="s">
        <v>872</v>
      </c>
      <c r="D389" s="4" t="s">
        <v>246</v>
      </c>
      <c r="E389" s="4" t="s">
        <v>15</v>
      </c>
      <c r="F389" s="4" t="s">
        <v>63</v>
      </c>
      <c r="G389" s="4" t="s">
        <v>17</v>
      </c>
      <c r="H389" s="4" t="s">
        <v>18</v>
      </c>
      <c r="I389" s="6">
        <v>6</v>
      </c>
      <c r="J389" s="6">
        <v>25374</v>
      </c>
      <c r="K389" s="6">
        <v>18100.68</v>
      </c>
      <c r="L389" s="6">
        <v>7273.32</v>
      </c>
      <c r="M389" s="11">
        <f>Table13[[#This Row],[Profit]]/Table13[[#This Row],[Sales]]</f>
        <v>0.2866445968314022</v>
      </c>
      <c r="N389" s="6" t="str">
        <f>TEXT(Table13[[#This Row],[Order Date]],"mmm")</f>
        <v>May</v>
      </c>
      <c r="O389" s="6">
        <f>YEAR(Table13[[#This Row],[Order Date]])</f>
        <v>2025</v>
      </c>
    </row>
    <row r="390" spans="1:15" x14ac:dyDescent="0.3">
      <c r="A390" s="4" t="s">
        <v>873</v>
      </c>
      <c r="B390" s="5">
        <v>45516</v>
      </c>
      <c r="C390" s="4" t="s">
        <v>438</v>
      </c>
      <c r="D390" s="4" t="s">
        <v>867</v>
      </c>
      <c r="E390" s="4" t="s">
        <v>54</v>
      </c>
      <c r="F390" s="4" t="s">
        <v>55</v>
      </c>
      <c r="G390" s="4" t="s">
        <v>40</v>
      </c>
      <c r="H390" s="4" t="s">
        <v>99</v>
      </c>
      <c r="I390" s="6">
        <v>3</v>
      </c>
      <c r="J390" s="6">
        <v>1539</v>
      </c>
      <c r="K390" s="6">
        <v>993.68</v>
      </c>
      <c r="L390" s="6">
        <v>545.32000000000005</v>
      </c>
      <c r="M390" s="11">
        <f>Table13[[#This Row],[Profit]]/Table13[[#This Row],[Sales]]</f>
        <v>0.35433398310591296</v>
      </c>
      <c r="N390" s="6" t="str">
        <f>TEXT(Table13[[#This Row],[Order Date]],"mmm")</f>
        <v>Aug</v>
      </c>
      <c r="O390" s="6">
        <f>YEAR(Table13[[#This Row],[Order Date]])</f>
        <v>2024</v>
      </c>
    </row>
    <row r="391" spans="1:15" x14ac:dyDescent="0.3">
      <c r="A391" s="4" t="s">
        <v>874</v>
      </c>
      <c r="B391" s="5">
        <v>45394</v>
      </c>
      <c r="C391" s="4" t="s">
        <v>480</v>
      </c>
      <c r="D391" s="4" t="s">
        <v>264</v>
      </c>
      <c r="E391" s="4" t="s">
        <v>15</v>
      </c>
      <c r="F391" s="4" t="s">
        <v>63</v>
      </c>
      <c r="G391" s="4" t="s">
        <v>35</v>
      </c>
      <c r="H391" s="4" t="s">
        <v>45</v>
      </c>
      <c r="I391" s="6">
        <v>6</v>
      </c>
      <c r="J391" s="6">
        <v>13236</v>
      </c>
      <c r="K391" s="6">
        <v>11147.28</v>
      </c>
      <c r="L391" s="6">
        <v>2088.7199999999998</v>
      </c>
      <c r="M391" s="11">
        <f>Table13[[#This Row],[Profit]]/Table13[[#This Row],[Sales]]</f>
        <v>0.15780598368087034</v>
      </c>
      <c r="N391" s="6" t="str">
        <f>TEXT(Table13[[#This Row],[Order Date]],"mmm")</f>
        <v>Apr</v>
      </c>
      <c r="O391" s="6">
        <f>YEAR(Table13[[#This Row],[Order Date]])</f>
        <v>2024</v>
      </c>
    </row>
    <row r="392" spans="1:15" x14ac:dyDescent="0.3">
      <c r="A392" s="4" t="s">
        <v>875</v>
      </c>
      <c r="B392" s="5">
        <v>45689</v>
      </c>
      <c r="C392" s="4" t="s">
        <v>110</v>
      </c>
      <c r="D392" s="4" t="s">
        <v>466</v>
      </c>
      <c r="E392" s="4" t="s">
        <v>54</v>
      </c>
      <c r="F392" s="4" t="s">
        <v>71</v>
      </c>
      <c r="G392" s="4" t="s">
        <v>17</v>
      </c>
      <c r="H392" s="4" t="s">
        <v>18</v>
      </c>
      <c r="I392" s="6">
        <v>1</v>
      </c>
      <c r="J392" s="6">
        <v>2097</v>
      </c>
      <c r="K392" s="6">
        <v>1515.52</v>
      </c>
      <c r="L392" s="6">
        <v>581.48</v>
      </c>
      <c r="M392" s="11">
        <f>Table13[[#This Row],[Profit]]/Table13[[#This Row],[Sales]]</f>
        <v>0.27729136862184073</v>
      </c>
      <c r="N392" s="6" t="str">
        <f>TEXT(Table13[[#This Row],[Order Date]],"mmm")</f>
        <v>Feb</v>
      </c>
      <c r="O392" s="6">
        <f>YEAR(Table13[[#This Row],[Order Date]])</f>
        <v>2025</v>
      </c>
    </row>
    <row r="393" spans="1:15" x14ac:dyDescent="0.3">
      <c r="A393" s="4" t="s">
        <v>876</v>
      </c>
      <c r="B393" s="5">
        <v>45320</v>
      </c>
      <c r="C393" s="4" t="s">
        <v>764</v>
      </c>
      <c r="D393" s="4" t="s">
        <v>442</v>
      </c>
      <c r="E393" s="4" t="s">
        <v>29</v>
      </c>
      <c r="F393" s="4" t="s">
        <v>102</v>
      </c>
      <c r="G393" s="4" t="s">
        <v>17</v>
      </c>
      <c r="H393" s="4" t="s">
        <v>72</v>
      </c>
      <c r="I393" s="6">
        <v>6</v>
      </c>
      <c r="J393" s="6">
        <v>19434</v>
      </c>
      <c r="K393" s="6">
        <v>16017.39</v>
      </c>
      <c r="L393" s="6">
        <v>3416.61</v>
      </c>
      <c r="M393" s="11">
        <f>Table13[[#This Row],[Profit]]/Table13[[#This Row],[Sales]]</f>
        <v>0.17580580426057427</v>
      </c>
      <c r="N393" s="6" t="str">
        <f>TEXT(Table13[[#This Row],[Order Date]],"mmm")</f>
        <v>Jan</v>
      </c>
      <c r="O393" s="6">
        <f>YEAR(Table13[[#This Row],[Order Date]])</f>
        <v>2024</v>
      </c>
    </row>
    <row r="394" spans="1:15" x14ac:dyDescent="0.3">
      <c r="A394" s="4" t="s">
        <v>877</v>
      </c>
      <c r="B394" s="5">
        <v>45794</v>
      </c>
      <c r="C394" s="4" t="s">
        <v>628</v>
      </c>
      <c r="D394" s="4" t="s">
        <v>439</v>
      </c>
      <c r="E394" s="4" t="s">
        <v>29</v>
      </c>
      <c r="F394" s="4" t="s">
        <v>30</v>
      </c>
      <c r="G394" s="4" t="s">
        <v>40</v>
      </c>
      <c r="H394" s="4" t="s">
        <v>56</v>
      </c>
      <c r="I394" s="6">
        <v>8</v>
      </c>
      <c r="J394" s="6">
        <v>37928</v>
      </c>
      <c r="K394" s="6">
        <v>24376.93</v>
      </c>
      <c r="L394" s="6">
        <v>13551.07</v>
      </c>
      <c r="M394" s="11">
        <f>Table13[[#This Row],[Profit]]/Table13[[#This Row],[Sales]]</f>
        <v>0.35728406454334527</v>
      </c>
      <c r="N394" s="6" t="str">
        <f>TEXT(Table13[[#This Row],[Order Date]],"mmm")</f>
        <v>May</v>
      </c>
      <c r="O394" s="6">
        <f>YEAR(Table13[[#This Row],[Order Date]])</f>
        <v>2025</v>
      </c>
    </row>
    <row r="395" spans="1:15" x14ac:dyDescent="0.3">
      <c r="A395" s="4" t="s">
        <v>878</v>
      </c>
      <c r="B395" s="5">
        <v>45292</v>
      </c>
      <c r="C395" s="4" t="s">
        <v>104</v>
      </c>
      <c r="D395" s="4" t="s">
        <v>879</v>
      </c>
      <c r="E395" s="4" t="s">
        <v>15</v>
      </c>
      <c r="F395" s="4" t="s">
        <v>16</v>
      </c>
      <c r="G395" s="4" t="s">
        <v>17</v>
      </c>
      <c r="H395" s="4" t="s">
        <v>72</v>
      </c>
      <c r="I395" s="6">
        <v>4</v>
      </c>
      <c r="J395" s="6">
        <v>1852</v>
      </c>
      <c r="K395" s="6">
        <v>1311.09</v>
      </c>
      <c r="L395" s="6">
        <v>540.91</v>
      </c>
      <c r="M395" s="11">
        <f>Table13[[#This Row],[Profit]]/Table13[[#This Row],[Sales]]</f>
        <v>0.2920680345572354</v>
      </c>
      <c r="N395" s="6" t="str">
        <f>TEXT(Table13[[#This Row],[Order Date]],"mmm")</f>
        <v>Jan</v>
      </c>
      <c r="O395" s="6">
        <f>YEAR(Table13[[#This Row],[Order Date]])</f>
        <v>2024</v>
      </c>
    </row>
    <row r="396" spans="1:15" x14ac:dyDescent="0.3">
      <c r="A396" s="4" t="s">
        <v>880</v>
      </c>
      <c r="B396" s="5">
        <v>45443</v>
      </c>
      <c r="C396" s="4" t="s">
        <v>487</v>
      </c>
      <c r="D396" s="4" t="s">
        <v>602</v>
      </c>
      <c r="E396" s="4" t="s">
        <v>29</v>
      </c>
      <c r="F396" s="4" t="s">
        <v>49</v>
      </c>
      <c r="G396" s="4" t="s">
        <v>17</v>
      </c>
      <c r="H396" s="4" t="s">
        <v>18</v>
      </c>
      <c r="I396" s="6">
        <v>3</v>
      </c>
      <c r="J396" s="6">
        <v>8850</v>
      </c>
      <c r="K396" s="6">
        <v>5025.62</v>
      </c>
      <c r="L396" s="6">
        <v>3824.38</v>
      </c>
      <c r="M396" s="11">
        <f>Table13[[#This Row],[Profit]]/Table13[[#This Row],[Sales]]</f>
        <v>0.43213333333333337</v>
      </c>
      <c r="N396" s="6" t="str">
        <f>TEXT(Table13[[#This Row],[Order Date]],"mmm")</f>
        <v>May</v>
      </c>
      <c r="O396" s="6">
        <f>YEAR(Table13[[#This Row],[Order Date]])</f>
        <v>2024</v>
      </c>
    </row>
    <row r="397" spans="1:15" x14ac:dyDescent="0.3">
      <c r="A397" s="4" t="s">
        <v>881</v>
      </c>
      <c r="B397" s="5">
        <v>45622</v>
      </c>
      <c r="C397" s="4" t="s">
        <v>882</v>
      </c>
      <c r="D397" s="4" t="s">
        <v>296</v>
      </c>
      <c r="E397" s="4" t="s">
        <v>54</v>
      </c>
      <c r="F397" s="4" t="s">
        <v>142</v>
      </c>
      <c r="G397" s="4" t="s">
        <v>40</v>
      </c>
      <c r="H397" s="4" t="s">
        <v>41</v>
      </c>
      <c r="I397" s="6">
        <v>7</v>
      </c>
      <c r="J397" s="6">
        <v>7889</v>
      </c>
      <c r="K397" s="6">
        <v>5135.49</v>
      </c>
      <c r="L397" s="6">
        <v>2753.51</v>
      </c>
      <c r="M397" s="11">
        <f>Table13[[#This Row],[Profit]]/Table13[[#This Row],[Sales]]</f>
        <v>0.34903156293573334</v>
      </c>
      <c r="N397" s="6" t="str">
        <f>TEXT(Table13[[#This Row],[Order Date]],"mmm")</f>
        <v>Nov</v>
      </c>
      <c r="O397" s="6">
        <f>YEAR(Table13[[#This Row],[Order Date]])</f>
        <v>2024</v>
      </c>
    </row>
    <row r="398" spans="1:15" x14ac:dyDescent="0.3">
      <c r="A398" s="4" t="s">
        <v>883</v>
      </c>
      <c r="B398" s="5">
        <v>45867</v>
      </c>
      <c r="C398" s="4" t="s">
        <v>526</v>
      </c>
      <c r="D398" s="4" t="s">
        <v>884</v>
      </c>
      <c r="E398" s="4" t="s">
        <v>22</v>
      </c>
      <c r="F398" s="4" t="s">
        <v>79</v>
      </c>
      <c r="G398" s="4" t="s">
        <v>35</v>
      </c>
      <c r="H398" s="4" t="s">
        <v>80</v>
      </c>
      <c r="I398" s="6">
        <v>6</v>
      </c>
      <c r="J398" s="6">
        <v>10362</v>
      </c>
      <c r="K398" s="6">
        <v>7897.45</v>
      </c>
      <c r="L398" s="6">
        <v>2464.5500000000002</v>
      </c>
      <c r="M398" s="11">
        <f>Table13[[#This Row],[Profit]]/Table13[[#This Row],[Sales]]</f>
        <v>0.23784501061571128</v>
      </c>
      <c r="N398" s="6" t="str">
        <f>TEXT(Table13[[#This Row],[Order Date]],"mmm")</f>
        <v>Jul</v>
      </c>
      <c r="O398" s="6">
        <f>YEAR(Table13[[#This Row],[Order Date]])</f>
        <v>2025</v>
      </c>
    </row>
    <row r="399" spans="1:15" x14ac:dyDescent="0.3">
      <c r="A399" s="4" t="s">
        <v>885</v>
      </c>
      <c r="B399" s="5">
        <v>45293</v>
      </c>
      <c r="C399" s="4" t="s">
        <v>281</v>
      </c>
      <c r="D399" s="4" t="s">
        <v>886</v>
      </c>
      <c r="E399" s="4" t="s">
        <v>29</v>
      </c>
      <c r="F399" s="4" t="s">
        <v>49</v>
      </c>
      <c r="G399" s="4" t="s">
        <v>40</v>
      </c>
      <c r="H399" s="4" t="s">
        <v>99</v>
      </c>
      <c r="I399" s="6">
        <v>5</v>
      </c>
      <c r="J399" s="6">
        <v>6715</v>
      </c>
      <c r="K399" s="6">
        <v>4051.24</v>
      </c>
      <c r="L399" s="6">
        <v>2663.76</v>
      </c>
      <c r="M399" s="11">
        <f>Table13[[#This Row],[Profit]]/Table13[[#This Row],[Sales]]</f>
        <v>0.39668801191362624</v>
      </c>
      <c r="N399" s="6" t="str">
        <f>TEXT(Table13[[#This Row],[Order Date]],"mmm")</f>
        <v>Jan</v>
      </c>
      <c r="O399" s="6">
        <f>YEAR(Table13[[#This Row],[Order Date]])</f>
        <v>2024</v>
      </c>
    </row>
    <row r="400" spans="1:15" x14ac:dyDescent="0.3">
      <c r="A400" s="4" t="s">
        <v>887</v>
      </c>
      <c r="B400" s="5">
        <v>45398</v>
      </c>
      <c r="C400" s="4" t="s">
        <v>865</v>
      </c>
      <c r="D400" s="4" t="s">
        <v>888</v>
      </c>
      <c r="E400" s="4" t="s">
        <v>15</v>
      </c>
      <c r="F400" s="4" t="s">
        <v>16</v>
      </c>
      <c r="G400" s="4" t="s">
        <v>17</v>
      </c>
      <c r="H400" s="4" t="s">
        <v>72</v>
      </c>
      <c r="I400" s="6">
        <v>6</v>
      </c>
      <c r="J400" s="6">
        <v>12654</v>
      </c>
      <c r="K400" s="6">
        <v>9387.93</v>
      </c>
      <c r="L400" s="6">
        <v>3266.07</v>
      </c>
      <c r="M400" s="11">
        <f>Table13[[#This Row],[Profit]]/Table13[[#This Row],[Sales]]</f>
        <v>0.25810573731626363</v>
      </c>
      <c r="N400" s="6" t="str">
        <f>TEXT(Table13[[#This Row],[Order Date]],"mmm")</f>
        <v>Apr</v>
      </c>
      <c r="O400" s="6">
        <f>YEAR(Table13[[#This Row],[Order Date]])</f>
        <v>2024</v>
      </c>
    </row>
    <row r="401" spans="1:15" x14ac:dyDescent="0.3">
      <c r="A401" s="4" t="s">
        <v>889</v>
      </c>
      <c r="B401" s="5">
        <v>45463</v>
      </c>
      <c r="C401" s="4" t="s">
        <v>890</v>
      </c>
      <c r="D401" s="4" t="s">
        <v>829</v>
      </c>
      <c r="E401" s="4" t="s">
        <v>54</v>
      </c>
      <c r="F401" s="4" t="s">
        <v>71</v>
      </c>
      <c r="G401" s="4" t="s">
        <v>24</v>
      </c>
      <c r="H401" s="4" t="s">
        <v>50</v>
      </c>
      <c r="I401" s="6">
        <v>4</v>
      </c>
      <c r="J401" s="6">
        <v>12564</v>
      </c>
      <c r="K401" s="6">
        <v>10612.99</v>
      </c>
      <c r="L401" s="6">
        <v>1951.01</v>
      </c>
      <c r="M401" s="11">
        <f>Table13[[#This Row],[Profit]]/Table13[[#This Row],[Sales]]</f>
        <v>0.1552857370264247</v>
      </c>
      <c r="N401" s="6" t="str">
        <f>TEXT(Table13[[#This Row],[Order Date]],"mmm")</f>
        <v>Jun</v>
      </c>
      <c r="O401" s="6">
        <f>YEAR(Table13[[#This Row],[Order Date]])</f>
        <v>2024</v>
      </c>
    </row>
    <row r="402" spans="1:15" x14ac:dyDescent="0.3">
      <c r="A402" s="4" t="s">
        <v>891</v>
      </c>
      <c r="B402" s="5">
        <v>45650</v>
      </c>
      <c r="C402" s="4" t="s">
        <v>892</v>
      </c>
      <c r="D402" s="4" t="s">
        <v>852</v>
      </c>
      <c r="E402" s="4" t="s">
        <v>22</v>
      </c>
      <c r="F402" s="4" t="s">
        <v>23</v>
      </c>
      <c r="G402" s="4" t="s">
        <v>40</v>
      </c>
      <c r="H402" s="4" t="s">
        <v>99</v>
      </c>
      <c r="I402" s="6">
        <v>4</v>
      </c>
      <c r="J402" s="6">
        <v>9376</v>
      </c>
      <c r="K402" s="6">
        <v>7106.57</v>
      </c>
      <c r="L402" s="6">
        <v>2269.4299999999998</v>
      </c>
      <c r="M402" s="11">
        <f>Table13[[#This Row],[Profit]]/Table13[[#This Row],[Sales]]</f>
        <v>0.24204671501706482</v>
      </c>
      <c r="N402" s="6" t="str">
        <f>TEXT(Table13[[#This Row],[Order Date]],"mmm")</f>
        <v>Dec</v>
      </c>
      <c r="O402" s="6">
        <f>YEAR(Table13[[#This Row],[Order Date]])</f>
        <v>2024</v>
      </c>
    </row>
    <row r="403" spans="1:15" x14ac:dyDescent="0.3">
      <c r="A403" s="4" t="s">
        <v>893</v>
      </c>
      <c r="B403" s="5">
        <v>45715</v>
      </c>
      <c r="C403" s="4" t="s">
        <v>843</v>
      </c>
      <c r="D403" s="4" t="s">
        <v>894</v>
      </c>
      <c r="E403" s="4" t="s">
        <v>15</v>
      </c>
      <c r="F403" s="4" t="s">
        <v>16</v>
      </c>
      <c r="G403" s="4" t="s">
        <v>35</v>
      </c>
      <c r="H403" s="4" t="s">
        <v>36</v>
      </c>
      <c r="I403" s="6">
        <v>8</v>
      </c>
      <c r="J403" s="6">
        <v>29896</v>
      </c>
      <c r="K403" s="6">
        <v>25134.48</v>
      </c>
      <c r="L403" s="6">
        <v>4761.5200000000004</v>
      </c>
      <c r="M403" s="11">
        <f>Table13[[#This Row],[Profit]]/Table13[[#This Row],[Sales]]</f>
        <v>0.15926946748728929</v>
      </c>
      <c r="N403" s="6" t="str">
        <f>TEXT(Table13[[#This Row],[Order Date]],"mmm")</f>
        <v>Feb</v>
      </c>
      <c r="O403" s="6">
        <f>YEAR(Table13[[#This Row],[Order Date]])</f>
        <v>2025</v>
      </c>
    </row>
    <row r="404" spans="1:15" x14ac:dyDescent="0.3">
      <c r="A404" s="4" t="s">
        <v>895</v>
      </c>
      <c r="B404" s="5">
        <v>45883</v>
      </c>
      <c r="C404" s="4" t="s">
        <v>802</v>
      </c>
      <c r="D404" s="4" t="s">
        <v>48</v>
      </c>
      <c r="E404" s="4" t="s">
        <v>54</v>
      </c>
      <c r="F404" s="4" t="s">
        <v>71</v>
      </c>
      <c r="G404" s="4" t="s">
        <v>35</v>
      </c>
      <c r="H404" s="4" t="s">
        <v>36</v>
      </c>
      <c r="I404" s="6">
        <v>2</v>
      </c>
      <c r="J404" s="6">
        <v>8454</v>
      </c>
      <c r="K404" s="6">
        <v>6650.08</v>
      </c>
      <c r="L404" s="6">
        <v>1803.92</v>
      </c>
      <c r="M404" s="11">
        <f>Table13[[#This Row],[Profit]]/Table13[[#This Row],[Sales]]</f>
        <v>0.21338064821386327</v>
      </c>
      <c r="N404" s="6" t="str">
        <f>TEXT(Table13[[#This Row],[Order Date]],"mmm")</f>
        <v>Aug</v>
      </c>
      <c r="O404" s="6">
        <f>YEAR(Table13[[#This Row],[Order Date]])</f>
        <v>2025</v>
      </c>
    </row>
    <row r="405" spans="1:15" x14ac:dyDescent="0.3">
      <c r="A405" s="4" t="s">
        <v>896</v>
      </c>
      <c r="B405" s="5">
        <v>45399</v>
      </c>
      <c r="C405" s="4" t="s">
        <v>412</v>
      </c>
      <c r="D405" s="4" t="s">
        <v>150</v>
      </c>
      <c r="E405" s="4" t="s">
        <v>22</v>
      </c>
      <c r="F405" s="4" t="s">
        <v>23</v>
      </c>
      <c r="G405" s="4" t="s">
        <v>24</v>
      </c>
      <c r="H405" s="4" t="s">
        <v>25</v>
      </c>
      <c r="I405" s="6">
        <v>5</v>
      </c>
      <c r="J405" s="6">
        <v>2320</v>
      </c>
      <c r="K405" s="6">
        <v>1497.83</v>
      </c>
      <c r="L405" s="6">
        <v>822.17</v>
      </c>
      <c r="M405" s="11">
        <f>Table13[[#This Row],[Profit]]/Table13[[#This Row],[Sales]]</f>
        <v>0.35438362068965518</v>
      </c>
      <c r="N405" s="6" t="str">
        <f>TEXT(Table13[[#This Row],[Order Date]],"mmm")</f>
        <v>Apr</v>
      </c>
      <c r="O405" s="6">
        <f>YEAR(Table13[[#This Row],[Order Date]])</f>
        <v>2024</v>
      </c>
    </row>
    <row r="406" spans="1:15" x14ac:dyDescent="0.3">
      <c r="A406" s="4" t="s">
        <v>897</v>
      </c>
      <c r="B406" s="5">
        <v>45387</v>
      </c>
      <c r="C406" s="4" t="s">
        <v>535</v>
      </c>
      <c r="D406" s="4" t="s">
        <v>340</v>
      </c>
      <c r="E406" s="4" t="s">
        <v>29</v>
      </c>
      <c r="F406" s="4" t="s">
        <v>49</v>
      </c>
      <c r="G406" s="4" t="s">
        <v>24</v>
      </c>
      <c r="H406" s="4" t="s">
        <v>166</v>
      </c>
      <c r="I406" s="6">
        <v>2</v>
      </c>
      <c r="J406" s="6">
        <v>9562</v>
      </c>
      <c r="K406" s="6">
        <v>7960.85</v>
      </c>
      <c r="L406" s="6">
        <v>1601.15</v>
      </c>
      <c r="M406" s="11">
        <f>Table13[[#This Row],[Profit]]/Table13[[#This Row],[Sales]]</f>
        <v>0.16744927839364152</v>
      </c>
      <c r="N406" s="6" t="str">
        <f>TEXT(Table13[[#This Row],[Order Date]],"mmm")</f>
        <v>Apr</v>
      </c>
      <c r="O406" s="6">
        <f>YEAR(Table13[[#This Row],[Order Date]])</f>
        <v>2024</v>
      </c>
    </row>
    <row r="407" spans="1:15" x14ac:dyDescent="0.3">
      <c r="A407" s="4" t="s">
        <v>898</v>
      </c>
      <c r="B407" s="5">
        <v>45395</v>
      </c>
      <c r="C407" s="4" t="s">
        <v>104</v>
      </c>
      <c r="D407" s="4" t="s">
        <v>754</v>
      </c>
      <c r="E407" s="4" t="s">
        <v>15</v>
      </c>
      <c r="F407" s="4" t="s">
        <v>63</v>
      </c>
      <c r="G407" s="4" t="s">
        <v>17</v>
      </c>
      <c r="H407" s="4" t="s">
        <v>31</v>
      </c>
      <c r="I407" s="6">
        <v>3</v>
      </c>
      <c r="J407" s="6">
        <v>11568</v>
      </c>
      <c r="K407" s="6">
        <v>6907.61</v>
      </c>
      <c r="L407" s="6">
        <v>4660.3900000000003</v>
      </c>
      <c r="M407" s="11">
        <f>Table13[[#This Row],[Profit]]/Table13[[#This Row],[Sales]]</f>
        <v>0.40286912171507611</v>
      </c>
      <c r="N407" s="6" t="str">
        <f>TEXT(Table13[[#This Row],[Order Date]],"mmm")</f>
        <v>Apr</v>
      </c>
      <c r="O407" s="6">
        <f>YEAR(Table13[[#This Row],[Order Date]])</f>
        <v>2024</v>
      </c>
    </row>
    <row r="408" spans="1:15" x14ac:dyDescent="0.3">
      <c r="A408" s="4" t="s">
        <v>899</v>
      </c>
      <c r="B408" s="5">
        <v>45580</v>
      </c>
      <c r="C408" s="4" t="s">
        <v>900</v>
      </c>
      <c r="D408" s="4" t="s">
        <v>673</v>
      </c>
      <c r="E408" s="4" t="s">
        <v>29</v>
      </c>
      <c r="F408" s="4" t="s">
        <v>49</v>
      </c>
      <c r="G408" s="4" t="s">
        <v>17</v>
      </c>
      <c r="H408" s="4" t="s">
        <v>18</v>
      </c>
      <c r="I408" s="6">
        <v>9</v>
      </c>
      <c r="J408" s="6">
        <v>42516</v>
      </c>
      <c r="K408" s="6">
        <v>26767.200000000001</v>
      </c>
      <c r="L408" s="6">
        <v>15748.8</v>
      </c>
      <c r="M408" s="11">
        <f>Table13[[#This Row],[Profit]]/Table13[[#This Row],[Sales]]</f>
        <v>0.37042054755856618</v>
      </c>
      <c r="N408" s="6" t="str">
        <f>TEXT(Table13[[#This Row],[Order Date]],"mmm")</f>
        <v>Oct</v>
      </c>
      <c r="O408" s="6">
        <f>YEAR(Table13[[#This Row],[Order Date]])</f>
        <v>2024</v>
      </c>
    </row>
    <row r="409" spans="1:15" x14ac:dyDescent="0.3">
      <c r="A409" s="4" t="s">
        <v>901</v>
      </c>
      <c r="B409" s="5">
        <v>45449</v>
      </c>
      <c r="C409" s="4" t="s">
        <v>771</v>
      </c>
      <c r="D409" s="4" t="s">
        <v>797</v>
      </c>
      <c r="E409" s="4" t="s">
        <v>15</v>
      </c>
      <c r="F409" s="4" t="s">
        <v>16</v>
      </c>
      <c r="G409" s="4" t="s">
        <v>35</v>
      </c>
      <c r="H409" s="4" t="s">
        <v>36</v>
      </c>
      <c r="I409" s="6">
        <v>10</v>
      </c>
      <c r="J409" s="6">
        <v>48020</v>
      </c>
      <c r="K409" s="6">
        <v>38509.94</v>
      </c>
      <c r="L409" s="6">
        <v>9510.06</v>
      </c>
      <c r="M409" s="11">
        <f>Table13[[#This Row],[Profit]]/Table13[[#This Row],[Sales]]</f>
        <v>0.19804373177842566</v>
      </c>
      <c r="N409" s="6" t="str">
        <f>TEXT(Table13[[#This Row],[Order Date]],"mmm")</f>
        <v>Jun</v>
      </c>
      <c r="O409" s="6">
        <f>YEAR(Table13[[#This Row],[Order Date]])</f>
        <v>2024</v>
      </c>
    </row>
    <row r="410" spans="1:15" x14ac:dyDescent="0.3">
      <c r="A410" s="4" t="s">
        <v>902</v>
      </c>
      <c r="B410" s="5">
        <v>45318</v>
      </c>
      <c r="C410" s="4" t="s">
        <v>783</v>
      </c>
      <c r="D410" s="4" t="s">
        <v>362</v>
      </c>
      <c r="E410" s="4" t="s">
        <v>15</v>
      </c>
      <c r="F410" s="4" t="s">
        <v>63</v>
      </c>
      <c r="G410" s="4" t="s">
        <v>24</v>
      </c>
      <c r="H410" s="4" t="s">
        <v>50</v>
      </c>
      <c r="I410" s="6">
        <v>5</v>
      </c>
      <c r="J410" s="6">
        <v>21170</v>
      </c>
      <c r="K410" s="6">
        <v>12911.63</v>
      </c>
      <c r="L410" s="6">
        <v>8258.3700000000008</v>
      </c>
      <c r="M410" s="11">
        <f>Table13[[#This Row],[Profit]]/Table13[[#This Row],[Sales]]</f>
        <v>0.39009777987718475</v>
      </c>
      <c r="N410" s="6" t="str">
        <f>TEXT(Table13[[#This Row],[Order Date]],"mmm")</f>
        <v>Jan</v>
      </c>
      <c r="O410" s="6">
        <f>YEAR(Table13[[#This Row],[Order Date]])</f>
        <v>2024</v>
      </c>
    </row>
    <row r="411" spans="1:15" x14ac:dyDescent="0.3">
      <c r="A411" s="4" t="s">
        <v>903</v>
      </c>
      <c r="B411" s="5">
        <v>45774</v>
      </c>
      <c r="C411" s="4" t="s">
        <v>904</v>
      </c>
      <c r="D411" s="4" t="s">
        <v>385</v>
      </c>
      <c r="E411" s="4" t="s">
        <v>54</v>
      </c>
      <c r="F411" s="4" t="s">
        <v>142</v>
      </c>
      <c r="G411" s="4" t="s">
        <v>35</v>
      </c>
      <c r="H411" s="4" t="s">
        <v>80</v>
      </c>
      <c r="I411" s="6">
        <v>2</v>
      </c>
      <c r="J411" s="6">
        <v>5652</v>
      </c>
      <c r="K411" s="6">
        <v>4439.4399999999996</v>
      </c>
      <c r="L411" s="6">
        <v>1212.56</v>
      </c>
      <c r="M411" s="11">
        <f>Table13[[#This Row],[Profit]]/Table13[[#This Row],[Sales]]</f>
        <v>0.21453644727530077</v>
      </c>
      <c r="N411" s="6" t="str">
        <f>TEXT(Table13[[#This Row],[Order Date]],"mmm")</f>
        <v>Apr</v>
      </c>
      <c r="O411" s="6">
        <f>YEAR(Table13[[#This Row],[Order Date]])</f>
        <v>2025</v>
      </c>
    </row>
    <row r="412" spans="1:15" x14ac:dyDescent="0.3">
      <c r="A412" s="4" t="s">
        <v>905</v>
      </c>
      <c r="B412" s="5">
        <v>45682</v>
      </c>
      <c r="C412" s="4" t="s">
        <v>906</v>
      </c>
      <c r="D412" s="4" t="s">
        <v>536</v>
      </c>
      <c r="E412" s="4" t="s">
        <v>15</v>
      </c>
      <c r="F412" s="4" t="s">
        <v>90</v>
      </c>
      <c r="G412" s="4" t="s">
        <v>35</v>
      </c>
      <c r="H412" s="4" t="s">
        <v>45</v>
      </c>
      <c r="I412" s="6">
        <v>7</v>
      </c>
      <c r="J412" s="6">
        <v>12698</v>
      </c>
      <c r="K412" s="6">
        <v>8397.27</v>
      </c>
      <c r="L412" s="6">
        <v>4300.7299999999996</v>
      </c>
      <c r="M412" s="11">
        <f>Table13[[#This Row],[Profit]]/Table13[[#This Row],[Sales]]</f>
        <v>0.3386934950385887</v>
      </c>
      <c r="N412" s="6" t="str">
        <f>TEXT(Table13[[#This Row],[Order Date]],"mmm")</f>
        <v>Jan</v>
      </c>
      <c r="O412" s="6">
        <f>YEAR(Table13[[#This Row],[Order Date]])</f>
        <v>2025</v>
      </c>
    </row>
    <row r="413" spans="1:15" x14ac:dyDescent="0.3">
      <c r="A413" s="4" t="s">
        <v>907</v>
      </c>
      <c r="B413" s="5">
        <v>45567</v>
      </c>
      <c r="C413" s="4" t="s">
        <v>228</v>
      </c>
      <c r="D413" s="4" t="s">
        <v>478</v>
      </c>
      <c r="E413" s="4" t="s">
        <v>22</v>
      </c>
      <c r="F413" s="4" t="s">
        <v>23</v>
      </c>
      <c r="G413" s="4" t="s">
        <v>40</v>
      </c>
      <c r="H413" s="4" t="s">
        <v>99</v>
      </c>
      <c r="I413" s="6">
        <v>8</v>
      </c>
      <c r="J413" s="6">
        <v>32872</v>
      </c>
      <c r="K413" s="6">
        <v>20677.150000000001</v>
      </c>
      <c r="L413" s="6">
        <v>12194.85</v>
      </c>
      <c r="M413" s="11">
        <f>Table13[[#This Row],[Profit]]/Table13[[#This Row],[Sales]]</f>
        <v>0.37097986128011684</v>
      </c>
      <c r="N413" s="6" t="str">
        <f>TEXT(Table13[[#This Row],[Order Date]],"mmm")</f>
        <v>Oct</v>
      </c>
      <c r="O413" s="6">
        <f>YEAR(Table13[[#This Row],[Order Date]])</f>
        <v>2024</v>
      </c>
    </row>
    <row r="414" spans="1:15" x14ac:dyDescent="0.3">
      <c r="A414" s="4" t="s">
        <v>908</v>
      </c>
      <c r="B414" s="5">
        <v>45846</v>
      </c>
      <c r="C414" s="4" t="s">
        <v>419</v>
      </c>
      <c r="D414" s="4" t="s">
        <v>909</v>
      </c>
      <c r="E414" s="4" t="s">
        <v>29</v>
      </c>
      <c r="F414" s="4" t="s">
        <v>30</v>
      </c>
      <c r="G414" s="4" t="s">
        <v>17</v>
      </c>
      <c r="H414" s="4" t="s">
        <v>31</v>
      </c>
      <c r="I414" s="6">
        <v>2</v>
      </c>
      <c r="J414" s="6">
        <v>2004</v>
      </c>
      <c r="K414" s="6">
        <v>1503.89</v>
      </c>
      <c r="L414" s="6">
        <v>500.11</v>
      </c>
      <c r="M414" s="11">
        <f>Table13[[#This Row],[Profit]]/Table13[[#This Row],[Sales]]</f>
        <v>0.2495558882235529</v>
      </c>
      <c r="N414" s="6" t="str">
        <f>TEXT(Table13[[#This Row],[Order Date]],"mmm")</f>
        <v>Jul</v>
      </c>
      <c r="O414" s="6">
        <f>YEAR(Table13[[#This Row],[Order Date]])</f>
        <v>2025</v>
      </c>
    </row>
    <row r="415" spans="1:15" x14ac:dyDescent="0.3">
      <c r="A415" s="4" t="s">
        <v>910</v>
      </c>
      <c r="B415" s="5">
        <v>45778</v>
      </c>
      <c r="C415" s="4" t="s">
        <v>281</v>
      </c>
      <c r="D415" s="4" t="s">
        <v>508</v>
      </c>
      <c r="E415" s="4" t="s">
        <v>15</v>
      </c>
      <c r="F415" s="4" t="s">
        <v>63</v>
      </c>
      <c r="G415" s="4" t="s">
        <v>35</v>
      </c>
      <c r="H415" s="4" t="s">
        <v>45</v>
      </c>
      <c r="I415" s="6">
        <v>7</v>
      </c>
      <c r="J415" s="6">
        <v>32802</v>
      </c>
      <c r="K415" s="6">
        <v>24802.26</v>
      </c>
      <c r="L415" s="6">
        <v>7999.74</v>
      </c>
      <c r="M415" s="11">
        <f>Table13[[#This Row],[Profit]]/Table13[[#This Row],[Sales]]</f>
        <v>0.24387964148527527</v>
      </c>
      <c r="N415" s="6" t="str">
        <f>TEXT(Table13[[#This Row],[Order Date]],"mmm")</f>
        <v>May</v>
      </c>
      <c r="O415" s="6">
        <f>YEAR(Table13[[#This Row],[Order Date]])</f>
        <v>2025</v>
      </c>
    </row>
    <row r="416" spans="1:15" x14ac:dyDescent="0.3">
      <c r="A416" s="4" t="s">
        <v>911</v>
      </c>
      <c r="B416" s="5">
        <v>45821</v>
      </c>
      <c r="C416" s="4" t="s">
        <v>912</v>
      </c>
      <c r="D416" s="4" t="s">
        <v>605</v>
      </c>
      <c r="E416" s="4" t="s">
        <v>22</v>
      </c>
      <c r="F416" s="4" t="s">
        <v>67</v>
      </c>
      <c r="G416" s="4" t="s">
        <v>24</v>
      </c>
      <c r="H416" s="4" t="s">
        <v>50</v>
      </c>
      <c r="I416" s="6">
        <v>7</v>
      </c>
      <c r="J416" s="6">
        <v>4088</v>
      </c>
      <c r="K416" s="6">
        <v>2864.18</v>
      </c>
      <c r="L416" s="6">
        <v>1223.82</v>
      </c>
      <c r="M416" s="11">
        <f>Table13[[#This Row],[Profit]]/Table13[[#This Row],[Sales]]</f>
        <v>0.2993688845401174</v>
      </c>
      <c r="N416" s="6" t="str">
        <f>TEXT(Table13[[#This Row],[Order Date]],"mmm")</f>
        <v>Jun</v>
      </c>
      <c r="O416" s="6">
        <f>YEAR(Table13[[#This Row],[Order Date]])</f>
        <v>2025</v>
      </c>
    </row>
    <row r="417" spans="1:15" x14ac:dyDescent="0.3">
      <c r="A417" s="4" t="s">
        <v>913</v>
      </c>
      <c r="B417" s="5">
        <v>45421</v>
      </c>
      <c r="C417" s="4" t="s">
        <v>573</v>
      </c>
      <c r="D417" s="4" t="s">
        <v>111</v>
      </c>
      <c r="E417" s="4" t="s">
        <v>15</v>
      </c>
      <c r="F417" s="4" t="s">
        <v>63</v>
      </c>
      <c r="G417" s="4" t="s">
        <v>24</v>
      </c>
      <c r="H417" s="4" t="s">
        <v>166</v>
      </c>
      <c r="I417" s="6">
        <v>3</v>
      </c>
      <c r="J417" s="6">
        <v>6105</v>
      </c>
      <c r="K417" s="6">
        <v>4838.45</v>
      </c>
      <c r="L417" s="6">
        <v>1266.55</v>
      </c>
      <c r="M417" s="11">
        <f>Table13[[#This Row],[Profit]]/Table13[[#This Row],[Sales]]</f>
        <v>0.20746109746109745</v>
      </c>
      <c r="N417" s="6" t="str">
        <f>TEXT(Table13[[#This Row],[Order Date]],"mmm")</f>
        <v>May</v>
      </c>
      <c r="O417" s="6">
        <f>YEAR(Table13[[#This Row],[Order Date]])</f>
        <v>2024</v>
      </c>
    </row>
    <row r="418" spans="1:15" x14ac:dyDescent="0.3">
      <c r="A418" s="4" t="s">
        <v>914</v>
      </c>
      <c r="B418" s="5">
        <v>45556</v>
      </c>
      <c r="C418" s="4" t="s">
        <v>553</v>
      </c>
      <c r="D418" s="4" t="s">
        <v>527</v>
      </c>
      <c r="E418" s="4" t="s">
        <v>15</v>
      </c>
      <c r="F418" s="4" t="s">
        <v>90</v>
      </c>
      <c r="G418" s="4" t="s">
        <v>35</v>
      </c>
      <c r="H418" s="4" t="s">
        <v>36</v>
      </c>
      <c r="I418" s="6">
        <v>4</v>
      </c>
      <c r="J418" s="6">
        <v>6044</v>
      </c>
      <c r="K418" s="6">
        <v>4836.6000000000004</v>
      </c>
      <c r="L418" s="6">
        <v>1207.4000000000001</v>
      </c>
      <c r="M418" s="11">
        <f>Table13[[#This Row],[Profit]]/Table13[[#This Row],[Sales]]</f>
        <v>0.1997683653209795</v>
      </c>
      <c r="N418" s="6" t="str">
        <f>TEXT(Table13[[#This Row],[Order Date]],"mmm")</f>
        <v>Sep</v>
      </c>
      <c r="O418" s="6">
        <f>YEAR(Table13[[#This Row],[Order Date]])</f>
        <v>2024</v>
      </c>
    </row>
    <row r="419" spans="1:15" x14ac:dyDescent="0.3">
      <c r="A419" s="4" t="s">
        <v>915</v>
      </c>
      <c r="B419" s="5">
        <v>45574</v>
      </c>
      <c r="C419" s="4" t="s">
        <v>848</v>
      </c>
      <c r="D419" s="4" t="s">
        <v>138</v>
      </c>
      <c r="E419" s="4" t="s">
        <v>15</v>
      </c>
      <c r="F419" s="4" t="s">
        <v>63</v>
      </c>
      <c r="G419" s="4" t="s">
        <v>35</v>
      </c>
      <c r="H419" s="4" t="s">
        <v>45</v>
      </c>
      <c r="I419" s="6">
        <v>7</v>
      </c>
      <c r="J419" s="6">
        <v>33754</v>
      </c>
      <c r="K419" s="6">
        <v>21867.13</v>
      </c>
      <c r="L419" s="6">
        <v>11886.87</v>
      </c>
      <c r="M419" s="11">
        <f>Table13[[#This Row],[Profit]]/Table13[[#This Row],[Sales]]</f>
        <v>0.35216181785862416</v>
      </c>
      <c r="N419" s="6" t="str">
        <f>TEXT(Table13[[#This Row],[Order Date]],"mmm")</f>
        <v>Oct</v>
      </c>
      <c r="O419" s="6">
        <f>YEAR(Table13[[#This Row],[Order Date]])</f>
        <v>2024</v>
      </c>
    </row>
    <row r="420" spans="1:15" x14ac:dyDescent="0.3">
      <c r="A420" s="4" t="s">
        <v>916</v>
      </c>
      <c r="B420" s="5">
        <v>45407</v>
      </c>
      <c r="C420" s="4" t="s">
        <v>217</v>
      </c>
      <c r="D420" s="4" t="s">
        <v>917</v>
      </c>
      <c r="E420" s="4" t="s">
        <v>15</v>
      </c>
      <c r="F420" s="4" t="s">
        <v>90</v>
      </c>
      <c r="G420" s="4" t="s">
        <v>17</v>
      </c>
      <c r="H420" s="4" t="s">
        <v>72</v>
      </c>
      <c r="I420" s="6">
        <v>10</v>
      </c>
      <c r="J420" s="6">
        <v>45800</v>
      </c>
      <c r="K420" s="6">
        <v>35930.36</v>
      </c>
      <c r="L420" s="6">
        <v>9869.64</v>
      </c>
      <c r="M420" s="11">
        <f>Table13[[#This Row],[Profit]]/Table13[[#This Row],[Sales]]</f>
        <v>0.2154943231441048</v>
      </c>
      <c r="N420" s="6" t="str">
        <f>TEXT(Table13[[#This Row],[Order Date]],"mmm")</f>
        <v>Apr</v>
      </c>
      <c r="O420" s="6">
        <f>YEAR(Table13[[#This Row],[Order Date]])</f>
        <v>2024</v>
      </c>
    </row>
    <row r="421" spans="1:15" x14ac:dyDescent="0.3">
      <c r="A421" s="4" t="s">
        <v>918</v>
      </c>
      <c r="B421" s="5">
        <v>45868</v>
      </c>
      <c r="C421" s="4" t="s">
        <v>346</v>
      </c>
      <c r="D421" s="4" t="s">
        <v>589</v>
      </c>
      <c r="E421" s="4" t="s">
        <v>29</v>
      </c>
      <c r="F421" s="4" t="s">
        <v>30</v>
      </c>
      <c r="G421" s="4" t="s">
        <v>17</v>
      </c>
      <c r="H421" s="4" t="s">
        <v>72</v>
      </c>
      <c r="I421" s="6">
        <v>10</v>
      </c>
      <c r="J421" s="6">
        <v>11200</v>
      </c>
      <c r="K421" s="6">
        <v>9267.76</v>
      </c>
      <c r="L421" s="6">
        <v>1932.24</v>
      </c>
      <c r="M421" s="11">
        <f>Table13[[#This Row],[Profit]]/Table13[[#This Row],[Sales]]</f>
        <v>0.17252142857142858</v>
      </c>
      <c r="N421" s="6" t="str">
        <f>TEXT(Table13[[#This Row],[Order Date]],"mmm")</f>
        <v>Jul</v>
      </c>
      <c r="O421" s="6">
        <f>YEAR(Table13[[#This Row],[Order Date]])</f>
        <v>2025</v>
      </c>
    </row>
    <row r="422" spans="1:15" x14ac:dyDescent="0.3">
      <c r="A422" s="4" t="s">
        <v>919</v>
      </c>
      <c r="B422" s="5">
        <v>45776</v>
      </c>
      <c r="C422" s="4" t="s">
        <v>628</v>
      </c>
      <c r="D422" s="4" t="s">
        <v>466</v>
      </c>
      <c r="E422" s="4" t="s">
        <v>54</v>
      </c>
      <c r="F422" s="4" t="s">
        <v>55</v>
      </c>
      <c r="G422" s="4" t="s">
        <v>40</v>
      </c>
      <c r="H422" s="4" t="s">
        <v>99</v>
      </c>
      <c r="I422" s="6">
        <v>7</v>
      </c>
      <c r="J422" s="6">
        <v>29939</v>
      </c>
      <c r="K422" s="6">
        <v>21604.19</v>
      </c>
      <c r="L422" s="6">
        <v>8334.81</v>
      </c>
      <c r="M422" s="11">
        <f>Table13[[#This Row],[Profit]]/Table13[[#This Row],[Sales]]</f>
        <v>0.27839306590066465</v>
      </c>
      <c r="N422" s="6" t="str">
        <f>TEXT(Table13[[#This Row],[Order Date]],"mmm")</f>
        <v>Apr</v>
      </c>
      <c r="O422" s="6">
        <f>YEAR(Table13[[#This Row],[Order Date]])</f>
        <v>2025</v>
      </c>
    </row>
    <row r="423" spans="1:15" x14ac:dyDescent="0.3">
      <c r="A423" s="4" t="s">
        <v>920</v>
      </c>
      <c r="B423" s="5">
        <v>45631</v>
      </c>
      <c r="C423" s="4" t="s">
        <v>780</v>
      </c>
      <c r="D423" s="4" t="s">
        <v>921</v>
      </c>
      <c r="E423" s="4" t="s">
        <v>54</v>
      </c>
      <c r="F423" s="4" t="s">
        <v>55</v>
      </c>
      <c r="G423" s="4" t="s">
        <v>24</v>
      </c>
      <c r="H423" s="4" t="s">
        <v>166</v>
      </c>
      <c r="I423" s="6">
        <v>10</v>
      </c>
      <c r="J423" s="6">
        <v>35900</v>
      </c>
      <c r="K423" s="6">
        <v>20162.689999999999</v>
      </c>
      <c r="L423" s="6">
        <v>15737.31</v>
      </c>
      <c r="M423" s="11">
        <f>Table13[[#This Row],[Profit]]/Table13[[#This Row],[Sales]]</f>
        <v>0.43836518105849581</v>
      </c>
      <c r="N423" s="6" t="str">
        <f>TEXT(Table13[[#This Row],[Order Date]],"mmm")</f>
        <v>Dec</v>
      </c>
      <c r="O423" s="6">
        <f>YEAR(Table13[[#This Row],[Order Date]])</f>
        <v>2024</v>
      </c>
    </row>
    <row r="424" spans="1:15" x14ac:dyDescent="0.3">
      <c r="A424" s="4" t="s">
        <v>922</v>
      </c>
      <c r="B424" s="5">
        <v>45602</v>
      </c>
      <c r="C424" s="4" t="s">
        <v>923</v>
      </c>
      <c r="D424" s="4" t="s">
        <v>867</v>
      </c>
      <c r="E424" s="4" t="s">
        <v>22</v>
      </c>
      <c r="F424" s="4" t="s">
        <v>67</v>
      </c>
      <c r="G424" s="4" t="s">
        <v>40</v>
      </c>
      <c r="H424" s="4" t="s">
        <v>41</v>
      </c>
      <c r="I424" s="6">
        <v>1</v>
      </c>
      <c r="J424" s="6">
        <v>3067</v>
      </c>
      <c r="K424" s="6">
        <v>2438.9299999999998</v>
      </c>
      <c r="L424" s="6">
        <v>628.07000000000005</v>
      </c>
      <c r="M424" s="11">
        <f>Table13[[#This Row],[Profit]]/Table13[[#This Row],[Sales]]</f>
        <v>0.20478317574176721</v>
      </c>
      <c r="N424" s="6" t="str">
        <f>TEXT(Table13[[#This Row],[Order Date]],"mmm")</f>
        <v>Nov</v>
      </c>
      <c r="O424" s="6">
        <f>YEAR(Table13[[#This Row],[Order Date]])</f>
        <v>2024</v>
      </c>
    </row>
    <row r="425" spans="1:15" x14ac:dyDescent="0.3">
      <c r="A425" s="4" t="s">
        <v>924</v>
      </c>
      <c r="B425" s="5">
        <v>45745</v>
      </c>
      <c r="C425" s="4" t="s">
        <v>624</v>
      </c>
      <c r="D425" s="4" t="s">
        <v>255</v>
      </c>
      <c r="E425" s="4" t="s">
        <v>22</v>
      </c>
      <c r="F425" s="4" t="s">
        <v>79</v>
      </c>
      <c r="G425" s="4" t="s">
        <v>17</v>
      </c>
      <c r="H425" s="4" t="s">
        <v>31</v>
      </c>
      <c r="I425" s="6">
        <v>2</v>
      </c>
      <c r="J425" s="6">
        <v>4334</v>
      </c>
      <c r="K425" s="6">
        <v>2558.4299999999998</v>
      </c>
      <c r="L425" s="6">
        <v>1775.57</v>
      </c>
      <c r="M425" s="11">
        <f>Table13[[#This Row],[Profit]]/Table13[[#This Row],[Sales]]</f>
        <v>0.40968389478541761</v>
      </c>
      <c r="N425" s="6" t="str">
        <f>TEXT(Table13[[#This Row],[Order Date]],"mmm")</f>
        <v>Mar</v>
      </c>
      <c r="O425" s="6">
        <f>YEAR(Table13[[#This Row],[Order Date]])</f>
        <v>2025</v>
      </c>
    </row>
    <row r="426" spans="1:15" x14ac:dyDescent="0.3">
      <c r="A426" s="4" t="s">
        <v>925</v>
      </c>
      <c r="B426" s="5">
        <v>45708</v>
      </c>
      <c r="C426" s="4" t="s">
        <v>212</v>
      </c>
      <c r="D426" s="4" t="s">
        <v>827</v>
      </c>
      <c r="E426" s="4" t="s">
        <v>22</v>
      </c>
      <c r="F426" s="4" t="s">
        <v>79</v>
      </c>
      <c r="G426" s="4" t="s">
        <v>17</v>
      </c>
      <c r="H426" s="4" t="s">
        <v>31</v>
      </c>
      <c r="I426" s="6">
        <v>2</v>
      </c>
      <c r="J426" s="6">
        <v>3678</v>
      </c>
      <c r="K426" s="6">
        <v>2510.29</v>
      </c>
      <c r="L426" s="6">
        <v>1167.71</v>
      </c>
      <c r="M426" s="11">
        <f>Table13[[#This Row],[Profit]]/Table13[[#This Row],[Sales]]</f>
        <v>0.31748504622077217</v>
      </c>
      <c r="N426" s="6" t="str">
        <f>TEXT(Table13[[#This Row],[Order Date]],"mmm")</f>
        <v>Feb</v>
      </c>
      <c r="O426" s="6">
        <f>YEAR(Table13[[#This Row],[Order Date]])</f>
        <v>2025</v>
      </c>
    </row>
    <row r="427" spans="1:15" x14ac:dyDescent="0.3">
      <c r="A427" s="4" t="s">
        <v>926</v>
      </c>
      <c r="B427" s="5">
        <v>45810</v>
      </c>
      <c r="C427" s="4" t="s">
        <v>132</v>
      </c>
      <c r="D427" s="4" t="s">
        <v>659</v>
      </c>
      <c r="E427" s="4" t="s">
        <v>54</v>
      </c>
      <c r="F427" s="4" t="s">
        <v>142</v>
      </c>
      <c r="G427" s="4" t="s">
        <v>35</v>
      </c>
      <c r="H427" s="4" t="s">
        <v>45</v>
      </c>
      <c r="I427" s="6">
        <v>3</v>
      </c>
      <c r="J427" s="6">
        <v>2511</v>
      </c>
      <c r="K427" s="6">
        <v>1615.42</v>
      </c>
      <c r="L427" s="6">
        <v>895.58</v>
      </c>
      <c r="M427" s="11">
        <f>Table13[[#This Row],[Profit]]/Table13[[#This Row],[Sales]]</f>
        <v>0.35666268418956593</v>
      </c>
      <c r="N427" s="6" t="str">
        <f>TEXT(Table13[[#This Row],[Order Date]],"mmm")</f>
        <v>Jun</v>
      </c>
      <c r="O427" s="6">
        <f>YEAR(Table13[[#This Row],[Order Date]])</f>
        <v>2025</v>
      </c>
    </row>
    <row r="428" spans="1:15" x14ac:dyDescent="0.3">
      <c r="A428" s="4" t="s">
        <v>927</v>
      </c>
      <c r="B428" s="5">
        <v>45759</v>
      </c>
      <c r="C428" s="4" t="s">
        <v>374</v>
      </c>
      <c r="D428" s="4" t="s">
        <v>797</v>
      </c>
      <c r="E428" s="4" t="s">
        <v>15</v>
      </c>
      <c r="F428" s="4" t="s">
        <v>16</v>
      </c>
      <c r="G428" s="4" t="s">
        <v>40</v>
      </c>
      <c r="H428" s="4" t="s">
        <v>56</v>
      </c>
      <c r="I428" s="6">
        <v>4</v>
      </c>
      <c r="J428" s="6">
        <v>3088</v>
      </c>
      <c r="K428" s="6">
        <v>1929.53</v>
      </c>
      <c r="L428" s="6">
        <v>1158.47</v>
      </c>
      <c r="M428" s="11">
        <f>Table13[[#This Row],[Profit]]/Table13[[#This Row],[Sales]]</f>
        <v>0.37515220207253885</v>
      </c>
      <c r="N428" s="6" t="str">
        <f>TEXT(Table13[[#This Row],[Order Date]],"mmm")</f>
        <v>Apr</v>
      </c>
      <c r="O428" s="6">
        <f>YEAR(Table13[[#This Row],[Order Date]])</f>
        <v>2025</v>
      </c>
    </row>
    <row r="429" spans="1:15" x14ac:dyDescent="0.3">
      <c r="A429" s="4" t="s">
        <v>928</v>
      </c>
      <c r="B429" s="5">
        <v>45418</v>
      </c>
      <c r="C429" s="4" t="s">
        <v>438</v>
      </c>
      <c r="D429" s="4" t="s">
        <v>264</v>
      </c>
      <c r="E429" s="4" t="s">
        <v>29</v>
      </c>
      <c r="F429" s="4" t="s">
        <v>49</v>
      </c>
      <c r="G429" s="4" t="s">
        <v>40</v>
      </c>
      <c r="H429" s="4" t="s">
        <v>41</v>
      </c>
      <c r="I429" s="6">
        <v>8</v>
      </c>
      <c r="J429" s="6">
        <v>35496</v>
      </c>
      <c r="K429" s="6">
        <v>23749.759999999998</v>
      </c>
      <c r="L429" s="6">
        <v>11746.24</v>
      </c>
      <c r="M429" s="11">
        <f>Table13[[#This Row],[Profit]]/Table13[[#This Row],[Sales]]</f>
        <v>0.33091728645481178</v>
      </c>
      <c r="N429" s="6" t="str">
        <f>TEXT(Table13[[#This Row],[Order Date]],"mmm")</f>
        <v>May</v>
      </c>
      <c r="O429" s="6">
        <f>YEAR(Table13[[#This Row],[Order Date]])</f>
        <v>2024</v>
      </c>
    </row>
    <row r="430" spans="1:15" x14ac:dyDescent="0.3">
      <c r="A430" s="4" t="s">
        <v>929</v>
      </c>
      <c r="B430" s="5">
        <v>45777</v>
      </c>
      <c r="C430" s="4" t="s">
        <v>329</v>
      </c>
      <c r="D430" s="4" t="s">
        <v>488</v>
      </c>
      <c r="E430" s="4" t="s">
        <v>54</v>
      </c>
      <c r="F430" s="4" t="s">
        <v>55</v>
      </c>
      <c r="G430" s="4" t="s">
        <v>17</v>
      </c>
      <c r="H430" s="4" t="s">
        <v>72</v>
      </c>
      <c r="I430" s="6">
        <v>8</v>
      </c>
      <c r="J430" s="6">
        <v>14032</v>
      </c>
      <c r="K430" s="6">
        <v>11761.01</v>
      </c>
      <c r="L430" s="6">
        <v>2270.9899999999998</v>
      </c>
      <c r="M430" s="11">
        <f>Table13[[#This Row],[Profit]]/Table13[[#This Row],[Sales]]</f>
        <v>0.1618436431014823</v>
      </c>
      <c r="N430" s="6" t="str">
        <f>TEXT(Table13[[#This Row],[Order Date]],"mmm")</f>
        <v>Apr</v>
      </c>
      <c r="O430" s="6">
        <f>YEAR(Table13[[#This Row],[Order Date]])</f>
        <v>2025</v>
      </c>
    </row>
    <row r="431" spans="1:15" x14ac:dyDescent="0.3">
      <c r="A431" s="4" t="s">
        <v>930</v>
      </c>
      <c r="B431" s="5">
        <v>45342</v>
      </c>
      <c r="C431" s="4" t="s">
        <v>498</v>
      </c>
      <c r="D431" s="4" t="s">
        <v>931</v>
      </c>
      <c r="E431" s="4" t="s">
        <v>54</v>
      </c>
      <c r="F431" s="4" t="s">
        <v>142</v>
      </c>
      <c r="G431" s="4" t="s">
        <v>40</v>
      </c>
      <c r="H431" s="4" t="s">
        <v>99</v>
      </c>
      <c r="I431" s="6">
        <v>2</v>
      </c>
      <c r="J431" s="6">
        <v>5270</v>
      </c>
      <c r="K431" s="6">
        <v>2941.9</v>
      </c>
      <c r="L431" s="6">
        <v>2328.1</v>
      </c>
      <c r="M431" s="11">
        <f>Table13[[#This Row],[Profit]]/Table13[[#This Row],[Sales]]</f>
        <v>0.44176470588235295</v>
      </c>
      <c r="N431" s="6" t="str">
        <f>TEXT(Table13[[#This Row],[Order Date]],"mmm")</f>
        <v>Feb</v>
      </c>
      <c r="O431" s="6">
        <f>YEAR(Table13[[#This Row],[Order Date]])</f>
        <v>2024</v>
      </c>
    </row>
    <row r="432" spans="1:15" x14ac:dyDescent="0.3">
      <c r="A432" s="4" t="s">
        <v>932</v>
      </c>
      <c r="B432" s="5">
        <v>45711</v>
      </c>
      <c r="C432" s="4" t="s">
        <v>933</v>
      </c>
      <c r="D432" s="4" t="s">
        <v>524</v>
      </c>
      <c r="E432" s="4" t="s">
        <v>29</v>
      </c>
      <c r="F432" s="4" t="s">
        <v>102</v>
      </c>
      <c r="G432" s="4" t="s">
        <v>17</v>
      </c>
      <c r="H432" s="4" t="s">
        <v>31</v>
      </c>
      <c r="I432" s="6">
        <v>4</v>
      </c>
      <c r="J432" s="6">
        <v>7972</v>
      </c>
      <c r="K432" s="6">
        <v>5028.1400000000003</v>
      </c>
      <c r="L432" s="6">
        <v>2943.86</v>
      </c>
      <c r="M432" s="11">
        <f>Table13[[#This Row],[Profit]]/Table13[[#This Row],[Sales]]</f>
        <v>0.36927496236828905</v>
      </c>
      <c r="N432" s="6" t="str">
        <f>TEXT(Table13[[#This Row],[Order Date]],"mmm")</f>
        <v>Feb</v>
      </c>
      <c r="O432" s="6">
        <f>YEAR(Table13[[#This Row],[Order Date]])</f>
        <v>2025</v>
      </c>
    </row>
    <row r="433" spans="1:15" x14ac:dyDescent="0.3">
      <c r="A433" s="4" t="s">
        <v>934</v>
      </c>
      <c r="B433" s="5">
        <v>45914</v>
      </c>
      <c r="C433" s="4" t="s">
        <v>935</v>
      </c>
      <c r="D433" s="4" t="s">
        <v>470</v>
      </c>
      <c r="E433" s="4" t="s">
        <v>15</v>
      </c>
      <c r="F433" s="4" t="s">
        <v>63</v>
      </c>
      <c r="G433" s="4" t="s">
        <v>24</v>
      </c>
      <c r="H433" s="4" t="s">
        <v>166</v>
      </c>
      <c r="I433" s="6">
        <v>3</v>
      </c>
      <c r="J433" s="6">
        <v>1107</v>
      </c>
      <c r="K433" s="6">
        <v>683.16</v>
      </c>
      <c r="L433" s="6">
        <v>423.84</v>
      </c>
      <c r="M433" s="11">
        <f>Table13[[#This Row],[Profit]]/Table13[[#This Row],[Sales]]</f>
        <v>0.38287262872628725</v>
      </c>
      <c r="N433" s="6" t="str">
        <f>TEXT(Table13[[#This Row],[Order Date]],"mmm")</f>
        <v>Sep</v>
      </c>
      <c r="O433" s="6">
        <f>YEAR(Table13[[#This Row],[Order Date]])</f>
        <v>2025</v>
      </c>
    </row>
    <row r="434" spans="1:15" x14ac:dyDescent="0.3">
      <c r="A434" s="4" t="s">
        <v>936</v>
      </c>
      <c r="B434" s="5">
        <v>45601</v>
      </c>
      <c r="C434" s="4" t="s">
        <v>848</v>
      </c>
      <c r="D434" s="4" t="s">
        <v>531</v>
      </c>
      <c r="E434" s="4" t="s">
        <v>22</v>
      </c>
      <c r="F434" s="4" t="s">
        <v>67</v>
      </c>
      <c r="G434" s="4" t="s">
        <v>40</v>
      </c>
      <c r="H434" s="4" t="s">
        <v>41</v>
      </c>
      <c r="I434" s="6">
        <v>8</v>
      </c>
      <c r="J434" s="6">
        <v>18912</v>
      </c>
      <c r="K434" s="6">
        <v>11639.63</v>
      </c>
      <c r="L434" s="6">
        <v>7272.37</v>
      </c>
      <c r="M434" s="11">
        <f>Table13[[#This Row],[Profit]]/Table13[[#This Row],[Sales]]</f>
        <v>0.38453733079526226</v>
      </c>
      <c r="N434" s="6" t="str">
        <f>TEXT(Table13[[#This Row],[Order Date]],"mmm")</f>
        <v>Nov</v>
      </c>
      <c r="O434" s="6">
        <f>YEAR(Table13[[#This Row],[Order Date]])</f>
        <v>2024</v>
      </c>
    </row>
    <row r="435" spans="1:15" x14ac:dyDescent="0.3">
      <c r="A435" s="4" t="s">
        <v>937</v>
      </c>
      <c r="B435" s="5">
        <v>45915</v>
      </c>
      <c r="C435" s="4" t="s">
        <v>938</v>
      </c>
      <c r="D435" s="4" t="s">
        <v>577</v>
      </c>
      <c r="E435" s="4" t="s">
        <v>15</v>
      </c>
      <c r="F435" s="4" t="s">
        <v>16</v>
      </c>
      <c r="G435" s="4" t="s">
        <v>35</v>
      </c>
      <c r="H435" s="4" t="s">
        <v>45</v>
      </c>
      <c r="I435" s="6">
        <v>6</v>
      </c>
      <c r="J435" s="6">
        <v>29394</v>
      </c>
      <c r="K435" s="6">
        <v>21875.09</v>
      </c>
      <c r="L435" s="6">
        <v>7518.91</v>
      </c>
      <c r="M435" s="11">
        <f>Table13[[#This Row],[Profit]]/Table13[[#This Row],[Sales]]</f>
        <v>0.25579744165475948</v>
      </c>
      <c r="N435" s="6" t="str">
        <f>TEXT(Table13[[#This Row],[Order Date]],"mmm")</f>
        <v>Sep</v>
      </c>
      <c r="O435" s="6">
        <f>YEAR(Table13[[#This Row],[Order Date]])</f>
        <v>2025</v>
      </c>
    </row>
    <row r="436" spans="1:15" x14ac:dyDescent="0.3">
      <c r="A436" s="4" t="s">
        <v>939</v>
      </c>
      <c r="B436" s="5">
        <v>45575</v>
      </c>
      <c r="C436" s="4" t="s">
        <v>940</v>
      </c>
      <c r="D436" s="4" t="s">
        <v>577</v>
      </c>
      <c r="E436" s="4" t="s">
        <v>15</v>
      </c>
      <c r="F436" s="4" t="s">
        <v>63</v>
      </c>
      <c r="G436" s="4" t="s">
        <v>24</v>
      </c>
      <c r="H436" s="4" t="s">
        <v>50</v>
      </c>
      <c r="I436" s="6">
        <v>6</v>
      </c>
      <c r="J436" s="6">
        <v>15384</v>
      </c>
      <c r="K436" s="6">
        <v>11417.67</v>
      </c>
      <c r="L436" s="6">
        <v>3966.33</v>
      </c>
      <c r="M436" s="11">
        <f>Table13[[#This Row],[Profit]]/Table13[[#This Row],[Sales]]</f>
        <v>0.25782176287051484</v>
      </c>
      <c r="N436" s="6" t="str">
        <f>TEXT(Table13[[#This Row],[Order Date]],"mmm")</f>
        <v>Oct</v>
      </c>
      <c r="O436" s="6">
        <f>YEAR(Table13[[#This Row],[Order Date]])</f>
        <v>2024</v>
      </c>
    </row>
    <row r="437" spans="1:15" x14ac:dyDescent="0.3">
      <c r="A437" s="4" t="s">
        <v>941</v>
      </c>
      <c r="B437" s="5">
        <v>45906</v>
      </c>
      <c r="C437" s="4" t="s">
        <v>132</v>
      </c>
      <c r="D437" s="4" t="s">
        <v>942</v>
      </c>
      <c r="E437" s="4" t="s">
        <v>29</v>
      </c>
      <c r="F437" s="4" t="s">
        <v>102</v>
      </c>
      <c r="G437" s="4" t="s">
        <v>35</v>
      </c>
      <c r="H437" s="4" t="s">
        <v>45</v>
      </c>
      <c r="I437" s="6">
        <v>4</v>
      </c>
      <c r="J437" s="6">
        <v>3060</v>
      </c>
      <c r="K437" s="6">
        <v>2422.38</v>
      </c>
      <c r="L437" s="6">
        <v>637.62</v>
      </c>
      <c r="M437" s="11">
        <f>Table13[[#This Row],[Profit]]/Table13[[#This Row],[Sales]]</f>
        <v>0.20837254901960783</v>
      </c>
      <c r="N437" s="6" t="str">
        <f>TEXT(Table13[[#This Row],[Order Date]],"mmm")</f>
        <v>Sep</v>
      </c>
      <c r="O437" s="6">
        <f>YEAR(Table13[[#This Row],[Order Date]])</f>
        <v>2025</v>
      </c>
    </row>
    <row r="438" spans="1:15" x14ac:dyDescent="0.3">
      <c r="A438" s="4" t="s">
        <v>943</v>
      </c>
      <c r="B438" s="5">
        <v>45720</v>
      </c>
      <c r="C438" s="4" t="s">
        <v>544</v>
      </c>
      <c r="D438" s="4" t="s">
        <v>944</v>
      </c>
      <c r="E438" s="4" t="s">
        <v>29</v>
      </c>
      <c r="F438" s="4" t="s">
        <v>30</v>
      </c>
      <c r="G438" s="4" t="s">
        <v>24</v>
      </c>
      <c r="H438" s="4" t="s">
        <v>25</v>
      </c>
      <c r="I438" s="6">
        <v>8</v>
      </c>
      <c r="J438" s="6">
        <v>21768</v>
      </c>
      <c r="K438" s="6">
        <v>13666.56</v>
      </c>
      <c r="L438" s="6">
        <v>8101.44</v>
      </c>
      <c r="M438" s="11">
        <f>Table13[[#This Row],[Profit]]/Table13[[#This Row],[Sales]]</f>
        <v>0.37217199558985664</v>
      </c>
      <c r="N438" s="6" t="str">
        <f>TEXT(Table13[[#This Row],[Order Date]],"mmm")</f>
        <v>Mar</v>
      </c>
      <c r="O438" s="6">
        <f>YEAR(Table13[[#This Row],[Order Date]])</f>
        <v>2025</v>
      </c>
    </row>
    <row r="439" spans="1:15" x14ac:dyDescent="0.3">
      <c r="A439" s="4" t="s">
        <v>945</v>
      </c>
      <c r="B439" s="5">
        <v>46022</v>
      </c>
      <c r="C439" s="4" t="s">
        <v>168</v>
      </c>
      <c r="D439" s="4" t="s">
        <v>946</v>
      </c>
      <c r="E439" s="4" t="s">
        <v>15</v>
      </c>
      <c r="F439" s="4" t="s">
        <v>90</v>
      </c>
      <c r="G439" s="4" t="s">
        <v>17</v>
      </c>
      <c r="H439" s="4" t="s">
        <v>18</v>
      </c>
      <c r="I439" s="6">
        <v>10</v>
      </c>
      <c r="J439" s="6">
        <v>18550</v>
      </c>
      <c r="K439" s="6">
        <v>12112.22</v>
      </c>
      <c r="L439" s="6">
        <v>6437.78</v>
      </c>
      <c r="M439" s="11">
        <f>Table13[[#This Row],[Profit]]/Table13[[#This Row],[Sales]]</f>
        <v>0.34705013477088947</v>
      </c>
      <c r="N439" s="6" t="str">
        <f>TEXT(Table13[[#This Row],[Order Date]],"mmm")</f>
        <v>Dec</v>
      </c>
      <c r="O439" s="6">
        <f>YEAR(Table13[[#This Row],[Order Date]])</f>
        <v>2025</v>
      </c>
    </row>
    <row r="440" spans="1:15" x14ac:dyDescent="0.3">
      <c r="A440" s="4" t="s">
        <v>947</v>
      </c>
      <c r="B440" s="5">
        <v>45965</v>
      </c>
      <c r="C440" s="4" t="s">
        <v>433</v>
      </c>
      <c r="D440" s="4" t="s">
        <v>436</v>
      </c>
      <c r="E440" s="4" t="s">
        <v>22</v>
      </c>
      <c r="F440" s="4" t="s">
        <v>79</v>
      </c>
      <c r="G440" s="4" t="s">
        <v>40</v>
      </c>
      <c r="H440" s="4" t="s">
        <v>41</v>
      </c>
      <c r="I440" s="6">
        <v>9</v>
      </c>
      <c r="J440" s="6">
        <v>24831</v>
      </c>
      <c r="K440" s="6">
        <v>19954.830000000002</v>
      </c>
      <c r="L440" s="6">
        <v>4876.17</v>
      </c>
      <c r="M440" s="11">
        <f>Table13[[#This Row],[Profit]]/Table13[[#This Row],[Sales]]</f>
        <v>0.19637429020176392</v>
      </c>
      <c r="N440" s="6" t="str">
        <f>TEXT(Table13[[#This Row],[Order Date]],"mmm")</f>
        <v>Nov</v>
      </c>
      <c r="O440" s="6">
        <f>YEAR(Table13[[#This Row],[Order Date]])</f>
        <v>2025</v>
      </c>
    </row>
    <row r="441" spans="1:15" x14ac:dyDescent="0.3">
      <c r="A441" s="4" t="s">
        <v>948</v>
      </c>
      <c r="B441" s="5">
        <v>45864</v>
      </c>
      <c r="C441" s="4" t="s">
        <v>565</v>
      </c>
      <c r="D441" s="4" t="s">
        <v>829</v>
      </c>
      <c r="E441" s="4" t="s">
        <v>54</v>
      </c>
      <c r="F441" s="4" t="s">
        <v>142</v>
      </c>
      <c r="G441" s="4" t="s">
        <v>35</v>
      </c>
      <c r="H441" s="4" t="s">
        <v>80</v>
      </c>
      <c r="I441" s="6">
        <v>3</v>
      </c>
      <c r="J441" s="6">
        <v>7254</v>
      </c>
      <c r="K441" s="6">
        <v>5567.85</v>
      </c>
      <c r="L441" s="6">
        <v>1686.15</v>
      </c>
      <c r="M441" s="11">
        <f>Table13[[#This Row],[Profit]]/Table13[[#This Row],[Sales]]</f>
        <v>0.23244416873449134</v>
      </c>
      <c r="N441" s="6" t="str">
        <f>TEXT(Table13[[#This Row],[Order Date]],"mmm")</f>
        <v>Jul</v>
      </c>
      <c r="O441" s="6">
        <f>YEAR(Table13[[#This Row],[Order Date]])</f>
        <v>2025</v>
      </c>
    </row>
    <row r="442" spans="1:15" x14ac:dyDescent="0.3">
      <c r="A442" s="4" t="s">
        <v>949</v>
      </c>
      <c r="B442" s="5">
        <v>45631</v>
      </c>
      <c r="C442" s="4" t="s">
        <v>547</v>
      </c>
      <c r="D442" s="4" t="s">
        <v>689</v>
      </c>
      <c r="E442" s="4" t="s">
        <v>15</v>
      </c>
      <c r="F442" s="4" t="s">
        <v>16</v>
      </c>
      <c r="G442" s="4" t="s">
        <v>40</v>
      </c>
      <c r="H442" s="4" t="s">
        <v>41</v>
      </c>
      <c r="I442" s="6">
        <v>4</v>
      </c>
      <c r="J442" s="6">
        <v>11260</v>
      </c>
      <c r="K442" s="6">
        <v>7613.36</v>
      </c>
      <c r="L442" s="6">
        <v>3646.64</v>
      </c>
      <c r="M442" s="11">
        <f>Table13[[#This Row],[Profit]]/Table13[[#This Row],[Sales]]</f>
        <v>0.32385790408525755</v>
      </c>
      <c r="N442" s="6" t="str">
        <f>TEXT(Table13[[#This Row],[Order Date]],"mmm")</f>
        <v>Dec</v>
      </c>
      <c r="O442" s="6">
        <f>YEAR(Table13[[#This Row],[Order Date]])</f>
        <v>2024</v>
      </c>
    </row>
    <row r="443" spans="1:15" x14ac:dyDescent="0.3">
      <c r="A443" s="4" t="s">
        <v>950</v>
      </c>
      <c r="B443" s="5">
        <v>45889</v>
      </c>
      <c r="C443" s="4" t="s">
        <v>951</v>
      </c>
      <c r="D443" s="4" t="s">
        <v>105</v>
      </c>
      <c r="E443" s="4" t="s">
        <v>54</v>
      </c>
      <c r="F443" s="4" t="s">
        <v>55</v>
      </c>
      <c r="G443" s="4" t="s">
        <v>24</v>
      </c>
      <c r="H443" s="4" t="s">
        <v>50</v>
      </c>
      <c r="I443" s="6">
        <v>8</v>
      </c>
      <c r="J443" s="6">
        <v>5912</v>
      </c>
      <c r="K443" s="6">
        <v>4788.24</v>
      </c>
      <c r="L443" s="6">
        <v>1123.76</v>
      </c>
      <c r="M443" s="11">
        <f>Table13[[#This Row],[Profit]]/Table13[[#This Row],[Sales]]</f>
        <v>0.19008119079837618</v>
      </c>
      <c r="N443" s="6" t="str">
        <f>TEXT(Table13[[#This Row],[Order Date]],"mmm")</f>
        <v>Aug</v>
      </c>
      <c r="O443" s="6">
        <f>YEAR(Table13[[#This Row],[Order Date]])</f>
        <v>2025</v>
      </c>
    </row>
    <row r="444" spans="1:15" x14ac:dyDescent="0.3">
      <c r="A444" s="4" t="s">
        <v>952</v>
      </c>
      <c r="B444" s="5">
        <v>45715</v>
      </c>
      <c r="C444" s="4" t="s">
        <v>771</v>
      </c>
      <c r="D444" s="4" t="s">
        <v>607</v>
      </c>
      <c r="E444" s="4" t="s">
        <v>22</v>
      </c>
      <c r="F444" s="4" t="s">
        <v>23</v>
      </c>
      <c r="G444" s="4" t="s">
        <v>35</v>
      </c>
      <c r="H444" s="4" t="s">
        <v>45</v>
      </c>
      <c r="I444" s="6">
        <v>2</v>
      </c>
      <c r="J444" s="6">
        <v>6852</v>
      </c>
      <c r="K444" s="6">
        <v>4857.74</v>
      </c>
      <c r="L444" s="6">
        <v>1994.26</v>
      </c>
      <c r="M444" s="11">
        <f>Table13[[#This Row],[Profit]]/Table13[[#This Row],[Sales]]</f>
        <v>0.29104786923525977</v>
      </c>
      <c r="N444" s="6" t="str">
        <f>TEXT(Table13[[#This Row],[Order Date]],"mmm")</f>
        <v>Feb</v>
      </c>
      <c r="O444" s="6">
        <f>YEAR(Table13[[#This Row],[Order Date]])</f>
        <v>2025</v>
      </c>
    </row>
    <row r="445" spans="1:15" x14ac:dyDescent="0.3">
      <c r="A445" s="4" t="s">
        <v>953</v>
      </c>
      <c r="B445" s="5">
        <v>45760</v>
      </c>
      <c r="C445" s="4" t="s">
        <v>364</v>
      </c>
      <c r="D445" s="4" t="s">
        <v>711</v>
      </c>
      <c r="E445" s="4" t="s">
        <v>29</v>
      </c>
      <c r="F445" s="4" t="s">
        <v>102</v>
      </c>
      <c r="G445" s="4" t="s">
        <v>40</v>
      </c>
      <c r="H445" s="4" t="s">
        <v>41</v>
      </c>
      <c r="I445" s="6">
        <v>7</v>
      </c>
      <c r="J445" s="6">
        <v>34748</v>
      </c>
      <c r="K445" s="6">
        <v>28418.77</v>
      </c>
      <c r="L445" s="6">
        <v>6329.23</v>
      </c>
      <c r="M445" s="11">
        <f>Table13[[#This Row],[Profit]]/Table13[[#This Row],[Sales]]</f>
        <v>0.18214659836537353</v>
      </c>
      <c r="N445" s="6" t="str">
        <f>TEXT(Table13[[#This Row],[Order Date]],"mmm")</f>
        <v>Apr</v>
      </c>
      <c r="O445" s="6">
        <f>YEAR(Table13[[#This Row],[Order Date]])</f>
        <v>2025</v>
      </c>
    </row>
    <row r="446" spans="1:15" x14ac:dyDescent="0.3">
      <c r="A446" s="4" t="s">
        <v>954</v>
      </c>
      <c r="B446" s="5">
        <v>45351</v>
      </c>
      <c r="C446" s="4" t="s">
        <v>955</v>
      </c>
      <c r="D446" s="4" t="s">
        <v>408</v>
      </c>
      <c r="E446" s="4" t="s">
        <v>29</v>
      </c>
      <c r="F446" s="4" t="s">
        <v>102</v>
      </c>
      <c r="G446" s="4" t="s">
        <v>35</v>
      </c>
      <c r="H446" s="4" t="s">
        <v>80</v>
      </c>
      <c r="I446" s="6">
        <v>6</v>
      </c>
      <c r="J446" s="6">
        <v>10488</v>
      </c>
      <c r="K446" s="6">
        <v>6754.53</v>
      </c>
      <c r="L446" s="6">
        <v>3733.47</v>
      </c>
      <c r="M446" s="11">
        <f>Table13[[#This Row],[Profit]]/Table13[[#This Row],[Sales]]</f>
        <v>0.3559754004576659</v>
      </c>
      <c r="N446" s="6" t="str">
        <f>TEXT(Table13[[#This Row],[Order Date]],"mmm")</f>
        <v>Feb</v>
      </c>
      <c r="O446" s="6">
        <f>YEAR(Table13[[#This Row],[Order Date]])</f>
        <v>2024</v>
      </c>
    </row>
    <row r="447" spans="1:15" x14ac:dyDescent="0.3">
      <c r="A447" s="4" t="s">
        <v>956</v>
      </c>
      <c r="B447" s="5">
        <v>45382</v>
      </c>
      <c r="C447" s="4" t="s">
        <v>451</v>
      </c>
      <c r="D447" s="4" t="s">
        <v>252</v>
      </c>
      <c r="E447" s="4" t="s">
        <v>54</v>
      </c>
      <c r="F447" s="4" t="s">
        <v>142</v>
      </c>
      <c r="G447" s="4" t="s">
        <v>24</v>
      </c>
      <c r="H447" s="4" t="s">
        <v>166</v>
      </c>
      <c r="I447" s="6">
        <v>10</v>
      </c>
      <c r="J447" s="6">
        <v>15970</v>
      </c>
      <c r="K447" s="6">
        <v>11129.06</v>
      </c>
      <c r="L447" s="6">
        <v>4840.9399999999996</v>
      </c>
      <c r="M447" s="11">
        <f>Table13[[#This Row],[Profit]]/Table13[[#This Row],[Sales]]</f>
        <v>0.3031271133375078</v>
      </c>
      <c r="N447" s="6" t="str">
        <f>TEXT(Table13[[#This Row],[Order Date]],"mmm")</f>
        <v>Mar</v>
      </c>
      <c r="O447" s="6">
        <f>YEAR(Table13[[#This Row],[Order Date]])</f>
        <v>2024</v>
      </c>
    </row>
    <row r="448" spans="1:15" x14ac:dyDescent="0.3">
      <c r="A448" s="4" t="s">
        <v>957</v>
      </c>
      <c r="B448" s="5">
        <v>45838</v>
      </c>
      <c r="C448" s="4" t="s">
        <v>503</v>
      </c>
      <c r="D448" s="4" t="s">
        <v>423</v>
      </c>
      <c r="E448" s="4" t="s">
        <v>22</v>
      </c>
      <c r="F448" s="4" t="s">
        <v>67</v>
      </c>
      <c r="G448" s="4" t="s">
        <v>35</v>
      </c>
      <c r="H448" s="4" t="s">
        <v>36</v>
      </c>
      <c r="I448" s="6">
        <v>8</v>
      </c>
      <c r="J448" s="6">
        <v>27520</v>
      </c>
      <c r="K448" s="6">
        <v>15174.55</v>
      </c>
      <c r="L448" s="6">
        <v>12345.45</v>
      </c>
      <c r="M448" s="11">
        <f>Table13[[#This Row],[Profit]]/Table13[[#This Row],[Sales]]</f>
        <v>0.44859920058139535</v>
      </c>
      <c r="N448" s="6" t="str">
        <f>TEXT(Table13[[#This Row],[Order Date]],"mmm")</f>
        <v>Jun</v>
      </c>
      <c r="O448" s="6">
        <f>YEAR(Table13[[#This Row],[Order Date]])</f>
        <v>2025</v>
      </c>
    </row>
    <row r="449" spans="1:15" x14ac:dyDescent="0.3">
      <c r="A449" s="4" t="s">
        <v>958</v>
      </c>
      <c r="B449" s="5">
        <v>45933</v>
      </c>
      <c r="C449" s="4" t="s">
        <v>959</v>
      </c>
      <c r="D449" s="4" t="s">
        <v>621</v>
      </c>
      <c r="E449" s="4" t="s">
        <v>15</v>
      </c>
      <c r="F449" s="4" t="s">
        <v>63</v>
      </c>
      <c r="G449" s="4" t="s">
        <v>35</v>
      </c>
      <c r="H449" s="4" t="s">
        <v>45</v>
      </c>
      <c r="I449" s="6">
        <v>4</v>
      </c>
      <c r="J449" s="6">
        <v>1784</v>
      </c>
      <c r="K449" s="6">
        <v>1343.4</v>
      </c>
      <c r="L449" s="6">
        <v>440.6</v>
      </c>
      <c r="M449" s="11">
        <f>Table13[[#This Row],[Profit]]/Table13[[#This Row],[Sales]]</f>
        <v>0.24697309417040361</v>
      </c>
      <c r="N449" s="6" t="str">
        <f>TEXT(Table13[[#This Row],[Order Date]],"mmm")</f>
        <v>Oct</v>
      </c>
      <c r="O449" s="6">
        <f>YEAR(Table13[[#This Row],[Order Date]])</f>
        <v>2025</v>
      </c>
    </row>
    <row r="450" spans="1:15" x14ac:dyDescent="0.3">
      <c r="A450" s="4" t="s">
        <v>960</v>
      </c>
      <c r="B450" s="5">
        <v>45605</v>
      </c>
      <c r="C450" s="4" t="s">
        <v>961</v>
      </c>
      <c r="D450" s="4" t="s">
        <v>862</v>
      </c>
      <c r="E450" s="4" t="s">
        <v>54</v>
      </c>
      <c r="F450" s="4" t="s">
        <v>55</v>
      </c>
      <c r="G450" s="4" t="s">
        <v>24</v>
      </c>
      <c r="H450" s="4" t="s">
        <v>166</v>
      </c>
      <c r="I450" s="6">
        <v>2</v>
      </c>
      <c r="J450" s="6">
        <v>6884</v>
      </c>
      <c r="K450" s="6">
        <v>4825.6899999999996</v>
      </c>
      <c r="L450" s="6">
        <v>2058.31</v>
      </c>
      <c r="M450" s="11">
        <f>Table13[[#This Row],[Profit]]/Table13[[#This Row],[Sales]]</f>
        <v>0.29899912841371296</v>
      </c>
      <c r="N450" s="6" t="str">
        <f>TEXT(Table13[[#This Row],[Order Date]],"mmm")</f>
        <v>Nov</v>
      </c>
      <c r="O450" s="6">
        <f>YEAR(Table13[[#This Row],[Order Date]])</f>
        <v>2024</v>
      </c>
    </row>
    <row r="451" spans="1:15" x14ac:dyDescent="0.3">
      <c r="A451" s="4" t="s">
        <v>962</v>
      </c>
      <c r="B451" s="5">
        <v>45637</v>
      </c>
      <c r="C451" s="4" t="s">
        <v>176</v>
      </c>
      <c r="D451" s="4" t="s">
        <v>661</v>
      </c>
      <c r="E451" s="4" t="s">
        <v>15</v>
      </c>
      <c r="F451" s="4" t="s">
        <v>63</v>
      </c>
      <c r="G451" s="4" t="s">
        <v>40</v>
      </c>
      <c r="H451" s="4" t="s">
        <v>99</v>
      </c>
      <c r="I451" s="6">
        <v>8</v>
      </c>
      <c r="J451" s="6">
        <v>36496</v>
      </c>
      <c r="K451" s="6">
        <v>26602.33</v>
      </c>
      <c r="L451" s="6">
        <v>9893.67</v>
      </c>
      <c r="M451" s="11">
        <f>Table13[[#This Row],[Profit]]/Table13[[#This Row],[Sales]]</f>
        <v>0.27108916045594039</v>
      </c>
      <c r="N451" s="6" t="str">
        <f>TEXT(Table13[[#This Row],[Order Date]],"mmm")</f>
        <v>Dec</v>
      </c>
      <c r="O451" s="6">
        <f>YEAR(Table13[[#This Row],[Order Date]])</f>
        <v>2024</v>
      </c>
    </row>
    <row r="452" spans="1:15" x14ac:dyDescent="0.3">
      <c r="A452" s="4" t="s">
        <v>963</v>
      </c>
      <c r="B452" s="5">
        <v>45705</v>
      </c>
      <c r="C452" s="4" t="s">
        <v>964</v>
      </c>
      <c r="D452" s="4" t="s">
        <v>909</v>
      </c>
      <c r="E452" s="4" t="s">
        <v>54</v>
      </c>
      <c r="F452" s="4" t="s">
        <v>55</v>
      </c>
      <c r="G452" s="4" t="s">
        <v>40</v>
      </c>
      <c r="H452" s="4" t="s">
        <v>41</v>
      </c>
      <c r="I452" s="6">
        <v>4</v>
      </c>
      <c r="J452" s="6">
        <v>6600</v>
      </c>
      <c r="K452" s="6">
        <v>5507.21</v>
      </c>
      <c r="L452" s="6">
        <v>1092.79</v>
      </c>
      <c r="M452" s="11">
        <f>Table13[[#This Row],[Profit]]/Table13[[#This Row],[Sales]]</f>
        <v>0.16557424242424243</v>
      </c>
      <c r="N452" s="6" t="str">
        <f>TEXT(Table13[[#This Row],[Order Date]],"mmm")</f>
        <v>Feb</v>
      </c>
      <c r="O452" s="6">
        <f>YEAR(Table13[[#This Row],[Order Date]])</f>
        <v>2025</v>
      </c>
    </row>
    <row r="453" spans="1:15" x14ac:dyDescent="0.3">
      <c r="A453" s="4" t="s">
        <v>965</v>
      </c>
      <c r="B453" s="5">
        <v>45465</v>
      </c>
      <c r="C453" s="4" t="s">
        <v>966</v>
      </c>
      <c r="D453" s="4" t="s">
        <v>381</v>
      </c>
      <c r="E453" s="4" t="s">
        <v>29</v>
      </c>
      <c r="F453" s="4" t="s">
        <v>30</v>
      </c>
      <c r="G453" s="4" t="s">
        <v>24</v>
      </c>
      <c r="H453" s="4" t="s">
        <v>166</v>
      </c>
      <c r="I453" s="6">
        <v>4</v>
      </c>
      <c r="J453" s="6">
        <v>1916</v>
      </c>
      <c r="K453" s="6">
        <v>1392.76</v>
      </c>
      <c r="L453" s="6">
        <v>523.24</v>
      </c>
      <c r="M453" s="11">
        <f>Table13[[#This Row],[Profit]]/Table13[[#This Row],[Sales]]</f>
        <v>0.27308977035490606</v>
      </c>
      <c r="N453" s="6" t="str">
        <f>TEXT(Table13[[#This Row],[Order Date]],"mmm")</f>
        <v>Jun</v>
      </c>
      <c r="O453" s="6">
        <f>YEAR(Table13[[#This Row],[Order Date]])</f>
        <v>2024</v>
      </c>
    </row>
    <row r="454" spans="1:15" x14ac:dyDescent="0.3">
      <c r="A454" s="4" t="s">
        <v>967</v>
      </c>
      <c r="B454" s="5">
        <v>45900</v>
      </c>
      <c r="C454" s="4" t="s">
        <v>668</v>
      </c>
      <c r="D454" s="4" t="s">
        <v>852</v>
      </c>
      <c r="E454" s="4" t="s">
        <v>15</v>
      </c>
      <c r="F454" s="4" t="s">
        <v>63</v>
      </c>
      <c r="G454" s="4" t="s">
        <v>17</v>
      </c>
      <c r="H454" s="4" t="s">
        <v>31</v>
      </c>
      <c r="I454" s="6">
        <v>5</v>
      </c>
      <c r="J454" s="6">
        <v>23400</v>
      </c>
      <c r="K454" s="6">
        <v>17244.41</v>
      </c>
      <c r="L454" s="6">
        <v>6155.59</v>
      </c>
      <c r="M454" s="11">
        <f>Table13[[#This Row],[Profit]]/Table13[[#This Row],[Sales]]</f>
        <v>0.26305940170940173</v>
      </c>
      <c r="N454" s="6" t="str">
        <f>TEXT(Table13[[#This Row],[Order Date]],"mmm")</f>
        <v>Aug</v>
      </c>
      <c r="O454" s="6">
        <f>YEAR(Table13[[#This Row],[Order Date]])</f>
        <v>2025</v>
      </c>
    </row>
    <row r="455" spans="1:15" x14ac:dyDescent="0.3">
      <c r="A455" s="4" t="s">
        <v>968</v>
      </c>
      <c r="B455" s="5">
        <v>45418</v>
      </c>
      <c r="C455" s="4" t="s">
        <v>969</v>
      </c>
      <c r="D455" s="4" t="s">
        <v>701</v>
      </c>
      <c r="E455" s="4" t="s">
        <v>15</v>
      </c>
      <c r="F455" s="4" t="s">
        <v>16</v>
      </c>
      <c r="G455" s="4" t="s">
        <v>17</v>
      </c>
      <c r="H455" s="4" t="s">
        <v>18</v>
      </c>
      <c r="I455" s="6">
        <v>2</v>
      </c>
      <c r="J455" s="6">
        <v>7428</v>
      </c>
      <c r="K455" s="6">
        <v>5075.51</v>
      </c>
      <c r="L455" s="6">
        <v>2352.4899999999998</v>
      </c>
      <c r="M455" s="11">
        <f>Table13[[#This Row],[Profit]]/Table13[[#This Row],[Sales]]</f>
        <v>0.3167057081313947</v>
      </c>
      <c r="N455" s="6" t="str">
        <f>TEXT(Table13[[#This Row],[Order Date]],"mmm")</f>
        <v>May</v>
      </c>
      <c r="O455" s="6">
        <f>YEAR(Table13[[#This Row],[Order Date]])</f>
        <v>2024</v>
      </c>
    </row>
    <row r="456" spans="1:15" x14ac:dyDescent="0.3">
      <c r="A456" s="4" t="s">
        <v>970</v>
      </c>
      <c r="B456" s="5">
        <v>45969</v>
      </c>
      <c r="C456" s="4" t="s">
        <v>346</v>
      </c>
      <c r="D456" s="4" t="s">
        <v>971</v>
      </c>
      <c r="E456" s="4" t="s">
        <v>22</v>
      </c>
      <c r="F456" s="4" t="s">
        <v>79</v>
      </c>
      <c r="G456" s="4" t="s">
        <v>24</v>
      </c>
      <c r="H456" s="4" t="s">
        <v>166</v>
      </c>
      <c r="I456" s="6">
        <v>4</v>
      </c>
      <c r="J456" s="6">
        <v>1504</v>
      </c>
      <c r="K456" s="6">
        <v>963.06</v>
      </c>
      <c r="L456" s="6">
        <v>540.94000000000005</v>
      </c>
      <c r="M456" s="11">
        <f>Table13[[#This Row],[Profit]]/Table13[[#This Row],[Sales]]</f>
        <v>0.35966755319148941</v>
      </c>
      <c r="N456" s="6" t="str">
        <f>TEXT(Table13[[#This Row],[Order Date]],"mmm")</f>
        <v>Nov</v>
      </c>
      <c r="O456" s="6">
        <f>YEAR(Table13[[#This Row],[Order Date]])</f>
        <v>2025</v>
      </c>
    </row>
    <row r="457" spans="1:15" x14ac:dyDescent="0.3">
      <c r="A457" s="4" t="s">
        <v>972</v>
      </c>
      <c r="B457" s="5">
        <v>45399</v>
      </c>
      <c r="C457" s="4" t="s">
        <v>464</v>
      </c>
      <c r="D457" s="4" t="s">
        <v>973</v>
      </c>
      <c r="E457" s="4" t="s">
        <v>54</v>
      </c>
      <c r="F457" s="4" t="s">
        <v>71</v>
      </c>
      <c r="G457" s="4" t="s">
        <v>17</v>
      </c>
      <c r="H457" s="4" t="s">
        <v>72</v>
      </c>
      <c r="I457" s="6">
        <v>3</v>
      </c>
      <c r="J457" s="6">
        <v>11193</v>
      </c>
      <c r="K457" s="6">
        <v>8945.4</v>
      </c>
      <c r="L457" s="6">
        <v>2247.6</v>
      </c>
      <c r="M457" s="11">
        <f>Table13[[#This Row],[Profit]]/Table13[[#This Row],[Sales]]</f>
        <v>0.20080407397480568</v>
      </c>
      <c r="N457" s="6" t="str">
        <f>TEXT(Table13[[#This Row],[Order Date]],"mmm")</f>
        <v>Apr</v>
      </c>
      <c r="O457" s="6">
        <f>YEAR(Table13[[#This Row],[Order Date]])</f>
        <v>2024</v>
      </c>
    </row>
    <row r="458" spans="1:15" x14ac:dyDescent="0.3">
      <c r="A458" s="4" t="s">
        <v>974</v>
      </c>
      <c r="B458" s="5">
        <v>45561</v>
      </c>
      <c r="C458" s="4" t="s">
        <v>826</v>
      </c>
      <c r="D458" s="4" t="s">
        <v>879</v>
      </c>
      <c r="E458" s="4" t="s">
        <v>54</v>
      </c>
      <c r="F458" s="4" t="s">
        <v>142</v>
      </c>
      <c r="G458" s="4" t="s">
        <v>24</v>
      </c>
      <c r="H458" s="4" t="s">
        <v>50</v>
      </c>
      <c r="I458" s="6">
        <v>8</v>
      </c>
      <c r="J458" s="6">
        <v>15416</v>
      </c>
      <c r="K458" s="6">
        <v>11295.31</v>
      </c>
      <c r="L458" s="6">
        <v>4120.6899999999996</v>
      </c>
      <c r="M458" s="11">
        <f>Table13[[#This Row],[Profit]]/Table13[[#This Row],[Sales]]</f>
        <v>0.2672995588998443</v>
      </c>
      <c r="N458" s="6" t="str">
        <f>TEXT(Table13[[#This Row],[Order Date]],"mmm")</f>
        <v>Sep</v>
      </c>
      <c r="O458" s="6">
        <f>YEAR(Table13[[#This Row],[Order Date]])</f>
        <v>2024</v>
      </c>
    </row>
    <row r="459" spans="1:15" x14ac:dyDescent="0.3">
      <c r="A459" s="4" t="s">
        <v>975</v>
      </c>
      <c r="B459" s="5">
        <v>45800</v>
      </c>
      <c r="C459" s="4" t="s">
        <v>976</v>
      </c>
      <c r="D459" s="4" t="s">
        <v>977</v>
      </c>
      <c r="E459" s="4" t="s">
        <v>54</v>
      </c>
      <c r="F459" s="4" t="s">
        <v>71</v>
      </c>
      <c r="G459" s="4" t="s">
        <v>35</v>
      </c>
      <c r="H459" s="4" t="s">
        <v>36</v>
      </c>
      <c r="I459" s="6">
        <v>5</v>
      </c>
      <c r="J459" s="6">
        <v>8065</v>
      </c>
      <c r="K459" s="6">
        <v>4531.09</v>
      </c>
      <c r="L459" s="6">
        <v>3533.91</v>
      </c>
      <c r="M459" s="11">
        <f>Table13[[#This Row],[Profit]]/Table13[[#This Row],[Sales]]</f>
        <v>0.43817854928704275</v>
      </c>
      <c r="N459" s="6" t="str">
        <f>TEXT(Table13[[#This Row],[Order Date]],"mmm")</f>
        <v>May</v>
      </c>
      <c r="O459" s="6">
        <f>YEAR(Table13[[#This Row],[Order Date]])</f>
        <v>2025</v>
      </c>
    </row>
    <row r="460" spans="1:15" x14ac:dyDescent="0.3">
      <c r="A460" s="4" t="s">
        <v>978</v>
      </c>
      <c r="B460" s="5">
        <v>45879</v>
      </c>
      <c r="C460" s="4" t="s">
        <v>843</v>
      </c>
      <c r="D460" s="4" t="s">
        <v>917</v>
      </c>
      <c r="E460" s="4" t="s">
        <v>54</v>
      </c>
      <c r="F460" s="4" t="s">
        <v>142</v>
      </c>
      <c r="G460" s="4" t="s">
        <v>24</v>
      </c>
      <c r="H460" s="4" t="s">
        <v>25</v>
      </c>
      <c r="I460" s="6">
        <v>1</v>
      </c>
      <c r="J460" s="6">
        <v>1029</v>
      </c>
      <c r="K460" s="6">
        <v>845.9</v>
      </c>
      <c r="L460" s="6">
        <v>183.1</v>
      </c>
      <c r="M460" s="11">
        <f>Table13[[#This Row],[Profit]]/Table13[[#This Row],[Sales]]</f>
        <v>0.17793974732750242</v>
      </c>
      <c r="N460" s="6" t="str">
        <f>TEXT(Table13[[#This Row],[Order Date]],"mmm")</f>
        <v>Aug</v>
      </c>
      <c r="O460" s="6">
        <f>YEAR(Table13[[#This Row],[Order Date]])</f>
        <v>2025</v>
      </c>
    </row>
    <row r="461" spans="1:15" x14ac:dyDescent="0.3">
      <c r="A461" s="4" t="s">
        <v>979</v>
      </c>
      <c r="B461" s="5">
        <v>45759</v>
      </c>
      <c r="C461" s="4" t="s">
        <v>812</v>
      </c>
      <c r="D461" s="4" t="s">
        <v>385</v>
      </c>
      <c r="E461" s="4" t="s">
        <v>15</v>
      </c>
      <c r="F461" s="4" t="s">
        <v>90</v>
      </c>
      <c r="G461" s="4" t="s">
        <v>24</v>
      </c>
      <c r="H461" s="4" t="s">
        <v>50</v>
      </c>
      <c r="I461" s="6">
        <v>2</v>
      </c>
      <c r="J461" s="6">
        <v>4792</v>
      </c>
      <c r="K461" s="6">
        <v>3561.9</v>
      </c>
      <c r="L461" s="6">
        <v>1230.0999999999999</v>
      </c>
      <c r="M461" s="11">
        <f>Table13[[#This Row],[Profit]]/Table13[[#This Row],[Sales]]</f>
        <v>0.25669866444073453</v>
      </c>
      <c r="N461" s="6" t="str">
        <f>TEXT(Table13[[#This Row],[Order Date]],"mmm")</f>
        <v>Apr</v>
      </c>
      <c r="O461" s="6">
        <f>YEAR(Table13[[#This Row],[Order Date]])</f>
        <v>2025</v>
      </c>
    </row>
    <row r="462" spans="1:15" x14ac:dyDescent="0.3">
      <c r="A462" s="4" t="s">
        <v>980</v>
      </c>
      <c r="B462" s="5">
        <v>45660</v>
      </c>
      <c r="C462" s="4" t="s">
        <v>981</v>
      </c>
      <c r="D462" s="4" t="s">
        <v>982</v>
      </c>
      <c r="E462" s="4" t="s">
        <v>22</v>
      </c>
      <c r="F462" s="4" t="s">
        <v>23</v>
      </c>
      <c r="G462" s="4" t="s">
        <v>24</v>
      </c>
      <c r="H462" s="4" t="s">
        <v>50</v>
      </c>
      <c r="I462" s="6">
        <v>3</v>
      </c>
      <c r="J462" s="6">
        <v>1869</v>
      </c>
      <c r="K462" s="6">
        <v>1505.81</v>
      </c>
      <c r="L462" s="6">
        <v>363.19</v>
      </c>
      <c r="M462" s="11">
        <f>Table13[[#This Row],[Profit]]/Table13[[#This Row],[Sales]]</f>
        <v>0.19432316746923489</v>
      </c>
      <c r="N462" s="6" t="str">
        <f>TEXT(Table13[[#This Row],[Order Date]],"mmm")</f>
        <v>Jan</v>
      </c>
      <c r="O462" s="6">
        <f>YEAR(Table13[[#This Row],[Order Date]])</f>
        <v>2025</v>
      </c>
    </row>
    <row r="463" spans="1:15" x14ac:dyDescent="0.3">
      <c r="A463" s="4" t="s">
        <v>983</v>
      </c>
      <c r="B463" s="5">
        <v>45466</v>
      </c>
      <c r="C463" s="4" t="s">
        <v>984</v>
      </c>
      <c r="D463" s="4" t="s">
        <v>359</v>
      </c>
      <c r="E463" s="4" t="s">
        <v>15</v>
      </c>
      <c r="F463" s="4" t="s">
        <v>16</v>
      </c>
      <c r="G463" s="4" t="s">
        <v>24</v>
      </c>
      <c r="H463" s="4" t="s">
        <v>25</v>
      </c>
      <c r="I463" s="6">
        <v>1</v>
      </c>
      <c r="J463" s="6">
        <v>1433</v>
      </c>
      <c r="K463" s="6">
        <v>1073.33</v>
      </c>
      <c r="L463" s="6">
        <v>359.67</v>
      </c>
      <c r="M463" s="11">
        <f>Table13[[#This Row],[Profit]]/Table13[[#This Row],[Sales]]</f>
        <v>0.25099092812281926</v>
      </c>
      <c r="N463" s="6" t="str">
        <f>TEXT(Table13[[#This Row],[Order Date]],"mmm")</f>
        <v>Jun</v>
      </c>
      <c r="O463" s="6">
        <f>YEAR(Table13[[#This Row],[Order Date]])</f>
        <v>2024</v>
      </c>
    </row>
    <row r="464" spans="1:15" x14ac:dyDescent="0.3">
      <c r="A464" s="4" t="s">
        <v>985</v>
      </c>
      <c r="B464" s="5">
        <v>45479</v>
      </c>
      <c r="C464" s="4" t="s">
        <v>77</v>
      </c>
      <c r="D464" s="4" t="s">
        <v>839</v>
      </c>
      <c r="E464" s="4" t="s">
        <v>22</v>
      </c>
      <c r="F464" s="4" t="s">
        <v>79</v>
      </c>
      <c r="G464" s="4" t="s">
        <v>40</v>
      </c>
      <c r="H464" s="4" t="s">
        <v>99</v>
      </c>
      <c r="I464" s="6">
        <v>2</v>
      </c>
      <c r="J464" s="6">
        <v>6704</v>
      </c>
      <c r="K464" s="6">
        <v>5326.26</v>
      </c>
      <c r="L464" s="6">
        <v>1377.74</v>
      </c>
      <c r="M464" s="11">
        <f>Table13[[#This Row],[Profit]]/Table13[[#This Row],[Sales]]</f>
        <v>0.20551014319809069</v>
      </c>
      <c r="N464" s="6" t="str">
        <f>TEXT(Table13[[#This Row],[Order Date]],"mmm")</f>
        <v>Jul</v>
      </c>
      <c r="O464" s="6">
        <f>YEAR(Table13[[#This Row],[Order Date]])</f>
        <v>2024</v>
      </c>
    </row>
    <row r="465" spans="1:15" x14ac:dyDescent="0.3">
      <c r="A465" s="4" t="s">
        <v>986</v>
      </c>
      <c r="B465" s="5">
        <v>45956</v>
      </c>
      <c r="C465" s="4" t="s">
        <v>961</v>
      </c>
      <c r="D465" s="4" t="s">
        <v>987</v>
      </c>
      <c r="E465" s="4" t="s">
        <v>22</v>
      </c>
      <c r="F465" s="4" t="s">
        <v>67</v>
      </c>
      <c r="G465" s="4" t="s">
        <v>40</v>
      </c>
      <c r="H465" s="4" t="s">
        <v>99</v>
      </c>
      <c r="I465" s="6">
        <v>7</v>
      </c>
      <c r="J465" s="6">
        <v>29519</v>
      </c>
      <c r="K465" s="6">
        <v>23319.119999999999</v>
      </c>
      <c r="L465" s="6">
        <v>6199.88</v>
      </c>
      <c r="M465" s="11">
        <f>Table13[[#This Row],[Profit]]/Table13[[#This Row],[Sales]]</f>
        <v>0.21003015007283446</v>
      </c>
      <c r="N465" s="6" t="str">
        <f>TEXT(Table13[[#This Row],[Order Date]],"mmm")</f>
        <v>Oct</v>
      </c>
      <c r="O465" s="6">
        <f>YEAR(Table13[[#This Row],[Order Date]])</f>
        <v>2025</v>
      </c>
    </row>
    <row r="466" spans="1:15" x14ac:dyDescent="0.3">
      <c r="A466" s="4" t="s">
        <v>988</v>
      </c>
      <c r="B466" s="5">
        <v>45896</v>
      </c>
      <c r="C466" s="4" t="s">
        <v>751</v>
      </c>
      <c r="D466" s="4" t="s">
        <v>989</v>
      </c>
      <c r="E466" s="4" t="s">
        <v>29</v>
      </c>
      <c r="F466" s="4" t="s">
        <v>30</v>
      </c>
      <c r="G466" s="4" t="s">
        <v>17</v>
      </c>
      <c r="H466" s="4" t="s">
        <v>18</v>
      </c>
      <c r="I466" s="6">
        <v>1</v>
      </c>
      <c r="J466" s="6">
        <v>1605</v>
      </c>
      <c r="K466" s="6">
        <v>932.69</v>
      </c>
      <c r="L466" s="6">
        <v>672.31</v>
      </c>
      <c r="M466" s="11">
        <f>Table13[[#This Row],[Profit]]/Table13[[#This Row],[Sales]]</f>
        <v>0.4188847352024922</v>
      </c>
      <c r="N466" s="6" t="str">
        <f>TEXT(Table13[[#This Row],[Order Date]],"mmm")</f>
        <v>Aug</v>
      </c>
      <c r="O466" s="6">
        <f>YEAR(Table13[[#This Row],[Order Date]])</f>
        <v>2025</v>
      </c>
    </row>
    <row r="467" spans="1:15" x14ac:dyDescent="0.3">
      <c r="A467" s="4" t="s">
        <v>990</v>
      </c>
      <c r="B467" s="5">
        <v>45992</v>
      </c>
      <c r="C467" s="4" t="s">
        <v>451</v>
      </c>
      <c r="D467" s="4" t="s">
        <v>340</v>
      </c>
      <c r="E467" s="4" t="s">
        <v>22</v>
      </c>
      <c r="F467" s="4" t="s">
        <v>23</v>
      </c>
      <c r="G467" s="4" t="s">
        <v>17</v>
      </c>
      <c r="H467" s="4" t="s">
        <v>72</v>
      </c>
      <c r="I467" s="6">
        <v>7</v>
      </c>
      <c r="J467" s="6">
        <v>22659</v>
      </c>
      <c r="K467" s="6">
        <v>16618.28</v>
      </c>
      <c r="L467" s="6">
        <v>6040.72</v>
      </c>
      <c r="M467" s="11">
        <f>Table13[[#This Row],[Profit]]/Table13[[#This Row],[Sales]]</f>
        <v>0.26659252394192157</v>
      </c>
      <c r="N467" s="6" t="str">
        <f>TEXT(Table13[[#This Row],[Order Date]],"mmm")</f>
        <v>Dec</v>
      </c>
      <c r="O467" s="6">
        <f>YEAR(Table13[[#This Row],[Order Date]])</f>
        <v>2025</v>
      </c>
    </row>
    <row r="468" spans="1:15" x14ac:dyDescent="0.3">
      <c r="A468" s="4" t="s">
        <v>991</v>
      </c>
      <c r="B468" s="5">
        <v>45962</v>
      </c>
      <c r="C468" s="4" t="s">
        <v>981</v>
      </c>
      <c r="D468" s="4" t="s">
        <v>249</v>
      </c>
      <c r="E468" s="4" t="s">
        <v>22</v>
      </c>
      <c r="F468" s="4" t="s">
        <v>23</v>
      </c>
      <c r="G468" s="4" t="s">
        <v>35</v>
      </c>
      <c r="H468" s="4" t="s">
        <v>36</v>
      </c>
      <c r="I468" s="6">
        <v>8</v>
      </c>
      <c r="J468" s="6">
        <v>5408</v>
      </c>
      <c r="K468" s="6">
        <v>3077.16</v>
      </c>
      <c r="L468" s="6">
        <v>2330.84</v>
      </c>
      <c r="M468" s="11">
        <f>Table13[[#This Row],[Profit]]/Table13[[#This Row],[Sales]]</f>
        <v>0.43099852071005917</v>
      </c>
      <c r="N468" s="6" t="str">
        <f>TEXT(Table13[[#This Row],[Order Date]],"mmm")</f>
        <v>Nov</v>
      </c>
      <c r="O468" s="6">
        <f>YEAR(Table13[[#This Row],[Order Date]])</f>
        <v>2025</v>
      </c>
    </row>
    <row r="469" spans="1:15" x14ac:dyDescent="0.3">
      <c r="A469" s="4" t="s">
        <v>992</v>
      </c>
      <c r="B469" s="5">
        <v>45925</v>
      </c>
      <c r="C469" s="4" t="s">
        <v>993</v>
      </c>
      <c r="D469" s="4" t="s">
        <v>719</v>
      </c>
      <c r="E469" s="4" t="s">
        <v>29</v>
      </c>
      <c r="F469" s="4" t="s">
        <v>30</v>
      </c>
      <c r="G469" s="4" t="s">
        <v>40</v>
      </c>
      <c r="H469" s="4" t="s">
        <v>41</v>
      </c>
      <c r="I469" s="6">
        <v>9</v>
      </c>
      <c r="J469" s="6">
        <v>41265</v>
      </c>
      <c r="K469" s="6">
        <v>31215.84</v>
      </c>
      <c r="L469" s="6">
        <v>10049.16</v>
      </c>
      <c r="M469" s="11">
        <f>Table13[[#This Row],[Profit]]/Table13[[#This Row],[Sales]]</f>
        <v>0.24352744456561251</v>
      </c>
      <c r="N469" s="6" t="str">
        <f>TEXT(Table13[[#This Row],[Order Date]],"mmm")</f>
        <v>Sep</v>
      </c>
      <c r="O469" s="6">
        <f>YEAR(Table13[[#This Row],[Order Date]])</f>
        <v>2025</v>
      </c>
    </row>
    <row r="470" spans="1:15" x14ac:dyDescent="0.3">
      <c r="A470" s="4" t="s">
        <v>994</v>
      </c>
      <c r="B470" s="5">
        <v>45863</v>
      </c>
      <c r="C470" s="4" t="s">
        <v>771</v>
      </c>
      <c r="D470" s="4" t="s">
        <v>746</v>
      </c>
      <c r="E470" s="4" t="s">
        <v>29</v>
      </c>
      <c r="F470" s="4" t="s">
        <v>49</v>
      </c>
      <c r="G470" s="4" t="s">
        <v>40</v>
      </c>
      <c r="H470" s="4" t="s">
        <v>41</v>
      </c>
      <c r="I470" s="6">
        <v>7</v>
      </c>
      <c r="J470" s="6">
        <v>10619</v>
      </c>
      <c r="K470" s="6">
        <v>8513.36</v>
      </c>
      <c r="L470" s="6">
        <v>2105.64</v>
      </c>
      <c r="M470" s="11">
        <f>Table13[[#This Row],[Profit]]/Table13[[#This Row],[Sales]]</f>
        <v>0.19828985780205291</v>
      </c>
      <c r="N470" s="6" t="str">
        <f>TEXT(Table13[[#This Row],[Order Date]],"mmm")</f>
        <v>Jul</v>
      </c>
      <c r="O470" s="6">
        <f>YEAR(Table13[[#This Row],[Order Date]])</f>
        <v>2025</v>
      </c>
    </row>
    <row r="471" spans="1:15" x14ac:dyDescent="0.3">
      <c r="A471" s="4" t="s">
        <v>995</v>
      </c>
      <c r="B471" s="5">
        <v>45795</v>
      </c>
      <c r="C471" s="4" t="s">
        <v>624</v>
      </c>
      <c r="D471" s="4" t="s">
        <v>264</v>
      </c>
      <c r="E471" s="4" t="s">
        <v>29</v>
      </c>
      <c r="F471" s="4" t="s">
        <v>30</v>
      </c>
      <c r="G471" s="4" t="s">
        <v>35</v>
      </c>
      <c r="H471" s="4" t="s">
        <v>80</v>
      </c>
      <c r="I471" s="6">
        <v>8</v>
      </c>
      <c r="J471" s="6">
        <v>13232</v>
      </c>
      <c r="K471" s="6">
        <v>7574.79</v>
      </c>
      <c r="L471" s="6">
        <v>5657.21</v>
      </c>
      <c r="M471" s="11">
        <f>Table13[[#This Row],[Profit]]/Table13[[#This Row],[Sales]]</f>
        <v>0.42754005441354292</v>
      </c>
      <c r="N471" s="6" t="str">
        <f>TEXT(Table13[[#This Row],[Order Date]],"mmm")</f>
        <v>May</v>
      </c>
      <c r="O471" s="6">
        <f>YEAR(Table13[[#This Row],[Order Date]])</f>
        <v>2025</v>
      </c>
    </row>
    <row r="472" spans="1:15" x14ac:dyDescent="0.3">
      <c r="A472" s="4" t="s">
        <v>996</v>
      </c>
      <c r="B472" s="5">
        <v>45679</v>
      </c>
      <c r="C472" s="4" t="s">
        <v>132</v>
      </c>
      <c r="D472" s="4" t="s">
        <v>508</v>
      </c>
      <c r="E472" s="4" t="s">
        <v>54</v>
      </c>
      <c r="F472" s="4" t="s">
        <v>55</v>
      </c>
      <c r="G472" s="4" t="s">
        <v>24</v>
      </c>
      <c r="H472" s="4" t="s">
        <v>25</v>
      </c>
      <c r="I472" s="6">
        <v>9</v>
      </c>
      <c r="J472" s="6">
        <v>19116</v>
      </c>
      <c r="K472" s="6">
        <v>13670.78</v>
      </c>
      <c r="L472" s="6">
        <v>5445.22</v>
      </c>
      <c r="M472" s="11">
        <f>Table13[[#This Row],[Profit]]/Table13[[#This Row],[Sales]]</f>
        <v>0.28485143335425822</v>
      </c>
      <c r="N472" s="6" t="str">
        <f>TEXT(Table13[[#This Row],[Order Date]],"mmm")</f>
        <v>Jan</v>
      </c>
      <c r="O472" s="6">
        <f>YEAR(Table13[[#This Row],[Order Date]])</f>
        <v>2025</v>
      </c>
    </row>
    <row r="473" spans="1:15" x14ac:dyDescent="0.3">
      <c r="A473" s="4" t="s">
        <v>997</v>
      </c>
      <c r="B473" s="5">
        <v>45802</v>
      </c>
      <c r="C473" s="4" t="s">
        <v>209</v>
      </c>
      <c r="D473" s="4" t="s">
        <v>711</v>
      </c>
      <c r="E473" s="4" t="s">
        <v>15</v>
      </c>
      <c r="F473" s="4" t="s">
        <v>63</v>
      </c>
      <c r="G473" s="4" t="s">
        <v>35</v>
      </c>
      <c r="H473" s="4" t="s">
        <v>80</v>
      </c>
      <c r="I473" s="6">
        <v>10</v>
      </c>
      <c r="J473" s="6">
        <v>39700</v>
      </c>
      <c r="K473" s="6">
        <v>22883.32</v>
      </c>
      <c r="L473" s="6">
        <v>16816.68</v>
      </c>
      <c r="M473" s="11">
        <f>Table13[[#This Row],[Profit]]/Table13[[#This Row],[Sales]]</f>
        <v>0.42359395465994965</v>
      </c>
      <c r="N473" s="6" t="str">
        <f>TEXT(Table13[[#This Row],[Order Date]],"mmm")</f>
        <v>May</v>
      </c>
      <c r="O473" s="6">
        <f>YEAR(Table13[[#This Row],[Order Date]])</f>
        <v>2025</v>
      </c>
    </row>
    <row r="474" spans="1:15" x14ac:dyDescent="0.3">
      <c r="A474" s="4" t="s">
        <v>998</v>
      </c>
      <c r="B474" s="5">
        <v>45328</v>
      </c>
      <c r="C474" s="4" t="s">
        <v>433</v>
      </c>
      <c r="D474" s="4" t="s">
        <v>869</v>
      </c>
      <c r="E474" s="4" t="s">
        <v>15</v>
      </c>
      <c r="F474" s="4" t="s">
        <v>63</v>
      </c>
      <c r="G474" s="4" t="s">
        <v>17</v>
      </c>
      <c r="H474" s="4" t="s">
        <v>18</v>
      </c>
      <c r="I474" s="6">
        <v>1</v>
      </c>
      <c r="J474" s="6">
        <v>1140</v>
      </c>
      <c r="K474" s="6">
        <v>764.98</v>
      </c>
      <c r="L474" s="6">
        <v>375.02</v>
      </c>
      <c r="M474" s="11">
        <f>Table13[[#This Row],[Profit]]/Table13[[#This Row],[Sales]]</f>
        <v>0.32896491228070174</v>
      </c>
      <c r="N474" s="6" t="str">
        <f>TEXT(Table13[[#This Row],[Order Date]],"mmm")</f>
        <v>Feb</v>
      </c>
      <c r="O474" s="6">
        <f>YEAR(Table13[[#This Row],[Order Date]])</f>
        <v>2024</v>
      </c>
    </row>
    <row r="475" spans="1:15" x14ac:dyDescent="0.3">
      <c r="A475" s="4" t="s">
        <v>999</v>
      </c>
      <c r="B475" s="5">
        <v>45867</v>
      </c>
      <c r="C475" s="4" t="s">
        <v>783</v>
      </c>
      <c r="D475" s="4" t="s">
        <v>369</v>
      </c>
      <c r="E475" s="4" t="s">
        <v>15</v>
      </c>
      <c r="F475" s="4" t="s">
        <v>16</v>
      </c>
      <c r="G475" s="4" t="s">
        <v>17</v>
      </c>
      <c r="H475" s="4" t="s">
        <v>72</v>
      </c>
      <c r="I475" s="6">
        <v>10</v>
      </c>
      <c r="J475" s="6">
        <v>27950</v>
      </c>
      <c r="K475" s="6">
        <v>22836.080000000002</v>
      </c>
      <c r="L475" s="6">
        <v>5113.92</v>
      </c>
      <c r="M475" s="11">
        <f>Table13[[#This Row],[Profit]]/Table13[[#This Row],[Sales]]</f>
        <v>0.18296672629695887</v>
      </c>
      <c r="N475" s="6" t="str">
        <f>TEXT(Table13[[#This Row],[Order Date]],"mmm")</f>
        <v>Jul</v>
      </c>
      <c r="O475" s="6">
        <f>YEAR(Table13[[#This Row],[Order Date]])</f>
        <v>2025</v>
      </c>
    </row>
    <row r="476" spans="1:15" x14ac:dyDescent="0.3">
      <c r="A476" s="4" t="s">
        <v>1000</v>
      </c>
      <c r="B476" s="5">
        <v>45926</v>
      </c>
      <c r="C476" s="4" t="s">
        <v>1001</v>
      </c>
      <c r="D476" s="4" t="s">
        <v>160</v>
      </c>
      <c r="E476" s="4" t="s">
        <v>54</v>
      </c>
      <c r="F476" s="4" t="s">
        <v>55</v>
      </c>
      <c r="G476" s="4" t="s">
        <v>24</v>
      </c>
      <c r="H476" s="4" t="s">
        <v>25</v>
      </c>
      <c r="I476" s="6">
        <v>4</v>
      </c>
      <c r="J476" s="6">
        <v>16088</v>
      </c>
      <c r="K476" s="6">
        <v>10450.629999999999</v>
      </c>
      <c r="L476" s="6">
        <v>5637.37</v>
      </c>
      <c r="M476" s="11">
        <f>Table13[[#This Row],[Profit]]/Table13[[#This Row],[Sales]]</f>
        <v>0.35040837891596222</v>
      </c>
      <c r="N476" s="6" t="str">
        <f>TEXT(Table13[[#This Row],[Order Date]],"mmm")</f>
        <v>Sep</v>
      </c>
      <c r="O476" s="6">
        <f>YEAR(Table13[[#This Row],[Order Date]])</f>
        <v>2025</v>
      </c>
    </row>
    <row r="477" spans="1:15" x14ac:dyDescent="0.3">
      <c r="A477" s="4" t="s">
        <v>1002</v>
      </c>
      <c r="B477" s="5">
        <v>45940</v>
      </c>
      <c r="C477" s="4" t="s">
        <v>727</v>
      </c>
      <c r="D477" s="4" t="s">
        <v>414</v>
      </c>
      <c r="E477" s="4" t="s">
        <v>22</v>
      </c>
      <c r="F477" s="4" t="s">
        <v>23</v>
      </c>
      <c r="G477" s="4" t="s">
        <v>24</v>
      </c>
      <c r="H477" s="4" t="s">
        <v>50</v>
      </c>
      <c r="I477" s="6">
        <v>4</v>
      </c>
      <c r="J477" s="6">
        <v>1268</v>
      </c>
      <c r="K477" s="6">
        <v>827.25</v>
      </c>
      <c r="L477" s="6">
        <v>440.75</v>
      </c>
      <c r="M477" s="11">
        <f>Table13[[#This Row],[Profit]]/Table13[[#This Row],[Sales]]</f>
        <v>0.34759463722397477</v>
      </c>
      <c r="N477" s="6" t="str">
        <f>TEXT(Table13[[#This Row],[Order Date]],"mmm")</f>
        <v>Oct</v>
      </c>
      <c r="O477" s="6">
        <f>YEAR(Table13[[#This Row],[Order Date]])</f>
        <v>2025</v>
      </c>
    </row>
    <row r="478" spans="1:15" x14ac:dyDescent="0.3">
      <c r="A478" s="4" t="s">
        <v>1003</v>
      </c>
      <c r="B478" s="5">
        <v>45711</v>
      </c>
      <c r="C478" s="4" t="s">
        <v>745</v>
      </c>
      <c r="D478" s="4" t="s">
        <v>180</v>
      </c>
      <c r="E478" s="4" t="s">
        <v>54</v>
      </c>
      <c r="F478" s="4" t="s">
        <v>71</v>
      </c>
      <c r="G478" s="4" t="s">
        <v>24</v>
      </c>
      <c r="H478" s="4" t="s">
        <v>50</v>
      </c>
      <c r="I478" s="6">
        <v>1</v>
      </c>
      <c r="J478" s="6">
        <v>1644</v>
      </c>
      <c r="K478" s="6">
        <v>1147.06</v>
      </c>
      <c r="L478" s="6">
        <v>496.94</v>
      </c>
      <c r="M478" s="11">
        <f>Table13[[#This Row],[Profit]]/Table13[[#This Row],[Sales]]</f>
        <v>0.30227493917274939</v>
      </c>
      <c r="N478" s="6" t="str">
        <f>TEXT(Table13[[#This Row],[Order Date]],"mmm")</f>
        <v>Feb</v>
      </c>
      <c r="O478" s="6">
        <f>YEAR(Table13[[#This Row],[Order Date]])</f>
        <v>2025</v>
      </c>
    </row>
    <row r="479" spans="1:15" x14ac:dyDescent="0.3">
      <c r="A479" s="4" t="s">
        <v>1004</v>
      </c>
      <c r="B479" s="5">
        <v>45487</v>
      </c>
      <c r="C479" s="4" t="s">
        <v>535</v>
      </c>
      <c r="D479" s="4" t="s">
        <v>852</v>
      </c>
      <c r="E479" s="4" t="s">
        <v>29</v>
      </c>
      <c r="F479" s="4" t="s">
        <v>102</v>
      </c>
      <c r="G479" s="4" t="s">
        <v>24</v>
      </c>
      <c r="H479" s="4" t="s">
        <v>50</v>
      </c>
      <c r="I479" s="6">
        <v>7</v>
      </c>
      <c r="J479" s="6">
        <v>14462</v>
      </c>
      <c r="K479" s="6">
        <v>9937.0400000000009</v>
      </c>
      <c r="L479" s="6">
        <v>4524.96</v>
      </c>
      <c r="M479" s="11">
        <f>Table13[[#This Row],[Profit]]/Table13[[#This Row],[Sales]]</f>
        <v>0.31288618448347394</v>
      </c>
      <c r="N479" s="6" t="str">
        <f>TEXT(Table13[[#This Row],[Order Date]],"mmm")</f>
        <v>Jul</v>
      </c>
      <c r="O479" s="6">
        <f>YEAR(Table13[[#This Row],[Order Date]])</f>
        <v>2024</v>
      </c>
    </row>
    <row r="480" spans="1:15" x14ac:dyDescent="0.3">
      <c r="A480" s="4" t="s">
        <v>1005</v>
      </c>
      <c r="B480" s="5">
        <v>45753</v>
      </c>
      <c r="C480" s="4" t="s">
        <v>516</v>
      </c>
      <c r="D480" s="4" t="s">
        <v>696</v>
      </c>
      <c r="E480" s="4" t="s">
        <v>22</v>
      </c>
      <c r="F480" s="4" t="s">
        <v>23</v>
      </c>
      <c r="G480" s="4" t="s">
        <v>17</v>
      </c>
      <c r="H480" s="4" t="s">
        <v>31</v>
      </c>
      <c r="I480" s="6">
        <v>10</v>
      </c>
      <c r="J480" s="6">
        <v>13090</v>
      </c>
      <c r="K480" s="6">
        <v>10231.709999999999</v>
      </c>
      <c r="L480" s="6">
        <v>2858.29</v>
      </c>
      <c r="M480" s="11">
        <f>Table13[[#This Row],[Profit]]/Table13[[#This Row],[Sales]]</f>
        <v>0.21835676088617265</v>
      </c>
      <c r="N480" s="6" t="str">
        <f>TEXT(Table13[[#This Row],[Order Date]],"mmm")</f>
        <v>Apr</v>
      </c>
      <c r="O480" s="6">
        <f>YEAR(Table13[[#This Row],[Order Date]])</f>
        <v>2025</v>
      </c>
    </row>
    <row r="481" spans="1:15" x14ac:dyDescent="0.3">
      <c r="A481" s="4" t="s">
        <v>1006</v>
      </c>
      <c r="B481" s="5">
        <v>45735</v>
      </c>
      <c r="C481" s="4" t="s">
        <v>313</v>
      </c>
      <c r="D481" s="4" t="s">
        <v>340</v>
      </c>
      <c r="E481" s="4" t="s">
        <v>29</v>
      </c>
      <c r="F481" s="4" t="s">
        <v>49</v>
      </c>
      <c r="G481" s="4" t="s">
        <v>24</v>
      </c>
      <c r="H481" s="4" t="s">
        <v>25</v>
      </c>
      <c r="I481" s="6">
        <v>9</v>
      </c>
      <c r="J481" s="6">
        <v>6273</v>
      </c>
      <c r="K481" s="6">
        <v>4491.2700000000004</v>
      </c>
      <c r="L481" s="6">
        <v>1781.73</v>
      </c>
      <c r="M481" s="11">
        <f>Table13[[#This Row],[Profit]]/Table13[[#This Row],[Sales]]</f>
        <v>0.28403156384505024</v>
      </c>
      <c r="N481" s="6" t="str">
        <f>TEXT(Table13[[#This Row],[Order Date]],"mmm")</f>
        <v>Mar</v>
      </c>
      <c r="O481" s="6">
        <f>YEAR(Table13[[#This Row],[Order Date]])</f>
        <v>2025</v>
      </c>
    </row>
    <row r="482" spans="1:15" x14ac:dyDescent="0.3">
      <c r="A482" s="4" t="s">
        <v>1007</v>
      </c>
      <c r="B482" s="5">
        <v>45965</v>
      </c>
      <c r="C482" s="4" t="s">
        <v>624</v>
      </c>
      <c r="D482" s="4" t="s">
        <v>696</v>
      </c>
      <c r="E482" s="4" t="s">
        <v>29</v>
      </c>
      <c r="F482" s="4" t="s">
        <v>30</v>
      </c>
      <c r="G482" s="4" t="s">
        <v>17</v>
      </c>
      <c r="H482" s="4" t="s">
        <v>72</v>
      </c>
      <c r="I482" s="6">
        <v>3</v>
      </c>
      <c r="J482" s="6">
        <v>4053</v>
      </c>
      <c r="K482" s="6">
        <v>2355.06</v>
      </c>
      <c r="L482" s="6">
        <v>1697.94</v>
      </c>
      <c r="M482" s="11">
        <f>Table13[[#This Row],[Profit]]/Table13[[#This Row],[Sales]]</f>
        <v>0.4189341228719467</v>
      </c>
      <c r="N482" s="6" t="str">
        <f>TEXT(Table13[[#This Row],[Order Date]],"mmm")</f>
        <v>Nov</v>
      </c>
      <c r="O482" s="6">
        <f>YEAR(Table13[[#This Row],[Order Date]])</f>
        <v>2025</v>
      </c>
    </row>
    <row r="483" spans="1:15" x14ac:dyDescent="0.3">
      <c r="A483" s="4" t="s">
        <v>1008</v>
      </c>
      <c r="B483" s="5">
        <v>45643</v>
      </c>
      <c r="C483" s="4" t="s">
        <v>358</v>
      </c>
      <c r="D483" s="4" t="s">
        <v>408</v>
      </c>
      <c r="E483" s="4" t="s">
        <v>22</v>
      </c>
      <c r="F483" s="4" t="s">
        <v>67</v>
      </c>
      <c r="G483" s="4" t="s">
        <v>17</v>
      </c>
      <c r="H483" s="4" t="s">
        <v>72</v>
      </c>
      <c r="I483" s="6">
        <v>4</v>
      </c>
      <c r="J483" s="6">
        <v>10164</v>
      </c>
      <c r="K483" s="6">
        <v>6803.39</v>
      </c>
      <c r="L483" s="6">
        <v>3360.61</v>
      </c>
      <c r="M483" s="11">
        <f>Table13[[#This Row],[Profit]]/Table13[[#This Row],[Sales]]</f>
        <v>0.33063852813852818</v>
      </c>
      <c r="N483" s="6" t="str">
        <f>TEXT(Table13[[#This Row],[Order Date]],"mmm")</f>
        <v>Dec</v>
      </c>
      <c r="O483" s="6">
        <f>YEAR(Table13[[#This Row],[Order Date]])</f>
        <v>2024</v>
      </c>
    </row>
    <row r="484" spans="1:15" x14ac:dyDescent="0.3">
      <c r="A484" s="4" t="s">
        <v>1009</v>
      </c>
      <c r="B484" s="5">
        <v>46010</v>
      </c>
      <c r="C484" s="4" t="s">
        <v>969</v>
      </c>
      <c r="D484" s="4" t="s">
        <v>127</v>
      </c>
      <c r="E484" s="4" t="s">
        <v>29</v>
      </c>
      <c r="F484" s="4" t="s">
        <v>102</v>
      </c>
      <c r="G484" s="4" t="s">
        <v>35</v>
      </c>
      <c r="H484" s="4" t="s">
        <v>36</v>
      </c>
      <c r="I484" s="6">
        <v>10</v>
      </c>
      <c r="J484" s="6">
        <v>44960</v>
      </c>
      <c r="K484" s="6">
        <v>28759.74</v>
      </c>
      <c r="L484" s="6">
        <v>16200.26</v>
      </c>
      <c r="M484" s="11">
        <f>Table13[[#This Row],[Profit]]/Table13[[#This Row],[Sales]]</f>
        <v>0.36032606761565839</v>
      </c>
      <c r="N484" s="6" t="str">
        <f>TEXT(Table13[[#This Row],[Order Date]],"mmm")</f>
        <v>Dec</v>
      </c>
      <c r="O484" s="6">
        <f>YEAR(Table13[[#This Row],[Order Date]])</f>
        <v>2025</v>
      </c>
    </row>
    <row r="485" spans="1:15" x14ac:dyDescent="0.3">
      <c r="A485" s="4" t="s">
        <v>1010</v>
      </c>
      <c r="B485" s="5">
        <v>45980</v>
      </c>
      <c r="C485" s="4" t="s">
        <v>403</v>
      </c>
      <c r="D485" s="4" t="s">
        <v>1011</v>
      </c>
      <c r="E485" s="4" t="s">
        <v>29</v>
      </c>
      <c r="F485" s="4" t="s">
        <v>102</v>
      </c>
      <c r="G485" s="4" t="s">
        <v>40</v>
      </c>
      <c r="H485" s="4" t="s">
        <v>56</v>
      </c>
      <c r="I485" s="6">
        <v>10</v>
      </c>
      <c r="J485" s="6">
        <v>26800</v>
      </c>
      <c r="K485" s="6">
        <v>20260.349999999999</v>
      </c>
      <c r="L485" s="6">
        <v>6539.65</v>
      </c>
      <c r="M485" s="11">
        <f>Table13[[#This Row],[Profit]]/Table13[[#This Row],[Sales]]</f>
        <v>0.24401679104477611</v>
      </c>
      <c r="N485" s="6" t="str">
        <f>TEXT(Table13[[#This Row],[Order Date]],"mmm")</f>
        <v>Nov</v>
      </c>
      <c r="O485" s="6">
        <f>YEAR(Table13[[#This Row],[Order Date]])</f>
        <v>2025</v>
      </c>
    </row>
    <row r="486" spans="1:15" x14ac:dyDescent="0.3">
      <c r="A486" s="4" t="s">
        <v>1012</v>
      </c>
      <c r="B486" s="5">
        <v>45876</v>
      </c>
      <c r="C486" s="4" t="s">
        <v>455</v>
      </c>
      <c r="D486" s="4" t="s">
        <v>946</v>
      </c>
      <c r="E486" s="4" t="s">
        <v>54</v>
      </c>
      <c r="F486" s="4" t="s">
        <v>71</v>
      </c>
      <c r="G486" s="4" t="s">
        <v>24</v>
      </c>
      <c r="H486" s="4" t="s">
        <v>50</v>
      </c>
      <c r="I486" s="6">
        <v>6</v>
      </c>
      <c r="J486" s="6">
        <v>29436</v>
      </c>
      <c r="K486" s="6">
        <v>20431.849999999999</v>
      </c>
      <c r="L486" s="6">
        <v>9004.15</v>
      </c>
      <c r="M486" s="11">
        <f>Table13[[#This Row],[Profit]]/Table13[[#This Row],[Sales]]</f>
        <v>0.30588904742492184</v>
      </c>
      <c r="N486" s="6" t="str">
        <f>TEXT(Table13[[#This Row],[Order Date]],"mmm")</f>
        <v>Aug</v>
      </c>
      <c r="O486" s="6">
        <f>YEAR(Table13[[#This Row],[Order Date]])</f>
        <v>2025</v>
      </c>
    </row>
    <row r="487" spans="1:15" x14ac:dyDescent="0.3">
      <c r="A487" s="4" t="s">
        <v>1013</v>
      </c>
      <c r="B487" s="5">
        <v>45440</v>
      </c>
      <c r="C487" s="4" t="s">
        <v>771</v>
      </c>
      <c r="D487" s="4" t="s">
        <v>654</v>
      </c>
      <c r="E487" s="4" t="s">
        <v>54</v>
      </c>
      <c r="F487" s="4" t="s">
        <v>55</v>
      </c>
      <c r="G487" s="4" t="s">
        <v>24</v>
      </c>
      <c r="H487" s="4" t="s">
        <v>25</v>
      </c>
      <c r="I487" s="6">
        <v>9</v>
      </c>
      <c r="J487" s="6">
        <v>10548</v>
      </c>
      <c r="K487" s="6">
        <v>5881.37</v>
      </c>
      <c r="L487" s="6">
        <v>4666.63</v>
      </c>
      <c r="M487" s="11">
        <f>Table13[[#This Row],[Profit]]/Table13[[#This Row],[Sales]]</f>
        <v>0.44241846795601064</v>
      </c>
      <c r="N487" s="6" t="str">
        <f>TEXT(Table13[[#This Row],[Order Date]],"mmm")</f>
        <v>May</v>
      </c>
      <c r="O487" s="6">
        <f>YEAR(Table13[[#This Row],[Order Date]])</f>
        <v>2024</v>
      </c>
    </row>
    <row r="488" spans="1:15" x14ac:dyDescent="0.3">
      <c r="A488" s="4" t="s">
        <v>1014</v>
      </c>
      <c r="B488" s="5">
        <v>45355</v>
      </c>
      <c r="C488" s="4" t="s">
        <v>812</v>
      </c>
      <c r="D488" s="4" t="s">
        <v>580</v>
      </c>
      <c r="E488" s="4" t="s">
        <v>29</v>
      </c>
      <c r="F488" s="4" t="s">
        <v>49</v>
      </c>
      <c r="G488" s="4" t="s">
        <v>24</v>
      </c>
      <c r="H488" s="4" t="s">
        <v>166</v>
      </c>
      <c r="I488" s="6">
        <v>5</v>
      </c>
      <c r="J488" s="6">
        <v>11760</v>
      </c>
      <c r="K488" s="6">
        <v>6984.6</v>
      </c>
      <c r="L488" s="6">
        <v>4775.3999999999996</v>
      </c>
      <c r="M488" s="11">
        <f>Table13[[#This Row],[Profit]]/Table13[[#This Row],[Sales]]</f>
        <v>0.40607142857142853</v>
      </c>
      <c r="N488" s="6" t="str">
        <f>TEXT(Table13[[#This Row],[Order Date]],"mmm")</f>
        <v>Mar</v>
      </c>
      <c r="O488" s="6">
        <f>YEAR(Table13[[#This Row],[Order Date]])</f>
        <v>2024</v>
      </c>
    </row>
    <row r="489" spans="1:15" x14ac:dyDescent="0.3">
      <c r="A489" s="4" t="s">
        <v>1015</v>
      </c>
      <c r="B489" s="5">
        <v>45954</v>
      </c>
      <c r="C489" s="4" t="s">
        <v>65</v>
      </c>
      <c r="D489" s="4" t="s">
        <v>1016</v>
      </c>
      <c r="E489" s="4" t="s">
        <v>15</v>
      </c>
      <c r="F489" s="4" t="s">
        <v>63</v>
      </c>
      <c r="G489" s="4" t="s">
        <v>35</v>
      </c>
      <c r="H489" s="4" t="s">
        <v>80</v>
      </c>
      <c r="I489" s="6">
        <v>2</v>
      </c>
      <c r="J489" s="6">
        <v>9804</v>
      </c>
      <c r="K489" s="6">
        <v>7935.87</v>
      </c>
      <c r="L489" s="6">
        <v>1868.13</v>
      </c>
      <c r="M489" s="11">
        <f>Table13[[#This Row],[Profit]]/Table13[[#This Row],[Sales]]</f>
        <v>0.19054773561811506</v>
      </c>
      <c r="N489" s="6" t="str">
        <f>TEXT(Table13[[#This Row],[Order Date]],"mmm")</f>
        <v>Oct</v>
      </c>
      <c r="O489" s="6">
        <f>YEAR(Table13[[#This Row],[Order Date]])</f>
        <v>2025</v>
      </c>
    </row>
    <row r="490" spans="1:15" x14ac:dyDescent="0.3">
      <c r="A490" s="4" t="s">
        <v>1017</v>
      </c>
      <c r="B490" s="5">
        <v>45688</v>
      </c>
      <c r="C490" s="4" t="s">
        <v>455</v>
      </c>
      <c r="D490" s="4" t="s">
        <v>127</v>
      </c>
      <c r="E490" s="4" t="s">
        <v>29</v>
      </c>
      <c r="F490" s="4" t="s">
        <v>30</v>
      </c>
      <c r="G490" s="4" t="s">
        <v>17</v>
      </c>
      <c r="H490" s="4" t="s">
        <v>18</v>
      </c>
      <c r="I490" s="6">
        <v>5</v>
      </c>
      <c r="J490" s="6">
        <v>3420</v>
      </c>
      <c r="K490" s="6">
        <v>2831.57</v>
      </c>
      <c r="L490" s="6">
        <v>588.42999999999995</v>
      </c>
      <c r="M490" s="11">
        <f>Table13[[#This Row],[Profit]]/Table13[[#This Row],[Sales]]</f>
        <v>0.17205555555555554</v>
      </c>
      <c r="N490" s="6" t="str">
        <f>TEXT(Table13[[#This Row],[Order Date]],"mmm")</f>
        <v>Jan</v>
      </c>
      <c r="O490" s="6">
        <f>YEAR(Table13[[#This Row],[Order Date]])</f>
        <v>2025</v>
      </c>
    </row>
    <row r="491" spans="1:15" x14ac:dyDescent="0.3">
      <c r="A491" s="4" t="s">
        <v>1018</v>
      </c>
      <c r="B491" s="5">
        <v>45745</v>
      </c>
      <c r="C491" s="4" t="s">
        <v>802</v>
      </c>
      <c r="D491" s="4" t="s">
        <v>431</v>
      </c>
      <c r="E491" s="4" t="s">
        <v>15</v>
      </c>
      <c r="F491" s="4" t="s">
        <v>16</v>
      </c>
      <c r="G491" s="4" t="s">
        <v>17</v>
      </c>
      <c r="H491" s="4" t="s">
        <v>18</v>
      </c>
      <c r="I491" s="6">
        <v>5</v>
      </c>
      <c r="J491" s="6">
        <v>9815</v>
      </c>
      <c r="K491" s="6">
        <v>7225.49</v>
      </c>
      <c r="L491" s="6">
        <v>2589.5100000000002</v>
      </c>
      <c r="M491" s="11">
        <f>Table13[[#This Row],[Profit]]/Table13[[#This Row],[Sales]]</f>
        <v>0.26383188996434032</v>
      </c>
      <c r="N491" s="6" t="str">
        <f>TEXT(Table13[[#This Row],[Order Date]],"mmm")</f>
        <v>Mar</v>
      </c>
      <c r="O491" s="6">
        <f>YEAR(Table13[[#This Row],[Order Date]])</f>
        <v>2025</v>
      </c>
    </row>
    <row r="492" spans="1:15" x14ac:dyDescent="0.3">
      <c r="A492" s="4" t="s">
        <v>1019</v>
      </c>
      <c r="B492" s="5">
        <v>45991</v>
      </c>
      <c r="C492" s="4" t="s">
        <v>295</v>
      </c>
      <c r="D492" s="4" t="s">
        <v>536</v>
      </c>
      <c r="E492" s="4" t="s">
        <v>29</v>
      </c>
      <c r="F492" s="4" t="s">
        <v>30</v>
      </c>
      <c r="G492" s="4" t="s">
        <v>40</v>
      </c>
      <c r="H492" s="4" t="s">
        <v>56</v>
      </c>
      <c r="I492" s="6">
        <v>5</v>
      </c>
      <c r="J492" s="6">
        <v>19880</v>
      </c>
      <c r="K492" s="6">
        <v>11992.17</v>
      </c>
      <c r="L492" s="6">
        <v>7887.83</v>
      </c>
      <c r="M492" s="11">
        <f>Table13[[#This Row],[Profit]]/Table13[[#This Row],[Sales]]</f>
        <v>0.3967721327967807</v>
      </c>
      <c r="N492" s="6" t="str">
        <f>TEXT(Table13[[#This Row],[Order Date]],"mmm")</f>
        <v>Nov</v>
      </c>
      <c r="O492" s="6">
        <f>YEAR(Table13[[#This Row],[Order Date]])</f>
        <v>2025</v>
      </c>
    </row>
    <row r="493" spans="1:15" x14ac:dyDescent="0.3">
      <c r="A493" s="4" t="s">
        <v>1020</v>
      </c>
      <c r="B493" s="5">
        <v>45577</v>
      </c>
      <c r="C493" s="4" t="s">
        <v>123</v>
      </c>
      <c r="D493" s="4" t="s">
        <v>385</v>
      </c>
      <c r="E493" s="4" t="s">
        <v>29</v>
      </c>
      <c r="F493" s="4" t="s">
        <v>30</v>
      </c>
      <c r="G493" s="4" t="s">
        <v>35</v>
      </c>
      <c r="H493" s="4" t="s">
        <v>45</v>
      </c>
      <c r="I493" s="6">
        <v>2</v>
      </c>
      <c r="J493" s="6">
        <v>6780</v>
      </c>
      <c r="K493" s="6">
        <v>3811.65</v>
      </c>
      <c r="L493" s="6">
        <v>2968.35</v>
      </c>
      <c r="M493" s="11">
        <f>Table13[[#This Row],[Profit]]/Table13[[#This Row],[Sales]]</f>
        <v>0.43780973451327432</v>
      </c>
      <c r="N493" s="6" t="str">
        <f>TEXT(Table13[[#This Row],[Order Date]],"mmm")</f>
        <v>Oct</v>
      </c>
      <c r="O493" s="6">
        <f>YEAR(Table13[[#This Row],[Order Date]])</f>
        <v>2024</v>
      </c>
    </row>
    <row r="494" spans="1:15" x14ac:dyDescent="0.3">
      <c r="A494" s="4" t="s">
        <v>1021</v>
      </c>
      <c r="B494" s="5">
        <v>46018</v>
      </c>
      <c r="C494" s="4" t="s">
        <v>349</v>
      </c>
      <c r="D494" s="4" t="s">
        <v>597</v>
      </c>
      <c r="E494" s="4" t="s">
        <v>29</v>
      </c>
      <c r="F494" s="4" t="s">
        <v>102</v>
      </c>
      <c r="G494" s="4" t="s">
        <v>17</v>
      </c>
      <c r="H494" s="4" t="s">
        <v>72</v>
      </c>
      <c r="I494" s="6">
        <v>5</v>
      </c>
      <c r="J494" s="6">
        <v>1730</v>
      </c>
      <c r="K494" s="6">
        <v>1123.06</v>
      </c>
      <c r="L494" s="6">
        <v>606.94000000000005</v>
      </c>
      <c r="M494" s="11">
        <f>Table13[[#This Row],[Profit]]/Table13[[#This Row],[Sales]]</f>
        <v>0.35083236994219658</v>
      </c>
      <c r="N494" s="6" t="str">
        <f>TEXT(Table13[[#This Row],[Order Date]],"mmm")</f>
        <v>Dec</v>
      </c>
      <c r="O494" s="6">
        <f>YEAR(Table13[[#This Row],[Order Date]])</f>
        <v>2025</v>
      </c>
    </row>
    <row r="495" spans="1:15" x14ac:dyDescent="0.3">
      <c r="A495" s="4" t="s">
        <v>1022</v>
      </c>
      <c r="B495" s="5">
        <v>45878</v>
      </c>
      <c r="C495" s="4" t="s">
        <v>318</v>
      </c>
      <c r="D495" s="4" t="s">
        <v>359</v>
      </c>
      <c r="E495" s="4" t="s">
        <v>29</v>
      </c>
      <c r="F495" s="4" t="s">
        <v>49</v>
      </c>
      <c r="G495" s="4" t="s">
        <v>17</v>
      </c>
      <c r="H495" s="4" t="s">
        <v>72</v>
      </c>
      <c r="I495" s="6">
        <v>1</v>
      </c>
      <c r="J495" s="6">
        <v>2767</v>
      </c>
      <c r="K495" s="6">
        <v>1929.06</v>
      </c>
      <c r="L495" s="6">
        <v>837.94</v>
      </c>
      <c r="M495" s="11">
        <f>Table13[[#This Row],[Profit]]/Table13[[#This Row],[Sales]]</f>
        <v>0.30283339356704014</v>
      </c>
      <c r="N495" s="6" t="str">
        <f>TEXT(Table13[[#This Row],[Order Date]],"mmm")</f>
        <v>Aug</v>
      </c>
      <c r="O495" s="6">
        <f>YEAR(Table13[[#This Row],[Order Date]])</f>
        <v>2025</v>
      </c>
    </row>
    <row r="496" spans="1:15" x14ac:dyDescent="0.3">
      <c r="A496" s="4" t="s">
        <v>1023</v>
      </c>
      <c r="B496" s="5">
        <v>45825</v>
      </c>
      <c r="C496" s="4" t="s">
        <v>1024</v>
      </c>
      <c r="D496" s="4" t="s">
        <v>696</v>
      </c>
      <c r="E496" s="4" t="s">
        <v>15</v>
      </c>
      <c r="F496" s="4" t="s">
        <v>90</v>
      </c>
      <c r="G496" s="4" t="s">
        <v>40</v>
      </c>
      <c r="H496" s="4" t="s">
        <v>41</v>
      </c>
      <c r="I496" s="6">
        <v>9</v>
      </c>
      <c r="J496" s="6">
        <v>18909</v>
      </c>
      <c r="K496" s="6">
        <v>15828.65</v>
      </c>
      <c r="L496" s="6">
        <v>3080.35</v>
      </c>
      <c r="M496" s="11">
        <f>Table13[[#This Row],[Profit]]/Table13[[#This Row],[Sales]]</f>
        <v>0.16290390819186631</v>
      </c>
      <c r="N496" s="6" t="str">
        <f>TEXT(Table13[[#This Row],[Order Date]],"mmm")</f>
        <v>Jun</v>
      </c>
      <c r="O496" s="6">
        <f>YEAR(Table13[[#This Row],[Order Date]])</f>
        <v>2025</v>
      </c>
    </row>
    <row r="497" spans="1:15" x14ac:dyDescent="0.3">
      <c r="A497" s="4" t="s">
        <v>1025</v>
      </c>
      <c r="B497" s="5">
        <v>45518</v>
      </c>
      <c r="C497" s="4" t="s">
        <v>192</v>
      </c>
      <c r="D497" s="4" t="s">
        <v>1026</v>
      </c>
      <c r="E497" s="4" t="s">
        <v>29</v>
      </c>
      <c r="F497" s="4" t="s">
        <v>49</v>
      </c>
      <c r="G497" s="4" t="s">
        <v>35</v>
      </c>
      <c r="H497" s="4" t="s">
        <v>45</v>
      </c>
      <c r="I497" s="6">
        <v>9</v>
      </c>
      <c r="J497" s="6">
        <v>32436</v>
      </c>
      <c r="K497" s="6">
        <v>18734.5</v>
      </c>
      <c r="L497" s="6">
        <v>13701.5</v>
      </c>
      <c r="M497" s="11">
        <f>Table13[[#This Row],[Profit]]/Table13[[#This Row],[Sales]]</f>
        <v>0.42241645085707241</v>
      </c>
      <c r="N497" s="6" t="str">
        <f>TEXT(Table13[[#This Row],[Order Date]],"mmm")</f>
        <v>Aug</v>
      </c>
      <c r="O497" s="6">
        <f>YEAR(Table13[[#This Row],[Order Date]])</f>
        <v>2024</v>
      </c>
    </row>
    <row r="498" spans="1:15" x14ac:dyDescent="0.3">
      <c r="A498" s="4" t="s">
        <v>1027</v>
      </c>
      <c r="B498" s="5">
        <v>45866</v>
      </c>
      <c r="C498" s="4" t="s">
        <v>841</v>
      </c>
      <c r="D498" s="4" t="s">
        <v>285</v>
      </c>
      <c r="E498" s="4" t="s">
        <v>54</v>
      </c>
      <c r="F498" s="4" t="s">
        <v>55</v>
      </c>
      <c r="G498" s="4" t="s">
        <v>40</v>
      </c>
      <c r="H498" s="4" t="s">
        <v>99</v>
      </c>
      <c r="I498" s="6">
        <v>4</v>
      </c>
      <c r="J498" s="6">
        <v>18580</v>
      </c>
      <c r="K498" s="6">
        <v>12865.85</v>
      </c>
      <c r="L498" s="6">
        <v>5714.15</v>
      </c>
      <c r="M498" s="11">
        <f>Table13[[#This Row],[Profit]]/Table13[[#This Row],[Sales]]</f>
        <v>0.30754305705059204</v>
      </c>
      <c r="N498" s="6" t="str">
        <f>TEXT(Table13[[#This Row],[Order Date]],"mmm")</f>
        <v>Jul</v>
      </c>
      <c r="O498" s="6">
        <f>YEAR(Table13[[#This Row],[Order Date]])</f>
        <v>2025</v>
      </c>
    </row>
    <row r="499" spans="1:15" x14ac:dyDescent="0.3">
      <c r="A499" s="4" t="s">
        <v>1028</v>
      </c>
      <c r="B499" s="5">
        <v>45990</v>
      </c>
      <c r="C499" s="4" t="s">
        <v>624</v>
      </c>
      <c r="D499" s="4" t="s">
        <v>1029</v>
      </c>
      <c r="E499" s="4" t="s">
        <v>54</v>
      </c>
      <c r="F499" s="4" t="s">
        <v>55</v>
      </c>
      <c r="G499" s="4" t="s">
        <v>40</v>
      </c>
      <c r="H499" s="4" t="s">
        <v>56</v>
      </c>
      <c r="I499" s="6">
        <v>10</v>
      </c>
      <c r="J499" s="6">
        <v>22970</v>
      </c>
      <c r="K499" s="6">
        <v>19241.259999999998</v>
      </c>
      <c r="L499" s="6">
        <v>3728.74</v>
      </c>
      <c r="M499" s="11">
        <f>Table13[[#This Row],[Profit]]/Table13[[#This Row],[Sales]]</f>
        <v>0.16233086634740965</v>
      </c>
      <c r="N499" s="6" t="str">
        <f>TEXT(Table13[[#This Row],[Order Date]],"mmm")</f>
        <v>Nov</v>
      </c>
      <c r="O499" s="6">
        <f>YEAR(Table13[[#This Row],[Order Date]])</f>
        <v>2025</v>
      </c>
    </row>
    <row r="500" spans="1:15" x14ac:dyDescent="0.3">
      <c r="A500" s="4" t="s">
        <v>1030</v>
      </c>
      <c r="B500" s="5">
        <v>45821</v>
      </c>
      <c r="C500" s="4" t="s">
        <v>85</v>
      </c>
      <c r="D500" s="4" t="s">
        <v>1031</v>
      </c>
      <c r="E500" s="4" t="s">
        <v>15</v>
      </c>
      <c r="F500" s="4" t="s">
        <v>63</v>
      </c>
      <c r="G500" s="4" t="s">
        <v>40</v>
      </c>
      <c r="H500" s="4" t="s">
        <v>99</v>
      </c>
      <c r="I500" s="6">
        <v>9</v>
      </c>
      <c r="J500" s="6">
        <v>23544</v>
      </c>
      <c r="K500" s="6">
        <v>13123.7</v>
      </c>
      <c r="L500" s="6">
        <v>10420.299999999999</v>
      </c>
      <c r="M500" s="11">
        <f>Table13[[#This Row],[Profit]]/Table13[[#This Row],[Sales]]</f>
        <v>0.44258834522595986</v>
      </c>
      <c r="N500" s="6" t="str">
        <f>TEXT(Table13[[#This Row],[Order Date]],"mmm")</f>
        <v>Jun</v>
      </c>
      <c r="O500" s="6">
        <f>YEAR(Table13[[#This Row],[Order Date]])</f>
        <v>2025</v>
      </c>
    </row>
    <row r="501" spans="1:15" x14ac:dyDescent="0.3">
      <c r="A501" s="4" t="s">
        <v>1032</v>
      </c>
      <c r="B501" s="5">
        <v>45376</v>
      </c>
      <c r="C501" s="4" t="s">
        <v>1033</v>
      </c>
      <c r="D501" s="4" t="s">
        <v>743</v>
      </c>
      <c r="E501" s="4" t="s">
        <v>22</v>
      </c>
      <c r="F501" s="4" t="s">
        <v>67</v>
      </c>
      <c r="G501" s="4" t="s">
        <v>24</v>
      </c>
      <c r="H501" s="4" t="s">
        <v>25</v>
      </c>
      <c r="I501" s="6">
        <v>5</v>
      </c>
      <c r="J501" s="6">
        <v>9385</v>
      </c>
      <c r="K501" s="6">
        <v>6063.59</v>
      </c>
      <c r="L501" s="6">
        <v>3321.41</v>
      </c>
      <c r="M501" s="11">
        <f>Table13[[#This Row],[Profit]]/Table13[[#This Row],[Sales]]</f>
        <v>0.35390623335109217</v>
      </c>
      <c r="N501" s="6" t="str">
        <f>TEXT(Table13[[#This Row],[Order Date]],"mmm")</f>
        <v>Mar</v>
      </c>
      <c r="O501" s="6">
        <f>YEAR(Table13[[#This Row],[Order Date]])</f>
        <v>2024</v>
      </c>
    </row>
    <row r="502" spans="1:15" x14ac:dyDescent="0.3">
      <c r="A502" s="4" t="s">
        <v>1034</v>
      </c>
      <c r="B502" s="5">
        <v>45726</v>
      </c>
      <c r="C502" s="4" t="s">
        <v>316</v>
      </c>
      <c r="D502" s="4" t="s">
        <v>754</v>
      </c>
      <c r="E502" s="4" t="s">
        <v>15</v>
      </c>
      <c r="F502" s="4" t="s">
        <v>90</v>
      </c>
      <c r="G502" s="4" t="s">
        <v>24</v>
      </c>
      <c r="H502" s="4" t="s">
        <v>50</v>
      </c>
      <c r="I502" s="6">
        <v>4</v>
      </c>
      <c r="J502" s="6">
        <v>8184</v>
      </c>
      <c r="K502" s="6">
        <v>6624.83</v>
      </c>
      <c r="L502" s="6">
        <v>1559.17</v>
      </c>
      <c r="M502" s="11">
        <f>Table13[[#This Row],[Profit]]/Table13[[#This Row],[Sales]]</f>
        <v>0.19051441837732161</v>
      </c>
      <c r="N502" s="6" t="str">
        <f>TEXT(Table13[[#This Row],[Order Date]],"mmm")</f>
        <v>Mar</v>
      </c>
      <c r="O502" s="6">
        <f>YEAR(Table13[[#This Row],[Order Date]])</f>
        <v>2025</v>
      </c>
    </row>
    <row r="503" spans="1:15" x14ac:dyDescent="0.3">
      <c r="A503" s="4" t="s">
        <v>1035</v>
      </c>
      <c r="B503" s="5">
        <v>45631</v>
      </c>
      <c r="C503" s="4" t="s">
        <v>628</v>
      </c>
      <c r="D503" s="4" t="s">
        <v>14</v>
      </c>
      <c r="E503" s="4" t="s">
        <v>22</v>
      </c>
      <c r="F503" s="4" t="s">
        <v>79</v>
      </c>
      <c r="G503" s="4" t="s">
        <v>24</v>
      </c>
      <c r="H503" s="4" t="s">
        <v>50</v>
      </c>
      <c r="I503" s="6">
        <v>3</v>
      </c>
      <c r="J503" s="6">
        <v>1482</v>
      </c>
      <c r="K503" s="6">
        <v>1019.27</v>
      </c>
      <c r="L503" s="6">
        <v>462.73</v>
      </c>
      <c r="M503" s="11">
        <f>Table13[[#This Row],[Profit]]/Table13[[#This Row],[Sales]]</f>
        <v>0.31223346828609988</v>
      </c>
      <c r="N503" s="6" t="str">
        <f>TEXT(Table13[[#This Row],[Order Date]],"mmm")</f>
        <v>Dec</v>
      </c>
      <c r="O503" s="6">
        <f>YEAR(Table13[[#This Row],[Order Date]])</f>
        <v>2024</v>
      </c>
    </row>
    <row r="504" spans="1:15" x14ac:dyDescent="0.3">
      <c r="A504" s="4" t="s">
        <v>1036</v>
      </c>
      <c r="B504" s="5">
        <v>45525</v>
      </c>
      <c r="C504" s="4" t="s">
        <v>260</v>
      </c>
      <c r="D504" s="4" t="s">
        <v>218</v>
      </c>
      <c r="E504" s="4" t="s">
        <v>15</v>
      </c>
      <c r="F504" s="4" t="s">
        <v>16</v>
      </c>
      <c r="G504" s="4" t="s">
        <v>24</v>
      </c>
      <c r="H504" s="4" t="s">
        <v>166</v>
      </c>
      <c r="I504" s="6">
        <v>5</v>
      </c>
      <c r="J504" s="6">
        <v>24355</v>
      </c>
      <c r="K504" s="6">
        <v>13909.94</v>
      </c>
      <c r="L504" s="6">
        <v>10445.06</v>
      </c>
      <c r="M504" s="11">
        <f>Table13[[#This Row],[Profit]]/Table13[[#This Row],[Sales]]</f>
        <v>0.42886717306507904</v>
      </c>
      <c r="N504" s="6" t="str">
        <f>TEXT(Table13[[#This Row],[Order Date]],"mmm")</f>
        <v>Aug</v>
      </c>
      <c r="O504" s="6">
        <f>YEAR(Table13[[#This Row],[Order Date]])</f>
        <v>2024</v>
      </c>
    </row>
    <row r="505" spans="1:15" x14ac:dyDescent="0.3">
      <c r="A505" s="4" t="s">
        <v>1037</v>
      </c>
      <c r="B505" s="5">
        <v>45690</v>
      </c>
      <c r="C505" s="4" t="s">
        <v>550</v>
      </c>
      <c r="D505" s="4" t="s">
        <v>946</v>
      </c>
      <c r="E505" s="4" t="s">
        <v>22</v>
      </c>
      <c r="F505" s="4" t="s">
        <v>67</v>
      </c>
      <c r="G505" s="4" t="s">
        <v>17</v>
      </c>
      <c r="H505" s="4" t="s">
        <v>31</v>
      </c>
      <c r="I505" s="6">
        <v>7</v>
      </c>
      <c r="J505" s="6">
        <v>26929</v>
      </c>
      <c r="K505" s="6">
        <v>17367.080000000002</v>
      </c>
      <c r="L505" s="6">
        <v>9561.92</v>
      </c>
      <c r="M505" s="11">
        <f>Table13[[#This Row],[Profit]]/Table13[[#This Row],[Sales]]</f>
        <v>0.35507891121096219</v>
      </c>
      <c r="N505" s="6" t="str">
        <f>TEXT(Table13[[#This Row],[Order Date]],"mmm")</f>
        <v>Feb</v>
      </c>
      <c r="O505" s="6">
        <f>YEAR(Table13[[#This Row],[Order Date]])</f>
        <v>2025</v>
      </c>
    </row>
    <row r="506" spans="1:15" x14ac:dyDescent="0.3">
      <c r="A506" s="4" t="s">
        <v>1038</v>
      </c>
      <c r="B506" s="5">
        <v>45891</v>
      </c>
      <c r="C506" s="4" t="s">
        <v>446</v>
      </c>
      <c r="D506" s="4" t="s">
        <v>681</v>
      </c>
      <c r="E506" s="4" t="s">
        <v>15</v>
      </c>
      <c r="F506" s="4" t="s">
        <v>90</v>
      </c>
      <c r="G506" s="4" t="s">
        <v>17</v>
      </c>
      <c r="H506" s="4" t="s">
        <v>18</v>
      </c>
      <c r="I506" s="6">
        <v>10</v>
      </c>
      <c r="J506" s="6">
        <v>8180</v>
      </c>
      <c r="K506" s="6">
        <v>6354.13</v>
      </c>
      <c r="L506" s="6">
        <v>1825.87</v>
      </c>
      <c r="M506" s="11">
        <f>Table13[[#This Row],[Profit]]/Table13[[#This Row],[Sales]]</f>
        <v>0.22321149144254276</v>
      </c>
      <c r="N506" s="6" t="str">
        <f>TEXT(Table13[[#This Row],[Order Date]],"mmm")</f>
        <v>Aug</v>
      </c>
      <c r="O506" s="6">
        <f>YEAR(Table13[[#This Row],[Order Date]])</f>
        <v>2025</v>
      </c>
    </row>
    <row r="507" spans="1:15" x14ac:dyDescent="0.3">
      <c r="A507" s="4" t="s">
        <v>1039</v>
      </c>
      <c r="B507" s="5">
        <v>45580</v>
      </c>
      <c r="C507" s="4" t="s">
        <v>144</v>
      </c>
      <c r="D507" s="4" t="s">
        <v>1029</v>
      </c>
      <c r="E507" s="4" t="s">
        <v>54</v>
      </c>
      <c r="F507" s="4" t="s">
        <v>71</v>
      </c>
      <c r="G507" s="4" t="s">
        <v>24</v>
      </c>
      <c r="H507" s="4" t="s">
        <v>50</v>
      </c>
      <c r="I507" s="6">
        <v>5</v>
      </c>
      <c r="J507" s="6">
        <v>13840</v>
      </c>
      <c r="K507" s="6">
        <v>10130.459999999999</v>
      </c>
      <c r="L507" s="6">
        <v>3709.54</v>
      </c>
      <c r="M507" s="11">
        <f>Table13[[#This Row],[Profit]]/Table13[[#This Row],[Sales]]</f>
        <v>0.26803034682080923</v>
      </c>
      <c r="N507" s="6" t="str">
        <f>TEXT(Table13[[#This Row],[Order Date]],"mmm")</f>
        <v>Oct</v>
      </c>
      <c r="O507" s="6">
        <f>YEAR(Table13[[#This Row],[Order Date]])</f>
        <v>2024</v>
      </c>
    </row>
    <row r="508" spans="1:15" x14ac:dyDescent="0.3">
      <c r="A508" s="4" t="s">
        <v>1040</v>
      </c>
      <c r="B508" s="5">
        <v>45431</v>
      </c>
      <c r="C508" s="4" t="s">
        <v>1041</v>
      </c>
      <c r="D508" s="4" t="s">
        <v>158</v>
      </c>
      <c r="E508" s="4" t="s">
        <v>22</v>
      </c>
      <c r="F508" s="4" t="s">
        <v>79</v>
      </c>
      <c r="G508" s="4" t="s">
        <v>24</v>
      </c>
      <c r="H508" s="4" t="s">
        <v>25</v>
      </c>
      <c r="I508" s="6">
        <v>8</v>
      </c>
      <c r="J508" s="6">
        <v>12640</v>
      </c>
      <c r="K508" s="6">
        <v>8974.91</v>
      </c>
      <c r="L508" s="6">
        <v>3665.09</v>
      </c>
      <c r="M508" s="11">
        <f>Table13[[#This Row],[Profit]]/Table13[[#This Row],[Sales]]</f>
        <v>0.28995965189873418</v>
      </c>
      <c r="N508" s="6" t="str">
        <f>TEXT(Table13[[#This Row],[Order Date]],"mmm")</f>
        <v>May</v>
      </c>
      <c r="O508" s="6">
        <f>YEAR(Table13[[#This Row],[Order Date]])</f>
        <v>2024</v>
      </c>
    </row>
    <row r="509" spans="1:15" x14ac:dyDescent="0.3">
      <c r="A509" s="4" t="s">
        <v>1042</v>
      </c>
      <c r="B509" s="5">
        <v>45303</v>
      </c>
      <c r="C509" s="4" t="s">
        <v>474</v>
      </c>
      <c r="D509" s="4" t="s">
        <v>769</v>
      </c>
      <c r="E509" s="4" t="s">
        <v>54</v>
      </c>
      <c r="F509" s="4" t="s">
        <v>71</v>
      </c>
      <c r="G509" s="4" t="s">
        <v>24</v>
      </c>
      <c r="H509" s="4" t="s">
        <v>166</v>
      </c>
      <c r="I509" s="6">
        <v>5</v>
      </c>
      <c r="J509" s="6">
        <v>16780</v>
      </c>
      <c r="K509" s="6">
        <v>14048.51</v>
      </c>
      <c r="L509" s="6">
        <v>2731.49</v>
      </c>
      <c r="M509" s="11">
        <f>Table13[[#This Row],[Profit]]/Table13[[#This Row],[Sales]]</f>
        <v>0.1627824791418355</v>
      </c>
      <c r="N509" s="6" t="str">
        <f>TEXT(Table13[[#This Row],[Order Date]],"mmm")</f>
        <v>Jan</v>
      </c>
      <c r="O509" s="6">
        <f>YEAR(Table13[[#This Row],[Order Date]])</f>
        <v>2024</v>
      </c>
    </row>
    <row r="510" spans="1:15" x14ac:dyDescent="0.3">
      <c r="A510" s="4" t="s">
        <v>1043</v>
      </c>
      <c r="B510" s="5">
        <v>45842</v>
      </c>
      <c r="C510" s="4" t="s">
        <v>969</v>
      </c>
      <c r="D510" s="4" t="s">
        <v>288</v>
      </c>
      <c r="E510" s="4" t="s">
        <v>29</v>
      </c>
      <c r="F510" s="4" t="s">
        <v>102</v>
      </c>
      <c r="G510" s="4" t="s">
        <v>24</v>
      </c>
      <c r="H510" s="4" t="s">
        <v>25</v>
      </c>
      <c r="I510" s="6">
        <v>1</v>
      </c>
      <c r="J510" s="6">
        <v>4991</v>
      </c>
      <c r="K510" s="6">
        <v>3638.42</v>
      </c>
      <c r="L510" s="6">
        <v>1352.58</v>
      </c>
      <c r="M510" s="11">
        <f>Table13[[#This Row],[Profit]]/Table13[[#This Row],[Sales]]</f>
        <v>0.27100380685233416</v>
      </c>
      <c r="N510" s="6" t="str">
        <f>TEXT(Table13[[#This Row],[Order Date]],"mmm")</f>
        <v>Jul</v>
      </c>
      <c r="O510" s="6">
        <f>YEAR(Table13[[#This Row],[Order Date]])</f>
        <v>2025</v>
      </c>
    </row>
    <row r="511" spans="1:15" x14ac:dyDescent="0.3">
      <c r="A511" s="4" t="s">
        <v>1044</v>
      </c>
      <c r="B511" s="5">
        <v>45953</v>
      </c>
      <c r="C511" s="4" t="s">
        <v>933</v>
      </c>
      <c r="D511" s="4" t="s">
        <v>888</v>
      </c>
      <c r="E511" s="4" t="s">
        <v>54</v>
      </c>
      <c r="F511" s="4" t="s">
        <v>142</v>
      </c>
      <c r="G511" s="4" t="s">
        <v>17</v>
      </c>
      <c r="H511" s="4" t="s">
        <v>18</v>
      </c>
      <c r="I511" s="6">
        <v>6</v>
      </c>
      <c r="J511" s="6">
        <v>12204</v>
      </c>
      <c r="K511" s="6">
        <v>8223.01</v>
      </c>
      <c r="L511" s="6">
        <v>3980.99</v>
      </c>
      <c r="M511" s="11">
        <f>Table13[[#This Row],[Profit]]/Table13[[#This Row],[Sales]]</f>
        <v>0.32620370370370366</v>
      </c>
      <c r="N511" s="6" t="str">
        <f>TEXT(Table13[[#This Row],[Order Date]],"mmm")</f>
        <v>Oct</v>
      </c>
      <c r="O511" s="6">
        <f>YEAR(Table13[[#This Row],[Order Date]])</f>
        <v>2025</v>
      </c>
    </row>
    <row r="512" spans="1:15" x14ac:dyDescent="0.3">
      <c r="A512" s="4" t="s">
        <v>1045</v>
      </c>
      <c r="B512" s="5">
        <v>45477</v>
      </c>
      <c r="C512" s="4" t="s">
        <v>634</v>
      </c>
      <c r="D512" s="4" t="s">
        <v>813</v>
      </c>
      <c r="E512" s="4" t="s">
        <v>29</v>
      </c>
      <c r="F512" s="4" t="s">
        <v>102</v>
      </c>
      <c r="G512" s="4" t="s">
        <v>40</v>
      </c>
      <c r="H512" s="4" t="s">
        <v>56</v>
      </c>
      <c r="I512" s="6">
        <v>10</v>
      </c>
      <c r="J512" s="6">
        <v>23700</v>
      </c>
      <c r="K512" s="6">
        <v>14416.66</v>
      </c>
      <c r="L512" s="6">
        <v>9283.34</v>
      </c>
      <c r="M512" s="11">
        <f>Table13[[#This Row],[Profit]]/Table13[[#This Row],[Sales]]</f>
        <v>0.39170210970464137</v>
      </c>
      <c r="N512" s="6" t="str">
        <f>TEXT(Table13[[#This Row],[Order Date]],"mmm")</f>
        <v>Jul</v>
      </c>
      <c r="O512" s="6">
        <f>YEAR(Table13[[#This Row],[Order Date]])</f>
        <v>2024</v>
      </c>
    </row>
    <row r="513" spans="1:15" x14ac:dyDescent="0.3">
      <c r="A513" s="4" t="s">
        <v>1046</v>
      </c>
      <c r="B513" s="5">
        <v>45548</v>
      </c>
      <c r="C513" s="4" t="s">
        <v>292</v>
      </c>
      <c r="D513" s="4" t="s">
        <v>243</v>
      </c>
      <c r="E513" s="4" t="s">
        <v>22</v>
      </c>
      <c r="F513" s="4" t="s">
        <v>79</v>
      </c>
      <c r="G513" s="4" t="s">
        <v>35</v>
      </c>
      <c r="H513" s="4" t="s">
        <v>45</v>
      </c>
      <c r="I513" s="6">
        <v>2</v>
      </c>
      <c r="J513" s="6">
        <v>5362</v>
      </c>
      <c r="K513" s="6">
        <v>4029.57</v>
      </c>
      <c r="L513" s="6">
        <v>1332.43</v>
      </c>
      <c r="M513" s="11">
        <f>Table13[[#This Row],[Profit]]/Table13[[#This Row],[Sales]]</f>
        <v>0.24849496456546066</v>
      </c>
      <c r="N513" s="6" t="str">
        <f>TEXT(Table13[[#This Row],[Order Date]],"mmm")</f>
        <v>Sep</v>
      </c>
      <c r="O513" s="6">
        <f>YEAR(Table13[[#This Row],[Order Date]])</f>
        <v>2024</v>
      </c>
    </row>
    <row r="514" spans="1:15" x14ac:dyDescent="0.3">
      <c r="A514" s="4" t="s">
        <v>1047</v>
      </c>
      <c r="B514" s="5">
        <v>45926</v>
      </c>
      <c r="C514" s="4" t="s">
        <v>43</v>
      </c>
      <c r="D514" s="4" t="s">
        <v>1048</v>
      </c>
      <c r="E514" s="4" t="s">
        <v>22</v>
      </c>
      <c r="F514" s="4" t="s">
        <v>67</v>
      </c>
      <c r="G514" s="4" t="s">
        <v>40</v>
      </c>
      <c r="H514" s="4" t="s">
        <v>41</v>
      </c>
      <c r="I514" s="6">
        <v>3</v>
      </c>
      <c r="J514" s="6">
        <v>6663</v>
      </c>
      <c r="K514" s="6">
        <v>3864.63</v>
      </c>
      <c r="L514" s="6">
        <v>2798.37</v>
      </c>
      <c r="M514" s="11">
        <f>Table13[[#This Row],[Profit]]/Table13[[#This Row],[Sales]]</f>
        <v>0.41998649257091397</v>
      </c>
      <c r="N514" s="6" t="str">
        <f>TEXT(Table13[[#This Row],[Order Date]],"mmm")</f>
        <v>Sep</v>
      </c>
      <c r="O514" s="6">
        <f>YEAR(Table13[[#This Row],[Order Date]])</f>
        <v>2025</v>
      </c>
    </row>
    <row r="515" spans="1:15" x14ac:dyDescent="0.3">
      <c r="A515" s="4" t="s">
        <v>1049</v>
      </c>
      <c r="B515" s="5">
        <v>45448</v>
      </c>
      <c r="C515" s="4" t="s">
        <v>134</v>
      </c>
      <c r="D515" s="4" t="s">
        <v>442</v>
      </c>
      <c r="E515" s="4" t="s">
        <v>54</v>
      </c>
      <c r="F515" s="4" t="s">
        <v>55</v>
      </c>
      <c r="G515" s="4" t="s">
        <v>35</v>
      </c>
      <c r="H515" s="4" t="s">
        <v>80</v>
      </c>
      <c r="I515" s="6">
        <v>6</v>
      </c>
      <c r="J515" s="6">
        <v>16824</v>
      </c>
      <c r="K515" s="6">
        <v>12753.22</v>
      </c>
      <c r="L515" s="6">
        <v>4070.78</v>
      </c>
      <c r="M515" s="11">
        <f>Table13[[#This Row],[Profit]]/Table13[[#This Row],[Sales]]</f>
        <v>0.24196267237280078</v>
      </c>
      <c r="N515" s="6" t="str">
        <f>TEXT(Table13[[#This Row],[Order Date]],"mmm")</f>
        <v>Jun</v>
      </c>
      <c r="O515" s="6">
        <f>YEAR(Table13[[#This Row],[Order Date]])</f>
        <v>2024</v>
      </c>
    </row>
    <row r="516" spans="1:15" x14ac:dyDescent="0.3">
      <c r="A516" s="4" t="s">
        <v>1050</v>
      </c>
      <c r="B516" s="5">
        <v>45518</v>
      </c>
      <c r="C516" s="4" t="s">
        <v>254</v>
      </c>
      <c r="D516" s="4" t="s">
        <v>401</v>
      </c>
      <c r="E516" s="4" t="s">
        <v>54</v>
      </c>
      <c r="F516" s="4" t="s">
        <v>55</v>
      </c>
      <c r="G516" s="4" t="s">
        <v>35</v>
      </c>
      <c r="H516" s="4" t="s">
        <v>36</v>
      </c>
      <c r="I516" s="6">
        <v>3</v>
      </c>
      <c r="J516" s="6">
        <v>1017</v>
      </c>
      <c r="K516" s="6">
        <v>654.91</v>
      </c>
      <c r="L516" s="6">
        <v>362.09</v>
      </c>
      <c r="M516" s="11">
        <f>Table13[[#This Row],[Profit]]/Table13[[#This Row],[Sales]]</f>
        <v>0.35603736479842674</v>
      </c>
      <c r="N516" s="6" t="str">
        <f>TEXT(Table13[[#This Row],[Order Date]],"mmm")</f>
        <v>Aug</v>
      </c>
      <c r="O516" s="6">
        <f>YEAR(Table13[[#This Row],[Order Date]])</f>
        <v>2024</v>
      </c>
    </row>
    <row r="517" spans="1:15" x14ac:dyDescent="0.3">
      <c r="A517" s="4" t="s">
        <v>1051</v>
      </c>
      <c r="B517" s="5">
        <v>45659</v>
      </c>
      <c r="C517" s="4" t="s">
        <v>935</v>
      </c>
      <c r="D517" s="4" t="s">
        <v>124</v>
      </c>
      <c r="E517" s="4" t="s">
        <v>54</v>
      </c>
      <c r="F517" s="4" t="s">
        <v>142</v>
      </c>
      <c r="G517" s="4" t="s">
        <v>17</v>
      </c>
      <c r="H517" s="4" t="s">
        <v>31</v>
      </c>
      <c r="I517" s="6">
        <v>6</v>
      </c>
      <c r="J517" s="6">
        <v>25386</v>
      </c>
      <c r="K517" s="6">
        <v>17487.259999999998</v>
      </c>
      <c r="L517" s="6">
        <v>7898.74</v>
      </c>
      <c r="M517" s="11">
        <f>Table13[[#This Row],[Profit]]/Table13[[#This Row],[Sales]]</f>
        <v>0.31114551327503348</v>
      </c>
      <c r="N517" s="6" t="str">
        <f>TEXT(Table13[[#This Row],[Order Date]],"mmm")</f>
        <v>Jan</v>
      </c>
      <c r="O517" s="6">
        <f>YEAR(Table13[[#This Row],[Order Date]])</f>
        <v>2025</v>
      </c>
    </row>
    <row r="518" spans="1:15" x14ac:dyDescent="0.3">
      <c r="A518" s="4" t="s">
        <v>1052</v>
      </c>
      <c r="B518" s="5">
        <v>45435</v>
      </c>
      <c r="C518" s="4" t="s">
        <v>140</v>
      </c>
      <c r="D518" s="4" t="s">
        <v>733</v>
      </c>
      <c r="E518" s="4" t="s">
        <v>15</v>
      </c>
      <c r="F518" s="4" t="s">
        <v>16</v>
      </c>
      <c r="G518" s="4" t="s">
        <v>17</v>
      </c>
      <c r="H518" s="4" t="s">
        <v>31</v>
      </c>
      <c r="I518" s="6">
        <v>10</v>
      </c>
      <c r="J518" s="6">
        <v>9710</v>
      </c>
      <c r="K518" s="6">
        <v>7792.64</v>
      </c>
      <c r="L518" s="6">
        <v>1917.36</v>
      </c>
      <c r="M518" s="11">
        <f>Table13[[#This Row],[Profit]]/Table13[[#This Row],[Sales]]</f>
        <v>0.19746240988671471</v>
      </c>
      <c r="N518" s="6" t="str">
        <f>TEXT(Table13[[#This Row],[Order Date]],"mmm")</f>
        <v>May</v>
      </c>
      <c r="O518" s="6">
        <f>YEAR(Table13[[#This Row],[Order Date]])</f>
        <v>2024</v>
      </c>
    </row>
    <row r="519" spans="1:15" x14ac:dyDescent="0.3">
      <c r="A519" s="4" t="s">
        <v>1053</v>
      </c>
      <c r="B519" s="5">
        <v>45811</v>
      </c>
      <c r="C519" s="4" t="s">
        <v>438</v>
      </c>
      <c r="D519" s="4" t="s">
        <v>571</v>
      </c>
      <c r="E519" s="4" t="s">
        <v>54</v>
      </c>
      <c r="F519" s="4" t="s">
        <v>71</v>
      </c>
      <c r="G519" s="4" t="s">
        <v>17</v>
      </c>
      <c r="H519" s="4" t="s">
        <v>31</v>
      </c>
      <c r="I519" s="6">
        <v>2</v>
      </c>
      <c r="J519" s="6">
        <v>1834</v>
      </c>
      <c r="K519" s="6">
        <v>1499.54</v>
      </c>
      <c r="L519" s="6">
        <v>334.46</v>
      </c>
      <c r="M519" s="11">
        <f>Table13[[#This Row],[Profit]]/Table13[[#This Row],[Sales]]</f>
        <v>0.18236641221374045</v>
      </c>
      <c r="N519" s="6" t="str">
        <f>TEXT(Table13[[#This Row],[Order Date]],"mmm")</f>
        <v>Jun</v>
      </c>
      <c r="O519" s="6">
        <f>YEAR(Table13[[#This Row],[Order Date]])</f>
        <v>2025</v>
      </c>
    </row>
    <row r="520" spans="1:15" x14ac:dyDescent="0.3">
      <c r="A520" s="4" t="s">
        <v>1054</v>
      </c>
      <c r="B520" s="5">
        <v>45844</v>
      </c>
      <c r="C520" s="4" t="s">
        <v>1055</v>
      </c>
      <c r="D520" s="4" t="s">
        <v>917</v>
      </c>
      <c r="E520" s="4" t="s">
        <v>22</v>
      </c>
      <c r="F520" s="4" t="s">
        <v>79</v>
      </c>
      <c r="G520" s="4" t="s">
        <v>40</v>
      </c>
      <c r="H520" s="4" t="s">
        <v>56</v>
      </c>
      <c r="I520" s="6">
        <v>1</v>
      </c>
      <c r="J520" s="6">
        <v>4818</v>
      </c>
      <c r="K520" s="6">
        <v>3026.59</v>
      </c>
      <c r="L520" s="6">
        <v>1791.41</v>
      </c>
      <c r="M520" s="11">
        <f>Table13[[#This Row],[Profit]]/Table13[[#This Row],[Sales]]</f>
        <v>0.37181610626816108</v>
      </c>
      <c r="N520" s="6" t="str">
        <f>TEXT(Table13[[#This Row],[Order Date]],"mmm")</f>
        <v>Jul</v>
      </c>
      <c r="O520" s="6">
        <f>YEAR(Table13[[#This Row],[Order Date]])</f>
        <v>2025</v>
      </c>
    </row>
    <row r="521" spans="1:15" x14ac:dyDescent="0.3">
      <c r="A521" s="4" t="s">
        <v>1056</v>
      </c>
      <c r="B521" s="5">
        <v>45805</v>
      </c>
      <c r="C521" s="4" t="s">
        <v>464</v>
      </c>
      <c r="D521" s="4" t="s">
        <v>439</v>
      </c>
      <c r="E521" s="4" t="s">
        <v>54</v>
      </c>
      <c r="F521" s="4" t="s">
        <v>55</v>
      </c>
      <c r="G521" s="4" t="s">
        <v>40</v>
      </c>
      <c r="H521" s="4" t="s">
        <v>56</v>
      </c>
      <c r="I521" s="6">
        <v>10</v>
      </c>
      <c r="J521" s="6">
        <v>26830</v>
      </c>
      <c r="K521" s="6">
        <v>15834.11</v>
      </c>
      <c r="L521" s="6">
        <v>10995.89</v>
      </c>
      <c r="M521" s="11">
        <f>Table13[[#This Row],[Profit]]/Table13[[#This Row],[Sales]]</f>
        <v>0.40983563175549753</v>
      </c>
      <c r="N521" s="6" t="str">
        <f>TEXT(Table13[[#This Row],[Order Date]],"mmm")</f>
        <v>May</v>
      </c>
      <c r="O521" s="6">
        <f>YEAR(Table13[[#This Row],[Order Date]])</f>
        <v>2025</v>
      </c>
    </row>
    <row r="522" spans="1:15" x14ac:dyDescent="0.3">
      <c r="A522" s="4" t="s">
        <v>1057</v>
      </c>
      <c r="B522" s="5">
        <v>45920</v>
      </c>
      <c r="C522" s="4" t="s">
        <v>652</v>
      </c>
      <c r="D522" s="4" t="s">
        <v>1031</v>
      </c>
      <c r="E522" s="4" t="s">
        <v>22</v>
      </c>
      <c r="F522" s="4" t="s">
        <v>67</v>
      </c>
      <c r="G522" s="4" t="s">
        <v>35</v>
      </c>
      <c r="H522" s="4" t="s">
        <v>45</v>
      </c>
      <c r="I522" s="6">
        <v>1</v>
      </c>
      <c r="J522" s="6">
        <v>2256</v>
      </c>
      <c r="K522" s="6">
        <v>1814.71</v>
      </c>
      <c r="L522" s="6">
        <v>441.29</v>
      </c>
      <c r="M522" s="11">
        <f>Table13[[#This Row],[Profit]]/Table13[[#This Row],[Sales]]</f>
        <v>0.19560726950354612</v>
      </c>
      <c r="N522" s="6" t="str">
        <f>TEXT(Table13[[#This Row],[Order Date]],"mmm")</f>
        <v>Sep</v>
      </c>
      <c r="O522" s="6">
        <f>YEAR(Table13[[#This Row],[Order Date]])</f>
        <v>2025</v>
      </c>
    </row>
    <row r="523" spans="1:15" x14ac:dyDescent="0.3">
      <c r="A523" s="4" t="s">
        <v>1058</v>
      </c>
      <c r="B523" s="5">
        <v>45967</v>
      </c>
      <c r="C523" s="4" t="s">
        <v>1059</v>
      </c>
      <c r="D523" s="4" t="s">
        <v>340</v>
      </c>
      <c r="E523" s="4" t="s">
        <v>29</v>
      </c>
      <c r="F523" s="4" t="s">
        <v>49</v>
      </c>
      <c r="G523" s="4" t="s">
        <v>24</v>
      </c>
      <c r="H523" s="4" t="s">
        <v>166</v>
      </c>
      <c r="I523" s="6">
        <v>3</v>
      </c>
      <c r="J523" s="6">
        <v>14817</v>
      </c>
      <c r="K523" s="6">
        <v>12366.47</v>
      </c>
      <c r="L523" s="6">
        <v>2450.5300000000002</v>
      </c>
      <c r="M523" s="11">
        <f>Table13[[#This Row],[Profit]]/Table13[[#This Row],[Sales]]</f>
        <v>0.16538638050887494</v>
      </c>
      <c r="N523" s="6" t="str">
        <f>TEXT(Table13[[#This Row],[Order Date]],"mmm")</f>
        <v>Nov</v>
      </c>
      <c r="O523" s="6">
        <f>YEAR(Table13[[#This Row],[Order Date]])</f>
        <v>2025</v>
      </c>
    </row>
    <row r="524" spans="1:15" x14ac:dyDescent="0.3">
      <c r="A524" s="4" t="s">
        <v>1060</v>
      </c>
      <c r="B524" s="5">
        <v>45670</v>
      </c>
      <c r="C524" s="4" t="s">
        <v>799</v>
      </c>
      <c r="D524" s="4" t="s">
        <v>475</v>
      </c>
      <c r="E524" s="4" t="s">
        <v>54</v>
      </c>
      <c r="F524" s="4" t="s">
        <v>142</v>
      </c>
      <c r="G524" s="4" t="s">
        <v>40</v>
      </c>
      <c r="H524" s="4" t="s">
        <v>56</v>
      </c>
      <c r="I524" s="6">
        <v>8</v>
      </c>
      <c r="J524" s="6">
        <v>17584</v>
      </c>
      <c r="K524" s="6">
        <v>10002.81</v>
      </c>
      <c r="L524" s="6">
        <v>7581.19</v>
      </c>
      <c r="M524" s="11">
        <f>Table13[[#This Row],[Profit]]/Table13[[#This Row],[Sales]]</f>
        <v>0.43114137852593265</v>
      </c>
      <c r="N524" s="6" t="str">
        <f>TEXT(Table13[[#This Row],[Order Date]],"mmm")</f>
        <v>Jan</v>
      </c>
      <c r="O524" s="6">
        <f>YEAR(Table13[[#This Row],[Order Date]])</f>
        <v>2025</v>
      </c>
    </row>
    <row r="525" spans="1:15" x14ac:dyDescent="0.3">
      <c r="A525" s="4" t="s">
        <v>1061</v>
      </c>
      <c r="B525" s="5">
        <v>45339</v>
      </c>
      <c r="C525" s="4" t="s">
        <v>680</v>
      </c>
      <c r="D525" s="4" t="s">
        <v>308</v>
      </c>
      <c r="E525" s="4" t="s">
        <v>29</v>
      </c>
      <c r="F525" s="4" t="s">
        <v>30</v>
      </c>
      <c r="G525" s="4" t="s">
        <v>40</v>
      </c>
      <c r="H525" s="4" t="s">
        <v>41</v>
      </c>
      <c r="I525" s="6">
        <v>7</v>
      </c>
      <c r="J525" s="6">
        <v>29029</v>
      </c>
      <c r="K525" s="6">
        <v>23959.68</v>
      </c>
      <c r="L525" s="6">
        <v>5069.32</v>
      </c>
      <c r="M525" s="11">
        <f>Table13[[#This Row],[Profit]]/Table13[[#This Row],[Sales]]</f>
        <v>0.17462950842261185</v>
      </c>
      <c r="N525" s="6" t="str">
        <f>TEXT(Table13[[#This Row],[Order Date]],"mmm")</f>
        <v>Feb</v>
      </c>
      <c r="O525" s="6">
        <f>YEAR(Table13[[#This Row],[Order Date]])</f>
        <v>2024</v>
      </c>
    </row>
    <row r="526" spans="1:15" x14ac:dyDescent="0.3">
      <c r="A526" s="4" t="s">
        <v>1062</v>
      </c>
      <c r="B526" s="5">
        <v>45875</v>
      </c>
      <c r="C526" s="4" t="s">
        <v>556</v>
      </c>
      <c r="D526" s="4" t="s">
        <v>1063</v>
      </c>
      <c r="E526" s="4" t="s">
        <v>15</v>
      </c>
      <c r="F526" s="4" t="s">
        <v>90</v>
      </c>
      <c r="G526" s="4" t="s">
        <v>35</v>
      </c>
      <c r="H526" s="4" t="s">
        <v>45</v>
      </c>
      <c r="I526" s="6">
        <v>5</v>
      </c>
      <c r="J526" s="6">
        <v>12285</v>
      </c>
      <c r="K526" s="6">
        <v>8889.2999999999993</v>
      </c>
      <c r="L526" s="6">
        <v>3395.7</v>
      </c>
      <c r="M526" s="11">
        <f>Table13[[#This Row],[Profit]]/Table13[[#This Row],[Sales]]</f>
        <v>0.27641025641025641</v>
      </c>
      <c r="N526" s="6" t="str">
        <f>TEXT(Table13[[#This Row],[Order Date]],"mmm")</f>
        <v>Aug</v>
      </c>
      <c r="O526" s="6">
        <f>YEAR(Table13[[#This Row],[Order Date]])</f>
        <v>2025</v>
      </c>
    </row>
    <row r="527" spans="1:15" x14ac:dyDescent="0.3">
      <c r="A527" s="4" t="s">
        <v>1064</v>
      </c>
      <c r="B527" s="5">
        <v>45520</v>
      </c>
      <c r="C527" s="4" t="s">
        <v>505</v>
      </c>
      <c r="D527" s="4" t="s">
        <v>226</v>
      </c>
      <c r="E527" s="4" t="s">
        <v>22</v>
      </c>
      <c r="F527" s="4" t="s">
        <v>67</v>
      </c>
      <c r="G527" s="4" t="s">
        <v>17</v>
      </c>
      <c r="H527" s="4" t="s">
        <v>72</v>
      </c>
      <c r="I527" s="6">
        <v>2</v>
      </c>
      <c r="J527" s="6">
        <v>9064</v>
      </c>
      <c r="K527" s="6">
        <v>5669.31</v>
      </c>
      <c r="L527" s="6">
        <v>3394.69</v>
      </c>
      <c r="M527" s="11">
        <f>Table13[[#This Row],[Profit]]/Table13[[#This Row],[Sales]]</f>
        <v>0.37452449249779346</v>
      </c>
      <c r="N527" s="6" t="str">
        <f>TEXT(Table13[[#This Row],[Order Date]],"mmm")</f>
        <v>Aug</v>
      </c>
      <c r="O527" s="6">
        <f>YEAR(Table13[[#This Row],[Order Date]])</f>
        <v>2024</v>
      </c>
    </row>
    <row r="528" spans="1:15" x14ac:dyDescent="0.3">
      <c r="A528" s="4" t="s">
        <v>1065</v>
      </c>
      <c r="B528" s="5">
        <v>45434</v>
      </c>
      <c r="C528" s="4" t="s">
        <v>795</v>
      </c>
      <c r="D528" s="4" t="s">
        <v>121</v>
      </c>
      <c r="E528" s="4" t="s">
        <v>54</v>
      </c>
      <c r="F528" s="4" t="s">
        <v>55</v>
      </c>
      <c r="G528" s="4" t="s">
        <v>35</v>
      </c>
      <c r="H528" s="4" t="s">
        <v>80</v>
      </c>
      <c r="I528" s="6">
        <v>8</v>
      </c>
      <c r="J528" s="6">
        <v>2832</v>
      </c>
      <c r="K528" s="6">
        <v>1983.96</v>
      </c>
      <c r="L528" s="6">
        <v>848.04</v>
      </c>
      <c r="M528" s="11">
        <f>Table13[[#This Row],[Profit]]/Table13[[#This Row],[Sales]]</f>
        <v>0.29944915254237287</v>
      </c>
      <c r="N528" s="6" t="str">
        <f>TEXT(Table13[[#This Row],[Order Date]],"mmm")</f>
        <v>May</v>
      </c>
      <c r="O528" s="6">
        <f>YEAR(Table13[[#This Row],[Order Date]])</f>
        <v>2024</v>
      </c>
    </row>
    <row r="529" spans="1:15" x14ac:dyDescent="0.3">
      <c r="A529" s="4" t="s">
        <v>1066</v>
      </c>
      <c r="B529" s="5">
        <v>45453</v>
      </c>
      <c r="C529" s="4" t="s">
        <v>649</v>
      </c>
      <c r="D529" s="4" t="s">
        <v>973</v>
      </c>
      <c r="E529" s="4" t="s">
        <v>29</v>
      </c>
      <c r="F529" s="4" t="s">
        <v>102</v>
      </c>
      <c r="G529" s="4" t="s">
        <v>35</v>
      </c>
      <c r="H529" s="4" t="s">
        <v>45</v>
      </c>
      <c r="I529" s="6">
        <v>5</v>
      </c>
      <c r="J529" s="6">
        <v>10160</v>
      </c>
      <c r="K529" s="6">
        <v>6045.93</v>
      </c>
      <c r="L529" s="6">
        <v>4114.07</v>
      </c>
      <c r="M529" s="11">
        <f>Table13[[#This Row],[Profit]]/Table13[[#This Row],[Sales]]</f>
        <v>0.40492814960629919</v>
      </c>
      <c r="N529" s="6" t="str">
        <f>TEXT(Table13[[#This Row],[Order Date]],"mmm")</f>
        <v>Jun</v>
      </c>
      <c r="O529" s="6">
        <f>YEAR(Table13[[#This Row],[Order Date]])</f>
        <v>2024</v>
      </c>
    </row>
    <row r="530" spans="1:15" x14ac:dyDescent="0.3">
      <c r="A530" s="4" t="s">
        <v>1067</v>
      </c>
      <c r="B530" s="5">
        <v>45782</v>
      </c>
      <c r="C530" s="4" t="s">
        <v>149</v>
      </c>
      <c r="D530" s="4" t="s">
        <v>86</v>
      </c>
      <c r="E530" s="4" t="s">
        <v>29</v>
      </c>
      <c r="F530" s="4" t="s">
        <v>49</v>
      </c>
      <c r="G530" s="4" t="s">
        <v>40</v>
      </c>
      <c r="H530" s="4" t="s">
        <v>41</v>
      </c>
      <c r="I530" s="6">
        <v>2</v>
      </c>
      <c r="J530" s="6">
        <v>8488</v>
      </c>
      <c r="K530" s="6">
        <v>6387.8</v>
      </c>
      <c r="L530" s="6">
        <v>2100.1999999999998</v>
      </c>
      <c r="M530" s="11">
        <f>Table13[[#This Row],[Profit]]/Table13[[#This Row],[Sales]]</f>
        <v>0.24743166823751175</v>
      </c>
      <c r="N530" s="6" t="str">
        <f>TEXT(Table13[[#This Row],[Order Date]],"mmm")</f>
        <v>May</v>
      </c>
      <c r="O530" s="6">
        <f>YEAR(Table13[[#This Row],[Order Date]])</f>
        <v>2025</v>
      </c>
    </row>
    <row r="531" spans="1:15" x14ac:dyDescent="0.3">
      <c r="A531" s="4" t="s">
        <v>1068</v>
      </c>
      <c r="B531" s="5">
        <v>45456</v>
      </c>
      <c r="C531" s="4" t="s">
        <v>1069</v>
      </c>
      <c r="D531" s="4" t="s">
        <v>857</v>
      </c>
      <c r="E531" s="4" t="s">
        <v>22</v>
      </c>
      <c r="F531" s="4" t="s">
        <v>23</v>
      </c>
      <c r="G531" s="4" t="s">
        <v>40</v>
      </c>
      <c r="H531" s="4" t="s">
        <v>56</v>
      </c>
      <c r="I531" s="6">
        <v>1</v>
      </c>
      <c r="J531" s="6">
        <v>1347</v>
      </c>
      <c r="K531" s="6">
        <v>972.6</v>
      </c>
      <c r="L531" s="6">
        <v>374.4</v>
      </c>
      <c r="M531" s="11">
        <f>Table13[[#This Row],[Profit]]/Table13[[#This Row],[Sales]]</f>
        <v>0.27795100222717145</v>
      </c>
      <c r="N531" s="6" t="str">
        <f>TEXT(Table13[[#This Row],[Order Date]],"mmm")</f>
        <v>Jun</v>
      </c>
      <c r="O531" s="6">
        <f>YEAR(Table13[[#This Row],[Order Date]])</f>
        <v>2024</v>
      </c>
    </row>
    <row r="532" spans="1:15" x14ac:dyDescent="0.3">
      <c r="A532" s="4" t="s">
        <v>1070</v>
      </c>
      <c r="B532" s="5">
        <v>45476</v>
      </c>
      <c r="C532" s="4" t="s">
        <v>505</v>
      </c>
      <c r="D532" s="4" t="s">
        <v>226</v>
      </c>
      <c r="E532" s="4" t="s">
        <v>15</v>
      </c>
      <c r="F532" s="4" t="s">
        <v>90</v>
      </c>
      <c r="G532" s="4" t="s">
        <v>24</v>
      </c>
      <c r="H532" s="4" t="s">
        <v>166</v>
      </c>
      <c r="I532" s="6">
        <v>1</v>
      </c>
      <c r="J532" s="6">
        <v>1662</v>
      </c>
      <c r="K532" s="6">
        <v>1042.8699999999999</v>
      </c>
      <c r="L532" s="6">
        <v>619.13</v>
      </c>
      <c r="M532" s="11">
        <f>Table13[[#This Row],[Profit]]/Table13[[#This Row],[Sales]]</f>
        <v>0.37252105896510229</v>
      </c>
      <c r="N532" s="6" t="str">
        <f>TEXT(Table13[[#This Row],[Order Date]],"mmm")</f>
        <v>Jul</v>
      </c>
      <c r="O532" s="6">
        <f>YEAR(Table13[[#This Row],[Order Date]])</f>
        <v>2024</v>
      </c>
    </row>
    <row r="533" spans="1:15" x14ac:dyDescent="0.3">
      <c r="A533" s="4" t="s">
        <v>1071</v>
      </c>
      <c r="B533" s="5">
        <v>45913</v>
      </c>
      <c r="C533" s="4" t="s">
        <v>1055</v>
      </c>
      <c r="D533" s="4" t="s">
        <v>977</v>
      </c>
      <c r="E533" s="4" t="s">
        <v>15</v>
      </c>
      <c r="F533" s="4" t="s">
        <v>90</v>
      </c>
      <c r="G533" s="4" t="s">
        <v>17</v>
      </c>
      <c r="H533" s="4" t="s">
        <v>18</v>
      </c>
      <c r="I533" s="6">
        <v>5</v>
      </c>
      <c r="J533" s="6">
        <v>5010</v>
      </c>
      <c r="K533" s="6">
        <v>3081.04</v>
      </c>
      <c r="L533" s="6">
        <v>1928.96</v>
      </c>
      <c r="M533" s="11">
        <f>Table13[[#This Row],[Profit]]/Table13[[#This Row],[Sales]]</f>
        <v>0.38502195608782436</v>
      </c>
      <c r="N533" s="6" t="str">
        <f>TEXT(Table13[[#This Row],[Order Date]],"mmm")</f>
        <v>Sep</v>
      </c>
      <c r="O533" s="6">
        <f>YEAR(Table13[[#This Row],[Order Date]])</f>
        <v>2025</v>
      </c>
    </row>
    <row r="534" spans="1:15" x14ac:dyDescent="0.3">
      <c r="A534" s="4" t="s">
        <v>1072</v>
      </c>
      <c r="B534" s="5">
        <v>45478</v>
      </c>
      <c r="C534" s="4" t="s">
        <v>464</v>
      </c>
      <c r="D534" s="4" t="s">
        <v>385</v>
      </c>
      <c r="E534" s="4" t="s">
        <v>29</v>
      </c>
      <c r="F534" s="4" t="s">
        <v>102</v>
      </c>
      <c r="G534" s="4" t="s">
        <v>35</v>
      </c>
      <c r="H534" s="4" t="s">
        <v>36</v>
      </c>
      <c r="I534" s="6">
        <v>10</v>
      </c>
      <c r="J534" s="6">
        <v>14690</v>
      </c>
      <c r="K534" s="6">
        <v>11581.37</v>
      </c>
      <c r="L534" s="6">
        <v>3108.63</v>
      </c>
      <c r="M534" s="11">
        <f>Table13[[#This Row],[Profit]]/Table13[[#This Row],[Sales]]</f>
        <v>0.21161538461538462</v>
      </c>
      <c r="N534" s="6" t="str">
        <f>TEXT(Table13[[#This Row],[Order Date]],"mmm")</f>
        <v>Jul</v>
      </c>
      <c r="O534" s="6">
        <f>YEAR(Table13[[#This Row],[Order Date]])</f>
        <v>2024</v>
      </c>
    </row>
    <row r="535" spans="1:15" x14ac:dyDescent="0.3">
      <c r="A535" s="4" t="s">
        <v>1073</v>
      </c>
      <c r="B535" s="5">
        <v>45362</v>
      </c>
      <c r="C535" s="4" t="s">
        <v>1074</v>
      </c>
      <c r="D535" s="4" t="s">
        <v>894</v>
      </c>
      <c r="E535" s="4" t="s">
        <v>29</v>
      </c>
      <c r="F535" s="4" t="s">
        <v>30</v>
      </c>
      <c r="G535" s="4" t="s">
        <v>17</v>
      </c>
      <c r="H535" s="4" t="s">
        <v>31</v>
      </c>
      <c r="I535" s="6">
        <v>6</v>
      </c>
      <c r="J535" s="6">
        <v>24084</v>
      </c>
      <c r="K535" s="6">
        <v>17556.27</v>
      </c>
      <c r="L535" s="6">
        <v>6527.73</v>
      </c>
      <c r="M535" s="11">
        <f>Table13[[#This Row],[Profit]]/Table13[[#This Row],[Sales]]</f>
        <v>0.27104010961634278</v>
      </c>
      <c r="N535" s="6" t="str">
        <f>TEXT(Table13[[#This Row],[Order Date]],"mmm")</f>
        <v>Mar</v>
      </c>
      <c r="O535" s="6">
        <f>YEAR(Table13[[#This Row],[Order Date]])</f>
        <v>2024</v>
      </c>
    </row>
    <row r="536" spans="1:15" x14ac:dyDescent="0.3">
      <c r="A536" s="4" t="s">
        <v>1075</v>
      </c>
      <c r="B536" s="5">
        <v>45808</v>
      </c>
      <c r="C536" s="4" t="s">
        <v>584</v>
      </c>
      <c r="D536" s="4" t="s">
        <v>917</v>
      </c>
      <c r="E536" s="4" t="s">
        <v>22</v>
      </c>
      <c r="F536" s="4" t="s">
        <v>23</v>
      </c>
      <c r="G536" s="4" t="s">
        <v>24</v>
      </c>
      <c r="H536" s="4" t="s">
        <v>50</v>
      </c>
      <c r="I536" s="6">
        <v>1</v>
      </c>
      <c r="J536" s="6">
        <v>1957</v>
      </c>
      <c r="K536" s="6">
        <v>1383.23</v>
      </c>
      <c r="L536" s="6">
        <v>573.77</v>
      </c>
      <c r="M536" s="11">
        <f>Table13[[#This Row],[Profit]]/Table13[[#This Row],[Sales]]</f>
        <v>0.29318855390904447</v>
      </c>
      <c r="N536" s="6" t="str">
        <f>TEXT(Table13[[#This Row],[Order Date]],"mmm")</f>
        <v>May</v>
      </c>
      <c r="O536" s="6">
        <f>YEAR(Table13[[#This Row],[Order Date]])</f>
        <v>2025</v>
      </c>
    </row>
    <row r="537" spans="1:15" x14ac:dyDescent="0.3">
      <c r="A537" s="4" t="s">
        <v>1076</v>
      </c>
      <c r="B537" s="5">
        <v>45836</v>
      </c>
      <c r="C537" s="4" t="s">
        <v>642</v>
      </c>
      <c r="D537" s="4" t="s">
        <v>973</v>
      </c>
      <c r="E537" s="4" t="s">
        <v>15</v>
      </c>
      <c r="F537" s="4" t="s">
        <v>16</v>
      </c>
      <c r="G537" s="4" t="s">
        <v>35</v>
      </c>
      <c r="H537" s="4" t="s">
        <v>80</v>
      </c>
      <c r="I537" s="6">
        <v>10</v>
      </c>
      <c r="J537" s="6">
        <v>6190</v>
      </c>
      <c r="K537" s="6">
        <v>5034.49</v>
      </c>
      <c r="L537" s="6">
        <v>1155.51</v>
      </c>
      <c r="M537" s="11">
        <f>Table13[[#This Row],[Profit]]/Table13[[#This Row],[Sales]]</f>
        <v>0.18667366720516962</v>
      </c>
      <c r="N537" s="6" t="str">
        <f>TEXT(Table13[[#This Row],[Order Date]],"mmm")</f>
        <v>Jun</v>
      </c>
      <c r="O537" s="6">
        <f>YEAR(Table13[[#This Row],[Order Date]])</f>
        <v>2025</v>
      </c>
    </row>
    <row r="538" spans="1:15" x14ac:dyDescent="0.3">
      <c r="A538" s="4" t="s">
        <v>1077</v>
      </c>
      <c r="B538" s="5">
        <v>45986</v>
      </c>
      <c r="C538" s="4" t="s">
        <v>416</v>
      </c>
      <c r="D538" s="4" t="s">
        <v>135</v>
      </c>
      <c r="E538" s="4" t="s">
        <v>15</v>
      </c>
      <c r="F538" s="4" t="s">
        <v>63</v>
      </c>
      <c r="G538" s="4" t="s">
        <v>17</v>
      </c>
      <c r="H538" s="4" t="s">
        <v>31</v>
      </c>
      <c r="I538" s="6">
        <v>3</v>
      </c>
      <c r="J538" s="6">
        <v>14151</v>
      </c>
      <c r="K538" s="6">
        <v>11296.13</v>
      </c>
      <c r="L538" s="6">
        <v>2854.87</v>
      </c>
      <c r="M538" s="11">
        <f>Table13[[#This Row],[Profit]]/Table13[[#This Row],[Sales]]</f>
        <v>0.20174333969330788</v>
      </c>
      <c r="N538" s="6" t="str">
        <f>TEXT(Table13[[#This Row],[Order Date]],"mmm")</f>
        <v>Nov</v>
      </c>
      <c r="O538" s="6">
        <f>YEAR(Table13[[#This Row],[Order Date]])</f>
        <v>2025</v>
      </c>
    </row>
    <row r="539" spans="1:15" x14ac:dyDescent="0.3">
      <c r="A539" s="4" t="s">
        <v>1078</v>
      </c>
      <c r="B539" s="5">
        <v>45785</v>
      </c>
      <c r="C539" s="4" t="s">
        <v>344</v>
      </c>
      <c r="D539" s="4" t="s">
        <v>488</v>
      </c>
      <c r="E539" s="4" t="s">
        <v>22</v>
      </c>
      <c r="F539" s="4" t="s">
        <v>67</v>
      </c>
      <c r="G539" s="4" t="s">
        <v>24</v>
      </c>
      <c r="H539" s="4" t="s">
        <v>25</v>
      </c>
      <c r="I539" s="6">
        <v>9</v>
      </c>
      <c r="J539" s="6">
        <v>34326</v>
      </c>
      <c r="K539" s="6">
        <v>21242.5</v>
      </c>
      <c r="L539" s="6">
        <v>13083.5</v>
      </c>
      <c r="M539" s="11">
        <f>Table13[[#This Row],[Profit]]/Table13[[#This Row],[Sales]]</f>
        <v>0.38115422711647146</v>
      </c>
      <c r="N539" s="6" t="str">
        <f>TEXT(Table13[[#This Row],[Order Date]],"mmm")</f>
        <v>May</v>
      </c>
      <c r="O539" s="6">
        <f>YEAR(Table13[[#This Row],[Order Date]])</f>
        <v>2025</v>
      </c>
    </row>
    <row r="540" spans="1:15" x14ac:dyDescent="0.3">
      <c r="A540" s="4" t="s">
        <v>1079</v>
      </c>
      <c r="B540" s="5">
        <v>45377</v>
      </c>
      <c r="C540" s="4" t="s">
        <v>810</v>
      </c>
      <c r="D540" s="4" t="s">
        <v>145</v>
      </c>
      <c r="E540" s="4" t="s">
        <v>15</v>
      </c>
      <c r="F540" s="4" t="s">
        <v>63</v>
      </c>
      <c r="G540" s="4" t="s">
        <v>24</v>
      </c>
      <c r="H540" s="4" t="s">
        <v>166</v>
      </c>
      <c r="I540" s="6">
        <v>5</v>
      </c>
      <c r="J540" s="6">
        <v>21040</v>
      </c>
      <c r="K540" s="6">
        <v>16406.099999999999</v>
      </c>
      <c r="L540" s="6">
        <v>4633.8999999999996</v>
      </c>
      <c r="M540" s="11">
        <f>Table13[[#This Row],[Profit]]/Table13[[#This Row],[Sales]]</f>
        <v>0.22024239543726234</v>
      </c>
      <c r="N540" s="6" t="str">
        <f>TEXT(Table13[[#This Row],[Order Date]],"mmm")</f>
        <v>Mar</v>
      </c>
      <c r="O540" s="6">
        <f>YEAR(Table13[[#This Row],[Order Date]])</f>
        <v>2024</v>
      </c>
    </row>
    <row r="541" spans="1:15" x14ac:dyDescent="0.3">
      <c r="A541" s="4" t="s">
        <v>1080</v>
      </c>
      <c r="B541" s="5">
        <v>45412</v>
      </c>
      <c r="C541" s="4" t="s">
        <v>848</v>
      </c>
      <c r="D541" s="4" t="s">
        <v>28</v>
      </c>
      <c r="E541" s="4" t="s">
        <v>22</v>
      </c>
      <c r="F541" s="4" t="s">
        <v>67</v>
      </c>
      <c r="G541" s="4" t="s">
        <v>40</v>
      </c>
      <c r="H541" s="4" t="s">
        <v>56</v>
      </c>
      <c r="I541" s="6">
        <v>1</v>
      </c>
      <c r="J541" s="6">
        <v>358</v>
      </c>
      <c r="K541" s="6">
        <v>258.98</v>
      </c>
      <c r="L541" s="6">
        <v>99.02</v>
      </c>
      <c r="M541" s="11">
        <f>Table13[[#This Row],[Profit]]/Table13[[#This Row],[Sales]]</f>
        <v>0.27659217877094971</v>
      </c>
      <c r="N541" s="6" t="str">
        <f>TEXT(Table13[[#This Row],[Order Date]],"mmm")</f>
        <v>Apr</v>
      </c>
      <c r="O541" s="6">
        <f>YEAR(Table13[[#This Row],[Order Date]])</f>
        <v>2024</v>
      </c>
    </row>
    <row r="542" spans="1:15" x14ac:dyDescent="0.3">
      <c r="A542" s="4" t="s">
        <v>1081</v>
      </c>
      <c r="B542" s="5">
        <v>45450</v>
      </c>
      <c r="C542" s="4" t="s">
        <v>1082</v>
      </c>
      <c r="D542" s="4" t="s">
        <v>221</v>
      </c>
      <c r="E542" s="4" t="s">
        <v>22</v>
      </c>
      <c r="F542" s="4" t="s">
        <v>79</v>
      </c>
      <c r="G542" s="4" t="s">
        <v>40</v>
      </c>
      <c r="H542" s="4" t="s">
        <v>56</v>
      </c>
      <c r="I542" s="6">
        <v>6</v>
      </c>
      <c r="J542" s="6">
        <v>21894</v>
      </c>
      <c r="K542" s="6">
        <v>14421.16</v>
      </c>
      <c r="L542" s="6">
        <v>7472.84</v>
      </c>
      <c r="M542" s="11">
        <f>Table13[[#This Row],[Profit]]/Table13[[#This Row],[Sales]]</f>
        <v>0.3413190828537499</v>
      </c>
      <c r="N542" s="6" t="str">
        <f>TEXT(Table13[[#This Row],[Order Date]],"mmm")</f>
        <v>Jun</v>
      </c>
      <c r="O542" s="6">
        <f>YEAR(Table13[[#This Row],[Order Date]])</f>
        <v>2024</v>
      </c>
    </row>
    <row r="543" spans="1:15" x14ac:dyDescent="0.3">
      <c r="A543" s="4" t="s">
        <v>1083</v>
      </c>
      <c r="B543" s="5">
        <v>45574</v>
      </c>
      <c r="C543" s="4" t="s">
        <v>242</v>
      </c>
      <c r="D543" s="4" t="s">
        <v>580</v>
      </c>
      <c r="E543" s="4" t="s">
        <v>54</v>
      </c>
      <c r="F543" s="4" t="s">
        <v>55</v>
      </c>
      <c r="G543" s="4" t="s">
        <v>35</v>
      </c>
      <c r="H543" s="4" t="s">
        <v>45</v>
      </c>
      <c r="I543" s="6">
        <v>7</v>
      </c>
      <c r="J543" s="6">
        <v>34475</v>
      </c>
      <c r="K543" s="6">
        <v>22742.92</v>
      </c>
      <c r="L543" s="6">
        <v>11732.08</v>
      </c>
      <c r="M543" s="11">
        <f>Table13[[#This Row],[Profit]]/Table13[[#This Row],[Sales]]</f>
        <v>0.34030688905003625</v>
      </c>
      <c r="N543" s="6" t="str">
        <f>TEXT(Table13[[#This Row],[Order Date]],"mmm")</f>
        <v>Oct</v>
      </c>
      <c r="O543" s="6">
        <f>YEAR(Table13[[#This Row],[Order Date]])</f>
        <v>2024</v>
      </c>
    </row>
    <row r="544" spans="1:15" x14ac:dyDescent="0.3">
      <c r="A544" s="4" t="s">
        <v>1084</v>
      </c>
      <c r="B544" s="5">
        <v>45860</v>
      </c>
      <c r="C544" s="4" t="s">
        <v>751</v>
      </c>
      <c r="D544" s="4" t="s">
        <v>701</v>
      </c>
      <c r="E544" s="4" t="s">
        <v>22</v>
      </c>
      <c r="F544" s="4" t="s">
        <v>79</v>
      </c>
      <c r="G544" s="4" t="s">
        <v>35</v>
      </c>
      <c r="H544" s="4" t="s">
        <v>45</v>
      </c>
      <c r="I544" s="6">
        <v>8</v>
      </c>
      <c r="J544" s="6">
        <v>14112</v>
      </c>
      <c r="K544" s="6">
        <v>9328.93</v>
      </c>
      <c r="L544" s="6">
        <v>4783.07</v>
      </c>
      <c r="M544" s="11">
        <f>Table13[[#This Row],[Profit]]/Table13[[#This Row],[Sales]]</f>
        <v>0.33893636621315193</v>
      </c>
      <c r="N544" s="6" t="str">
        <f>TEXT(Table13[[#This Row],[Order Date]],"mmm")</f>
        <v>Jul</v>
      </c>
      <c r="O544" s="6">
        <f>YEAR(Table13[[#This Row],[Order Date]])</f>
        <v>2025</v>
      </c>
    </row>
    <row r="545" spans="1:15" x14ac:dyDescent="0.3">
      <c r="A545" s="4" t="s">
        <v>1085</v>
      </c>
      <c r="B545" s="5">
        <v>45967</v>
      </c>
      <c r="C545" s="4" t="s">
        <v>550</v>
      </c>
      <c r="D545" s="4" t="s">
        <v>59</v>
      </c>
      <c r="E545" s="4" t="s">
        <v>54</v>
      </c>
      <c r="F545" s="4" t="s">
        <v>71</v>
      </c>
      <c r="G545" s="4" t="s">
        <v>40</v>
      </c>
      <c r="H545" s="4" t="s">
        <v>41</v>
      </c>
      <c r="I545" s="6">
        <v>7</v>
      </c>
      <c r="J545" s="6">
        <v>10017</v>
      </c>
      <c r="K545" s="6">
        <v>8078.71</v>
      </c>
      <c r="L545" s="6">
        <v>1938.29</v>
      </c>
      <c r="M545" s="11">
        <f>Table13[[#This Row],[Profit]]/Table13[[#This Row],[Sales]]</f>
        <v>0.19350004991514425</v>
      </c>
      <c r="N545" s="6" t="str">
        <f>TEXT(Table13[[#This Row],[Order Date]],"mmm")</f>
        <v>Nov</v>
      </c>
      <c r="O545" s="6">
        <f>YEAR(Table13[[#This Row],[Order Date]])</f>
        <v>2025</v>
      </c>
    </row>
    <row r="546" spans="1:15" x14ac:dyDescent="0.3">
      <c r="A546" s="4" t="s">
        <v>1086</v>
      </c>
      <c r="B546" s="5">
        <v>45638</v>
      </c>
      <c r="C546" s="4" t="s">
        <v>318</v>
      </c>
      <c r="D546" s="4" t="s">
        <v>325</v>
      </c>
      <c r="E546" s="4" t="s">
        <v>22</v>
      </c>
      <c r="F546" s="4" t="s">
        <v>79</v>
      </c>
      <c r="G546" s="4" t="s">
        <v>24</v>
      </c>
      <c r="H546" s="4" t="s">
        <v>166</v>
      </c>
      <c r="I546" s="6">
        <v>2</v>
      </c>
      <c r="J546" s="6">
        <v>4112</v>
      </c>
      <c r="K546" s="6">
        <v>2888.69</v>
      </c>
      <c r="L546" s="6">
        <v>1223.31</v>
      </c>
      <c r="M546" s="11">
        <f>Table13[[#This Row],[Profit]]/Table13[[#This Row],[Sales]]</f>
        <v>0.29749756809338518</v>
      </c>
      <c r="N546" s="6" t="str">
        <f>TEXT(Table13[[#This Row],[Order Date]],"mmm")</f>
        <v>Dec</v>
      </c>
      <c r="O546" s="6">
        <f>YEAR(Table13[[#This Row],[Order Date]])</f>
        <v>2024</v>
      </c>
    </row>
    <row r="547" spans="1:15" x14ac:dyDescent="0.3">
      <c r="A547" s="4" t="s">
        <v>1087</v>
      </c>
      <c r="B547" s="5">
        <v>45774</v>
      </c>
      <c r="C547" s="4" t="s">
        <v>176</v>
      </c>
      <c r="D547" s="4" t="s">
        <v>725</v>
      </c>
      <c r="E547" s="4" t="s">
        <v>29</v>
      </c>
      <c r="F547" s="4" t="s">
        <v>49</v>
      </c>
      <c r="G547" s="4" t="s">
        <v>17</v>
      </c>
      <c r="H547" s="4" t="s">
        <v>31</v>
      </c>
      <c r="I547" s="6">
        <v>1</v>
      </c>
      <c r="J547" s="6">
        <v>1046</v>
      </c>
      <c r="K547" s="6">
        <v>833.64</v>
      </c>
      <c r="L547" s="6">
        <v>212.36</v>
      </c>
      <c r="M547" s="11">
        <f>Table13[[#This Row],[Profit]]/Table13[[#This Row],[Sales]]</f>
        <v>0.20302103250478012</v>
      </c>
      <c r="N547" s="6" t="str">
        <f>TEXT(Table13[[#This Row],[Order Date]],"mmm")</f>
        <v>Apr</v>
      </c>
      <c r="O547" s="6">
        <f>YEAR(Table13[[#This Row],[Order Date]])</f>
        <v>2025</v>
      </c>
    </row>
    <row r="548" spans="1:15" x14ac:dyDescent="0.3">
      <c r="A548" s="4" t="s">
        <v>1088</v>
      </c>
      <c r="B548" s="5">
        <v>45685</v>
      </c>
      <c r="C548" s="4" t="s">
        <v>636</v>
      </c>
      <c r="D548" s="4" t="s">
        <v>971</v>
      </c>
      <c r="E548" s="4" t="s">
        <v>15</v>
      </c>
      <c r="F548" s="4" t="s">
        <v>63</v>
      </c>
      <c r="G548" s="4" t="s">
        <v>40</v>
      </c>
      <c r="H548" s="4" t="s">
        <v>56</v>
      </c>
      <c r="I548" s="6">
        <v>6</v>
      </c>
      <c r="J548" s="6">
        <v>5730</v>
      </c>
      <c r="K548" s="6">
        <v>4198.42</v>
      </c>
      <c r="L548" s="6">
        <v>1531.58</v>
      </c>
      <c r="M548" s="11">
        <f>Table13[[#This Row],[Profit]]/Table13[[#This Row],[Sales]]</f>
        <v>0.26729144851657938</v>
      </c>
      <c r="N548" s="6" t="str">
        <f>TEXT(Table13[[#This Row],[Order Date]],"mmm")</f>
        <v>Jan</v>
      </c>
      <c r="O548" s="6">
        <f>YEAR(Table13[[#This Row],[Order Date]])</f>
        <v>2025</v>
      </c>
    </row>
    <row r="549" spans="1:15" x14ac:dyDescent="0.3">
      <c r="A549" s="4" t="s">
        <v>1089</v>
      </c>
      <c r="B549" s="5">
        <v>45741</v>
      </c>
      <c r="C549" s="4" t="s">
        <v>1090</v>
      </c>
      <c r="D549" s="4" t="s">
        <v>879</v>
      </c>
      <c r="E549" s="4" t="s">
        <v>54</v>
      </c>
      <c r="F549" s="4" t="s">
        <v>71</v>
      </c>
      <c r="G549" s="4" t="s">
        <v>17</v>
      </c>
      <c r="H549" s="4" t="s">
        <v>72</v>
      </c>
      <c r="I549" s="6">
        <v>1</v>
      </c>
      <c r="J549" s="6">
        <v>1735</v>
      </c>
      <c r="K549" s="6">
        <v>1287.52</v>
      </c>
      <c r="L549" s="6">
        <v>447.48</v>
      </c>
      <c r="M549" s="11">
        <f>Table13[[#This Row],[Profit]]/Table13[[#This Row],[Sales]]</f>
        <v>0.2579135446685879</v>
      </c>
      <c r="N549" s="6" t="str">
        <f>TEXT(Table13[[#This Row],[Order Date]],"mmm")</f>
        <v>Mar</v>
      </c>
      <c r="O549" s="6">
        <f>YEAR(Table13[[#This Row],[Order Date]])</f>
        <v>2025</v>
      </c>
    </row>
    <row r="550" spans="1:15" x14ac:dyDescent="0.3">
      <c r="A550" s="4" t="s">
        <v>1091</v>
      </c>
      <c r="B550" s="5">
        <v>45529</v>
      </c>
      <c r="C550" s="4" t="s">
        <v>570</v>
      </c>
      <c r="D550" s="4" t="s">
        <v>319</v>
      </c>
      <c r="E550" s="4" t="s">
        <v>54</v>
      </c>
      <c r="F550" s="4" t="s">
        <v>142</v>
      </c>
      <c r="G550" s="4" t="s">
        <v>24</v>
      </c>
      <c r="H550" s="4" t="s">
        <v>25</v>
      </c>
      <c r="I550" s="6">
        <v>10</v>
      </c>
      <c r="J550" s="6">
        <v>44820</v>
      </c>
      <c r="K550" s="6">
        <v>31586.63</v>
      </c>
      <c r="L550" s="6">
        <v>13233.37</v>
      </c>
      <c r="M550" s="11">
        <f>Table13[[#This Row],[Profit]]/Table13[[#This Row],[Sales]]</f>
        <v>0.2952559125390451</v>
      </c>
      <c r="N550" s="6" t="str">
        <f>TEXT(Table13[[#This Row],[Order Date]],"mmm")</f>
        <v>Aug</v>
      </c>
      <c r="O550" s="6">
        <f>YEAR(Table13[[#This Row],[Order Date]])</f>
        <v>2024</v>
      </c>
    </row>
    <row r="551" spans="1:15" x14ac:dyDescent="0.3">
      <c r="A551" s="4" t="s">
        <v>1092</v>
      </c>
      <c r="B551" s="5">
        <v>45574</v>
      </c>
      <c r="C551" s="4" t="s">
        <v>171</v>
      </c>
      <c r="D551" s="4" t="s">
        <v>1093</v>
      </c>
      <c r="E551" s="4" t="s">
        <v>54</v>
      </c>
      <c r="F551" s="4" t="s">
        <v>142</v>
      </c>
      <c r="G551" s="4" t="s">
        <v>17</v>
      </c>
      <c r="H551" s="4" t="s">
        <v>31</v>
      </c>
      <c r="I551" s="6">
        <v>1</v>
      </c>
      <c r="J551" s="6">
        <v>1589</v>
      </c>
      <c r="K551" s="6">
        <v>915.35</v>
      </c>
      <c r="L551" s="6">
        <v>673.65</v>
      </c>
      <c r="M551" s="11">
        <f>Table13[[#This Row],[Profit]]/Table13[[#This Row],[Sales]]</f>
        <v>0.42394587791063559</v>
      </c>
      <c r="N551" s="6" t="str">
        <f>TEXT(Table13[[#This Row],[Order Date]],"mmm")</f>
        <v>Oct</v>
      </c>
      <c r="O551" s="6">
        <f>YEAR(Table13[[#This Row],[Order Date]])</f>
        <v>2024</v>
      </c>
    </row>
    <row r="552" spans="1:15" x14ac:dyDescent="0.3">
      <c r="A552" s="4" t="s">
        <v>1094</v>
      </c>
      <c r="B552" s="5">
        <v>46012</v>
      </c>
      <c r="C552" s="4" t="s">
        <v>43</v>
      </c>
      <c r="D552" s="4" t="s">
        <v>439</v>
      </c>
      <c r="E552" s="4" t="s">
        <v>22</v>
      </c>
      <c r="F552" s="4" t="s">
        <v>67</v>
      </c>
      <c r="G552" s="4" t="s">
        <v>17</v>
      </c>
      <c r="H552" s="4" t="s">
        <v>72</v>
      </c>
      <c r="I552" s="6">
        <v>4</v>
      </c>
      <c r="J552" s="6">
        <v>18164</v>
      </c>
      <c r="K552" s="6">
        <v>10073.94</v>
      </c>
      <c r="L552" s="6">
        <v>8090.06</v>
      </c>
      <c r="M552" s="11">
        <f>Table13[[#This Row],[Profit]]/Table13[[#This Row],[Sales]]</f>
        <v>0.44538978198634666</v>
      </c>
      <c r="N552" s="6" t="str">
        <f>TEXT(Table13[[#This Row],[Order Date]],"mmm")</f>
        <v>Dec</v>
      </c>
      <c r="O552" s="6">
        <f>YEAR(Table13[[#This Row],[Order Date]])</f>
        <v>2025</v>
      </c>
    </row>
    <row r="553" spans="1:15" x14ac:dyDescent="0.3">
      <c r="A553" s="4" t="s">
        <v>1095</v>
      </c>
      <c r="B553" s="5">
        <v>45575</v>
      </c>
      <c r="C553" s="4" t="s">
        <v>802</v>
      </c>
      <c r="D553" s="4" t="s">
        <v>1048</v>
      </c>
      <c r="E553" s="4" t="s">
        <v>54</v>
      </c>
      <c r="F553" s="4" t="s">
        <v>71</v>
      </c>
      <c r="G553" s="4" t="s">
        <v>35</v>
      </c>
      <c r="H553" s="4" t="s">
        <v>45</v>
      </c>
      <c r="I553" s="6">
        <v>10</v>
      </c>
      <c r="J553" s="6">
        <v>31510</v>
      </c>
      <c r="K553" s="6">
        <v>20615.18</v>
      </c>
      <c r="L553" s="6">
        <v>10894.82</v>
      </c>
      <c r="M553" s="11">
        <f>Table13[[#This Row],[Profit]]/Table13[[#This Row],[Sales]]</f>
        <v>0.34575753728974928</v>
      </c>
      <c r="N553" s="6" t="str">
        <f>TEXT(Table13[[#This Row],[Order Date]],"mmm")</f>
        <v>Oct</v>
      </c>
      <c r="O553" s="6">
        <f>YEAR(Table13[[#This Row],[Order Date]])</f>
        <v>2024</v>
      </c>
    </row>
    <row r="554" spans="1:15" x14ac:dyDescent="0.3">
      <c r="A554" s="4" t="s">
        <v>1096</v>
      </c>
      <c r="B554" s="5">
        <v>45810</v>
      </c>
      <c r="C554" s="4" t="s">
        <v>745</v>
      </c>
      <c r="D554" s="4" t="s">
        <v>207</v>
      </c>
      <c r="E554" s="4" t="s">
        <v>22</v>
      </c>
      <c r="F554" s="4" t="s">
        <v>67</v>
      </c>
      <c r="G554" s="4" t="s">
        <v>17</v>
      </c>
      <c r="H554" s="4" t="s">
        <v>72</v>
      </c>
      <c r="I554" s="6">
        <v>1</v>
      </c>
      <c r="J554" s="6">
        <v>2438</v>
      </c>
      <c r="K554" s="6">
        <v>1468.92</v>
      </c>
      <c r="L554" s="6">
        <v>969.08</v>
      </c>
      <c r="M554" s="11">
        <f>Table13[[#This Row],[Profit]]/Table13[[#This Row],[Sales]]</f>
        <v>0.39748974569319118</v>
      </c>
      <c r="N554" s="6" t="str">
        <f>TEXT(Table13[[#This Row],[Order Date]],"mmm")</f>
        <v>Jun</v>
      </c>
      <c r="O554" s="6">
        <f>YEAR(Table13[[#This Row],[Order Date]])</f>
        <v>2025</v>
      </c>
    </row>
    <row r="555" spans="1:15" x14ac:dyDescent="0.3">
      <c r="A555" s="4" t="s">
        <v>1097</v>
      </c>
      <c r="B555" s="5">
        <v>45555</v>
      </c>
      <c r="C555" s="4" t="s">
        <v>140</v>
      </c>
      <c r="D555" s="4" t="s">
        <v>372</v>
      </c>
      <c r="E555" s="4" t="s">
        <v>15</v>
      </c>
      <c r="F555" s="4" t="s">
        <v>90</v>
      </c>
      <c r="G555" s="4" t="s">
        <v>40</v>
      </c>
      <c r="H555" s="4" t="s">
        <v>99</v>
      </c>
      <c r="I555" s="6">
        <v>6</v>
      </c>
      <c r="J555" s="6">
        <v>7548</v>
      </c>
      <c r="K555" s="6">
        <v>5969.58</v>
      </c>
      <c r="L555" s="6">
        <v>1578.42</v>
      </c>
      <c r="M555" s="11">
        <f>Table13[[#This Row],[Profit]]/Table13[[#This Row],[Sales]]</f>
        <v>0.20911764705882355</v>
      </c>
      <c r="N555" s="6" t="str">
        <f>TEXT(Table13[[#This Row],[Order Date]],"mmm")</f>
        <v>Sep</v>
      </c>
      <c r="O555" s="6">
        <f>YEAR(Table13[[#This Row],[Order Date]])</f>
        <v>2024</v>
      </c>
    </row>
    <row r="556" spans="1:15" x14ac:dyDescent="0.3">
      <c r="A556" s="4" t="s">
        <v>1098</v>
      </c>
      <c r="B556" s="5">
        <v>45541</v>
      </c>
      <c r="C556" s="4" t="s">
        <v>535</v>
      </c>
      <c r="D556" s="4" t="s">
        <v>138</v>
      </c>
      <c r="E556" s="4" t="s">
        <v>54</v>
      </c>
      <c r="F556" s="4" t="s">
        <v>71</v>
      </c>
      <c r="G556" s="4" t="s">
        <v>35</v>
      </c>
      <c r="H556" s="4" t="s">
        <v>80</v>
      </c>
      <c r="I556" s="6">
        <v>7</v>
      </c>
      <c r="J556" s="6">
        <v>34391</v>
      </c>
      <c r="K556" s="6">
        <v>23904.799999999999</v>
      </c>
      <c r="L556" s="6">
        <v>10486.2</v>
      </c>
      <c r="M556" s="11">
        <f>Table13[[#This Row],[Profit]]/Table13[[#This Row],[Sales]]</f>
        <v>0.30491116861969703</v>
      </c>
      <c r="N556" s="6" t="str">
        <f>TEXT(Table13[[#This Row],[Order Date]],"mmm")</f>
        <v>Sep</v>
      </c>
      <c r="O556" s="6">
        <f>YEAR(Table13[[#This Row],[Order Date]])</f>
        <v>2024</v>
      </c>
    </row>
    <row r="557" spans="1:15" x14ac:dyDescent="0.3">
      <c r="A557" s="4" t="s">
        <v>1099</v>
      </c>
      <c r="B557" s="5">
        <v>45683</v>
      </c>
      <c r="C557" s="4" t="s">
        <v>101</v>
      </c>
      <c r="D557" s="4" t="s">
        <v>59</v>
      </c>
      <c r="E557" s="4" t="s">
        <v>22</v>
      </c>
      <c r="F557" s="4" t="s">
        <v>79</v>
      </c>
      <c r="G557" s="4" t="s">
        <v>24</v>
      </c>
      <c r="H557" s="4" t="s">
        <v>25</v>
      </c>
      <c r="I557" s="6">
        <v>8</v>
      </c>
      <c r="J557" s="6">
        <v>10016</v>
      </c>
      <c r="K557" s="6">
        <v>6283.5</v>
      </c>
      <c r="L557" s="6">
        <v>3732.5</v>
      </c>
      <c r="M557" s="11">
        <f>Table13[[#This Row],[Profit]]/Table13[[#This Row],[Sales]]</f>
        <v>0.37265375399361023</v>
      </c>
      <c r="N557" s="6" t="str">
        <f>TEXT(Table13[[#This Row],[Order Date]],"mmm")</f>
        <v>Jan</v>
      </c>
      <c r="O557" s="6">
        <f>YEAR(Table13[[#This Row],[Order Date]])</f>
        <v>2025</v>
      </c>
    </row>
    <row r="558" spans="1:15" x14ac:dyDescent="0.3">
      <c r="A558" s="4" t="s">
        <v>1100</v>
      </c>
      <c r="B558" s="5">
        <v>45561</v>
      </c>
      <c r="C558" s="4" t="s">
        <v>959</v>
      </c>
      <c r="D558" s="4" t="s">
        <v>354</v>
      </c>
      <c r="E558" s="4" t="s">
        <v>54</v>
      </c>
      <c r="F558" s="4" t="s">
        <v>55</v>
      </c>
      <c r="G558" s="4" t="s">
        <v>40</v>
      </c>
      <c r="H558" s="4" t="s">
        <v>41</v>
      </c>
      <c r="I558" s="6">
        <v>9</v>
      </c>
      <c r="J558" s="6">
        <v>42192</v>
      </c>
      <c r="K558" s="6">
        <v>23328.67</v>
      </c>
      <c r="L558" s="6">
        <v>18863.330000000002</v>
      </c>
      <c r="M558" s="11">
        <f>Table13[[#This Row],[Profit]]/Table13[[#This Row],[Sales]]</f>
        <v>0.44708309632157761</v>
      </c>
      <c r="N558" s="6" t="str">
        <f>TEXT(Table13[[#This Row],[Order Date]],"mmm")</f>
        <v>Sep</v>
      </c>
      <c r="O558" s="6">
        <f>YEAR(Table13[[#This Row],[Order Date]])</f>
        <v>2024</v>
      </c>
    </row>
    <row r="559" spans="1:15" x14ac:dyDescent="0.3">
      <c r="A559" s="4" t="s">
        <v>1101</v>
      </c>
      <c r="B559" s="5">
        <v>45474</v>
      </c>
      <c r="C559" s="4" t="s">
        <v>1102</v>
      </c>
      <c r="D559" s="4" t="s">
        <v>127</v>
      </c>
      <c r="E559" s="4" t="s">
        <v>15</v>
      </c>
      <c r="F559" s="4" t="s">
        <v>63</v>
      </c>
      <c r="G559" s="4" t="s">
        <v>17</v>
      </c>
      <c r="H559" s="4" t="s">
        <v>31</v>
      </c>
      <c r="I559" s="6">
        <v>6</v>
      </c>
      <c r="J559" s="6">
        <v>5532</v>
      </c>
      <c r="K559" s="6">
        <v>3962.93</v>
      </c>
      <c r="L559" s="6">
        <v>1569.07</v>
      </c>
      <c r="M559" s="11">
        <f>Table13[[#This Row],[Profit]]/Table13[[#This Row],[Sales]]</f>
        <v>0.28363521330441072</v>
      </c>
      <c r="N559" s="6" t="str">
        <f>TEXT(Table13[[#This Row],[Order Date]],"mmm")</f>
        <v>Jul</v>
      </c>
      <c r="O559" s="6">
        <f>YEAR(Table13[[#This Row],[Order Date]])</f>
        <v>2024</v>
      </c>
    </row>
    <row r="560" spans="1:15" x14ac:dyDescent="0.3">
      <c r="A560" s="4" t="s">
        <v>1103</v>
      </c>
      <c r="B560" s="5">
        <v>45991</v>
      </c>
      <c r="C560" s="4" t="s">
        <v>179</v>
      </c>
      <c r="D560" s="4" t="s">
        <v>691</v>
      </c>
      <c r="E560" s="4" t="s">
        <v>54</v>
      </c>
      <c r="F560" s="4" t="s">
        <v>142</v>
      </c>
      <c r="G560" s="4" t="s">
        <v>17</v>
      </c>
      <c r="H560" s="4" t="s">
        <v>72</v>
      </c>
      <c r="I560" s="6">
        <v>5</v>
      </c>
      <c r="J560" s="6">
        <v>8985</v>
      </c>
      <c r="K560" s="6">
        <v>7494.71</v>
      </c>
      <c r="L560" s="6">
        <v>1490.29</v>
      </c>
      <c r="M560" s="11">
        <f>Table13[[#This Row],[Profit]]/Table13[[#This Row],[Sales]]</f>
        <v>0.16586421814134669</v>
      </c>
      <c r="N560" s="6" t="str">
        <f>TEXT(Table13[[#This Row],[Order Date]],"mmm")</f>
        <v>Nov</v>
      </c>
      <c r="O560" s="6">
        <f>YEAR(Table13[[#This Row],[Order Date]])</f>
        <v>2025</v>
      </c>
    </row>
    <row r="561" spans="1:15" x14ac:dyDescent="0.3">
      <c r="A561" s="4" t="s">
        <v>1104</v>
      </c>
      <c r="B561" s="5">
        <v>45499</v>
      </c>
      <c r="C561" s="4" t="s">
        <v>959</v>
      </c>
      <c r="D561" s="4" t="s">
        <v>1105</v>
      </c>
      <c r="E561" s="4" t="s">
        <v>29</v>
      </c>
      <c r="F561" s="4" t="s">
        <v>102</v>
      </c>
      <c r="G561" s="4" t="s">
        <v>17</v>
      </c>
      <c r="H561" s="4" t="s">
        <v>18</v>
      </c>
      <c r="I561" s="6">
        <v>4</v>
      </c>
      <c r="J561" s="6">
        <v>9896</v>
      </c>
      <c r="K561" s="6">
        <v>6056.68</v>
      </c>
      <c r="L561" s="6">
        <v>3839.32</v>
      </c>
      <c r="M561" s="11">
        <f>Table13[[#This Row],[Profit]]/Table13[[#This Row],[Sales]]</f>
        <v>0.38796685529506875</v>
      </c>
      <c r="N561" s="6" t="str">
        <f>TEXT(Table13[[#This Row],[Order Date]],"mmm")</f>
        <v>Jul</v>
      </c>
      <c r="O561" s="6">
        <f>YEAR(Table13[[#This Row],[Order Date]])</f>
        <v>2024</v>
      </c>
    </row>
    <row r="562" spans="1:15" x14ac:dyDescent="0.3">
      <c r="A562" s="4" t="s">
        <v>1106</v>
      </c>
      <c r="B562" s="5">
        <v>45846</v>
      </c>
      <c r="C562" s="4" t="s">
        <v>573</v>
      </c>
      <c r="D562" s="4" t="s">
        <v>977</v>
      </c>
      <c r="E562" s="4" t="s">
        <v>29</v>
      </c>
      <c r="F562" s="4" t="s">
        <v>102</v>
      </c>
      <c r="G562" s="4" t="s">
        <v>24</v>
      </c>
      <c r="H562" s="4" t="s">
        <v>50</v>
      </c>
      <c r="I562" s="6">
        <v>2</v>
      </c>
      <c r="J562" s="6">
        <v>8670</v>
      </c>
      <c r="K562" s="6">
        <v>6365.06</v>
      </c>
      <c r="L562" s="6">
        <v>2304.94</v>
      </c>
      <c r="M562" s="11">
        <f>Table13[[#This Row],[Profit]]/Table13[[#This Row],[Sales]]</f>
        <v>0.26585236447520183</v>
      </c>
      <c r="N562" s="6" t="str">
        <f>TEXT(Table13[[#This Row],[Order Date]],"mmm")</f>
        <v>Jul</v>
      </c>
      <c r="O562" s="6">
        <f>YEAR(Table13[[#This Row],[Order Date]])</f>
        <v>2025</v>
      </c>
    </row>
    <row r="563" spans="1:15" x14ac:dyDescent="0.3">
      <c r="A563" s="4" t="s">
        <v>1107</v>
      </c>
      <c r="B563" s="5">
        <v>45815</v>
      </c>
      <c r="C563" s="4" t="s">
        <v>1108</v>
      </c>
      <c r="D563" s="4" t="s">
        <v>531</v>
      </c>
      <c r="E563" s="4" t="s">
        <v>54</v>
      </c>
      <c r="F563" s="4" t="s">
        <v>71</v>
      </c>
      <c r="G563" s="4" t="s">
        <v>40</v>
      </c>
      <c r="H563" s="4" t="s">
        <v>41</v>
      </c>
      <c r="I563" s="6">
        <v>8</v>
      </c>
      <c r="J563" s="6">
        <v>20400</v>
      </c>
      <c r="K563" s="6">
        <v>14223.73</v>
      </c>
      <c r="L563" s="6">
        <v>6176.27</v>
      </c>
      <c r="M563" s="11">
        <f>Table13[[#This Row],[Profit]]/Table13[[#This Row],[Sales]]</f>
        <v>0.30275833333333335</v>
      </c>
      <c r="N563" s="6" t="str">
        <f>TEXT(Table13[[#This Row],[Order Date]],"mmm")</f>
        <v>Jun</v>
      </c>
      <c r="O563" s="6">
        <f>YEAR(Table13[[#This Row],[Order Date]])</f>
        <v>2025</v>
      </c>
    </row>
    <row r="564" spans="1:15" x14ac:dyDescent="0.3">
      <c r="A564" s="4" t="s">
        <v>1109</v>
      </c>
      <c r="B564" s="5">
        <v>45781</v>
      </c>
      <c r="C564" s="4" t="s">
        <v>214</v>
      </c>
      <c r="D564" s="4" t="s">
        <v>1110</v>
      </c>
      <c r="E564" s="4" t="s">
        <v>29</v>
      </c>
      <c r="F564" s="4" t="s">
        <v>30</v>
      </c>
      <c r="G564" s="4" t="s">
        <v>24</v>
      </c>
      <c r="H564" s="4" t="s">
        <v>166</v>
      </c>
      <c r="I564" s="6">
        <v>1</v>
      </c>
      <c r="J564" s="6">
        <v>4606</v>
      </c>
      <c r="K564" s="6">
        <v>3637.73</v>
      </c>
      <c r="L564" s="6">
        <v>968.27</v>
      </c>
      <c r="M564" s="11">
        <f>Table13[[#This Row],[Profit]]/Table13[[#This Row],[Sales]]</f>
        <v>0.21021927920104211</v>
      </c>
      <c r="N564" s="6" t="str">
        <f>TEXT(Table13[[#This Row],[Order Date]],"mmm")</f>
        <v>May</v>
      </c>
      <c r="O564" s="6">
        <f>YEAR(Table13[[#This Row],[Order Date]])</f>
        <v>2025</v>
      </c>
    </row>
    <row r="565" spans="1:15" x14ac:dyDescent="0.3">
      <c r="A565" s="4" t="s">
        <v>1111</v>
      </c>
      <c r="B565" s="5">
        <v>46007</v>
      </c>
      <c r="C565" s="4" t="s">
        <v>1112</v>
      </c>
      <c r="D565" s="4" t="s">
        <v>665</v>
      </c>
      <c r="E565" s="4" t="s">
        <v>54</v>
      </c>
      <c r="F565" s="4" t="s">
        <v>55</v>
      </c>
      <c r="G565" s="4" t="s">
        <v>17</v>
      </c>
      <c r="H565" s="4" t="s">
        <v>31</v>
      </c>
      <c r="I565" s="6">
        <v>3</v>
      </c>
      <c r="J565" s="6">
        <v>12135</v>
      </c>
      <c r="K565" s="6">
        <v>10229.219999999999</v>
      </c>
      <c r="L565" s="6">
        <v>1905.78</v>
      </c>
      <c r="M565" s="11">
        <f>Table13[[#This Row],[Profit]]/Table13[[#This Row],[Sales]]</f>
        <v>0.15704820766378244</v>
      </c>
      <c r="N565" s="6" t="str">
        <f>TEXT(Table13[[#This Row],[Order Date]],"mmm")</f>
        <v>Dec</v>
      </c>
      <c r="O565" s="6">
        <f>YEAR(Table13[[#This Row],[Order Date]])</f>
        <v>2025</v>
      </c>
    </row>
    <row r="566" spans="1:15" x14ac:dyDescent="0.3">
      <c r="A566" s="4" t="s">
        <v>1113</v>
      </c>
      <c r="B566" s="5">
        <v>45395</v>
      </c>
      <c r="C566" s="4" t="s">
        <v>441</v>
      </c>
      <c r="D566" s="4" t="s">
        <v>459</v>
      </c>
      <c r="E566" s="4" t="s">
        <v>54</v>
      </c>
      <c r="F566" s="4" t="s">
        <v>71</v>
      </c>
      <c r="G566" s="4" t="s">
        <v>24</v>
      </c>
      <c r="H566" s="4" t="s">
        <v>25</v>
      </c>
      <c r="I566" s="6">
        <v>1</v>
      </c>
      <c r="J566" s="6">
        <v>2026</v>
      </c>
      <c r="K566" s="6">
        <v>1344.92</v>
      </c>
      <c r="L566" s="6">
        <v>681.08</v>
      </c>
      <c r="M566" s="11">
        <f>Table13[[#This Row],[Profit]]/Table13[[#This Row],[Sales]]</f>
        <v>0.3361697926949655</v>
      </c>
      <c r="N566" s="6" t="str">
        <f>TEXT(Table13[[#This Row],[Order Date]],"mmm")</f>
        <v>Apr</v>
      </c>
      <c r="O566" s="6">
        <f>YEAR(Table13[[#This Row],[Order Date]])</f>
        <v>2024</v>
      </c>
    </row>
    <row r="567" spans="1:15" x14ac:dyDescent="0.3">
      <c r="A567" s="4" t="s">
        <v>1114</v>
      </c>
      <c r="B567" s="5">
        <v>45919</v>
      </c>
      <c r="C567" s="4" t="s">
        <v>792</v>
      </c>
      <c r="D567" s="4" t="s">
        <v>381</v>
      </c>
      <c r="E567" s="4" t="s">
        <v>54</v>
      </c>
      <c r="F567" s="4" t="s">
        <v>142</v>
      </c>
      <c r="G567" s="4" t="s">
        <v>35</v>
      </c>
      <c r="H567" s="4" t="s">
        <v>45</v>
      </c>
      <c r="I567" s="6">
        <v>5</v>
      </c>
      <c r="J567" s="6">
        <v>11210</v>
      </c>
      <c r="K567" s="6">
        <v>7071.52</v>
      </c>
      <c r="L567" s="6">
        <v>4138.4799999999996</v>
      </c>
      <c r="M567" s="11">
        <f>Table13[[#This Row],[Profit]]/Table13[[#This Row],[Sales]]</f>
        <v>0.36917752007136484</v>
      </c>
      <c r="N567" s="6" t="str">
        <f>TEXT(Table13[[#This Row],[Order Date]],"mmm")</f>
        <v>Sep</v>
      </c>
      <c r="O567" s="6">
        <f>YEAR(Table13[[#This Row],[Order Date]])</f>
        <v>2025</v>
      </c>
    </row>
    <row r="568" spans="1:15" x14ac:dyDescent="0.3">
      <c r="A568" s="4" t="s">
        <v>1115</v>
      </c>
      <c r="B568" s="5">
        <v>45673</v>
      </c>
      <c r="C568" s="4" t="s">
        <v>47</v>
      </c>
      <c r="D568" s="4" t="s">
        <v>839</v>
      </c>
      <c r="E568" s="4" t="s">
        <v>29</v>
      </c>
      <c r="F568" s="4" t="s">
        <v>49</v>
      </c>
      <c r="G568" s="4" t="s">
        <v>35</v>
      </c>
      <c r="H568" s="4" t="s">
        <v>36</v>
      </c>
      <c r="I568" s="6">
        <v>4</v>
      </c>
      <c r="J568" s="6">
        <v>14932</v>
      </c>
      <c r="K568" s="6">
        <v>11351.51</v>
      </c>
      <c r="L568" s="6">
        <v>3580.49</v>
      </c>
      <c r="M568" s="11">
        <f>Table13[[#This Row],[Profit]]/Table13[[#This Row],[Sales]]</f>
        <v>0.23978636485400481</v>
      </c>
      <c r="N568" s="6" t="str">
        <f>TEXT(Table13[[#This Row],[Order Date]],"mmm")</f>
        <v>Jan</v>
      </c>
      <c r="O568" s="6">
        <f>YEAR(Table13[[#This Row],[Order Date]])</f>
        <v>2025</v>
      </c>
    </row>
    <row r="569" spans="1:15" x14ac:dyDescent="0.3">
      <c r="A569" s="4" t="s">
        <v>1116</v>
      </c>
      <c r="B569" s="5">
        <v>45994</v>
      </c>
      <c r="C569" s="4" t="s">
        <v>1074</v>
      </c>
      <c r="D569" s="4" t="s">
        <v>1117</v>
      </c>
      <c r="E569" s="4" t="s">
        <v>54</v>
      </c>
      <c r="F569" s="4" t="s">
        <v>55</v>
      </c>
      <c r="G569" s="4" t="s">
        <v>24</v>
      </c>
      <c r="H569" s="4" t="s">
        <v>166</v>
      </c>
      <c r="I569" s="6">
        <v>10</v>
      </c>
      <c r="J569" s="6">
        <v>13740</v>
      </c>
      <c r="K569" s="6">
        <v>11593.56</v>
      </c>
      <c r="L569" s="6">
        <v>2146.44</v>
      </c>
      <c r="M569" s="11">
        <f>Table13[[#This Row],[Profit]]/Table13[[#This Row],[Sales]]</f>
        <v>0.15621834061135373</v>
      </c>
      <c r="N569" s="6" t="str">
        <f>TEXT(Table13[[#This Row],[Order Date]],"mmm")</f>
        <v>Dec</v>
      </c>
      <c r="O569" s="6">
        <f>YEAR(Table13[[#This Row],[Order Date]])</f>
        <v>2025</v>
      </c>
    </row>
    <row r="570" spans="1:15" x14ac:dyDescent="0.3">
      <c r="A570" s="4" t="s">
        <v>1118</v>
      </c>
      <c r="B570" s="5">
        <v>45445</v>
      </c>
      <c r="C570" s="4" t="s">
        <v>1001</v>
      </c>
      <c r="D570" s="4" t="s">
        <v>629</v>
      </c>
      <c r="E570" s="4" t="s">
        <v>54</v>
      </c>
      <c r="F570" s="4" t="s">
        <v>142</v>
      </c>
      <c r="G570" s="4" t="s">
        <v>35</v>
      </c>
      <c r="H570" s="4" t="s">
        <v>45</v>
      </c>
      <c r="I570" s="6">
        <v>7</v>
      </c>
      <c r="J570" s="6">
        <v>23940</v>
      </c>
      <c r="K570" s="6">
        <v>14575.13</v>
      </c>
      <c r="L570" s="6">
        <v>9364.8700000000008</v>
      </c>
      <c r="M570" s="11">
        <f>Table13[[#This Row],[Profit]]/Table13[[#This Row],[Sales]]</f>
        <v>0.39118086883876363</v>
      </c>
      <c r="N570" s="6" t="str">
        <f>TEXT(Table13[[#This Row],[Order Date]],"mmm")</f>
        <v>Jun</v>
      </c>
      <c r="O570" s="6">
        <f>YEAR(Table13[[#This Row],[Order Date]])</f>
        <v>2024</v>
      </c>
    </row>
    <row r="571" spans="1:15" x14ac:dyDescent="0.3">
      <c r="A571" s="4" t="s">
        <v>1119</v>
      </c>
      <c r="B571" s="5">
        <v>45615</v>
      </c>
      <c r="C571" s="4" t="s">
        <v>1120</v>
      </c>
      <c r="D571" s="4" t="s">
        <v>1121</v>
      </c>
      <c r="E571" s="4" t="s">
        <v>29</v>
      </c>
      <c r="F571" s="4" t="s">
        <v>49</v>
      </c>
      <c r="G571" s="4" t="s">
        <v>35</v>
      </c>
      <c r="H571" s="4" t="s">
        <v>80</v>
      </c>
      <c r="I571" s="6">
        <v>3</v>
      </c>
      <c r="J571" s="6">
        <v>13605</v>
      </c>
      <c r="K571" s="6">
        <v>9662.2000000000007</v>
      </c>
      <c r="L571" s="6">
        <v>3942.8</v>
      </c>
      <c r="M571" s="11">
        <f>Table13[[#This Row],[Profit]]/Table13[[#This Row],[Sales]]</f>
        <v>0.28980521866960679</v>
      </c>
      <c r="N571" s="6" t="str">
        <f>TEXT(Table13[[#This Row],[Order Date]],"mmm")</f>
        <v>Nov</v>
      </c>
      <c r="O571" s="6">
        <f>YEAR(Table13[[#This Row],[Order Date]])</f>
        <v>2024</v>
      </c>
    </row>
    <row r="572" spans="1:15" x14ac:dyDescent="0.3">
      <c r="A572" s="4" t="s">
        <v>1122</v>
      </c>
      <c r="B572" s="5">
        <v>45459</v>
      </c>
      <c r="C572" s="4" t="s">
        <v>120</v>
      </c>
      <c r="D572" s="4" t="s">
        <v>1123</v>
      </c>
      <c r="E572" s="4" t="s">
        <v>54</v>
      </c>
      <c r="F572" s="4" t="s">
        <v>71</v>
      </c>
      <c r="G572" s="4" t="s">
        <v>17</v>
      </c>
      <c r="H572" s="4" t="s">
        <v>72</v>
      </c>
      <c r="I572" s="6">
        <v>1</v>
      </c>
      <c r="J572" s="6">
        <v>3563</v>
      </c>
      <c r="K572" s="6">
        <v>2065.44</v>
      </c>
      <c r="L572" s="6">
        <v>1497.56</v>
      </c>
      <c r="M572" s="11">
        <f>Table13[[#This Row],[Profit]]/Table13[[#This Row],[Sales]]</f>
        <v>0.42030872859949481</v>
      </c>
      <c r="N572" s="6" t="str">
        <f>TEXT(Table13[[#This Row],[Order Date]],"mmm")</f>
        <v>Jun</v>
      </c>
      <c r="O572" s="6">
        <f>YEAR(Table13[[#This Row],[Order Date]])</f>
        <v>2024</v>
      </c>
    </row>
    <row r="573" spans="1:15" x14ac:dyDescent="0.3">
      <c r="A573" s="4" t="s">
        <v>1124</v>
      </c>
      <c r="B573" s="5">
        <v>45558</v>
      </c>
      <c r="C573" s="4" t="s">
        <v>558</v>
      </c>
      <c r="D573" s="4" t="s">
        <v>797</v>
      </c>
      <c r="E573" s="4" t="s">
        <v>54</v>
      </c>
      <c r="F573" s="4" t="s">
        <v>55</v>
      </c>
      <c r="G573" s="4" t="s">
        <v>17</v>
      </c>
      <c r="H573" s="4" t="s">
        <v>31</v>
      </c>
      <c r="I573" s="6">
        <v>2</v>
      </c>
      <c r="J573" s="6">
        <v>7970</v>
      </c>
      <c r="K573" s="6">
        <v>6163.82</v>
      </c>
      <c r="L573" s="6">
        <v>1806.18</v>
      </c>
      <c r="M573" s="11">
        <f>Table13[[#This Row],[Profit]]/Table13[[#This Row],[Sales]]</f>
        <v>0.2266223337515684</v>
      </c>
      <c r="N573" s="6" t="str">
        <f>TEXT(Table13[[#This Row],[Order Date]],"mmm")</f>
        <v>Sep</v>
      </c>
      <c r="O573" s="6">
        <f>YEAR(Table13[[#This Row],[Order Date]])</f>
        <v>2024</v>
      </c>
    </row>
    <row r="574" spans="1:15" x14ac:dyDescent="0.3">
      <c r="A574" s="4" t="s">
        <v>1125</v>
      </c>
      <c r="B574" s="5">
        <v>45987</v>
      </c>
      <c r="C574" s="4" t="s">
        <v>301</v>
      </c>
      <c r="D574" s="4" t="s">
        <v>311</v>
      </c>
      <c r="E574" s="4" t="s">
        <v>54</v>
      </c>
      <c r="F574" s="4" t="s">
        <v>55</v>
      </c>
      <c r="G574" s="4" t="s">
        <v>24</v>
      </c>
      <c r="H574" s="4" t="s">
        <v>25</v>
      </c>
      <c r="I574" s="6">
        <v>7</v>
      </c>
      <c r="J574" s="6">
        <v>9051</v>
      </c>
      <c r="K574" s="6">
        <v>5931.37</v>
      </c>
      <c r="L574" s="6">
        <v>3119.63</v>
      </c>
      <c r="M574" s="11">
        <f>Table13[[#This Row],[Profit]]/Table13[[#This Row],[Sales]]</f>
        <v>0.34467241188818915</v>
      </c>
      <c r="N574" s="6" t="str">
        <f>TEXT(Table13[[#This Row],[Order Date]],"mmm")</f>
        <v>Nov</v>
      </c>
      <c r="O574" s="6">
        <f>YEAR(Table13[[#This Row],[Order Date]])</f>
        <v>2025</v>
      </c>
    </row>
    <row r="575" spans="1:15" x14ac:dyDescent="0.3">
      <c r="A575" s="4" t="s">
        <v>1126</v>
      </c>
      <c r="B575" s="5">
        <v>45749</v>
      </c>
      <c r="C575" s="4" t="s">
        <v>461</v>
      </c>
      <c r="D575" s="4" t="s">
        <v>1029</v>
      </c>
      <c r="E575" s="4" t="s">
        <v>29</v>
      </c>
      <c r="F575" s="4" t="s">
        <v>49</v>
      </c>
      <c r="G575" s="4" t="s">
        <v>40</v>
      </c>
      <c r="H575" s="4" t="s">
        <v>41</v>
      </c>
      <c r="I575" s="6">
        <v>6</v>
      </c>
      <c r="J575" s="6">
        <v>26886</v>
      </c>
      <c r="K575" s="6">
        <v>18719.330000000002</v>
      </c>
      <c r="L575" s="6">
        <v>8166.67</v>
      </c>
      <c r="M575" s="11">
        <f>Table13[[#This Row],[Profit]]/Table13[[#This Row],[Sales]]</f>
        <v>0.30375176671873838</v>
      </c>
      <c r="N575" s="6" t="str">
        <f>TEXT(Table13[[#This Row],[Order Date]],"mmm")</f>
        <v>Apr</v>
      </c>
      <c r="O575" s="6">
        <f>YEAR(Table13[[#This Row],[Order Date]])</f>
        <v>2025</v>
      </c>
    </row>
    <row r="576" spans="1:15" x14ac:dyDescent="0.3">
      <c r="A576" s="4" t="s">
        <v>1127</v>
      </c>
      <c r="B576" s="5">
        <v>45637</v>
      </c>
      <c r="C576" s="4" t="s">
        <v>818</v>
      </c>
      <c r="D576" s="4" t="s">
        <v>931</v>
      </c>
      <c r="E576" s="4" t="s">
        <v>54</v>
      </c>
      <c r="F576" s="4" t="s">
        <v>55</v>
      </c>
      <c r="G576" s="4" t="s">
        <v>17</v>
      </c>
      <c r="H576" s="4" t="s">
        <v>31</v>
      </c>
      <c r="I576" s="6">
        <v>3</v>
      </c>
      <c r="J576" s="6">
        <v>5016</v>
      </c>
      <c r="K576" s="6">
        <v>3722.75</v>
      </c>
      <c r="L576" s="6">
        <v>1293.25</v>
      </c>
      <c r="M576" s="11">
        <f>Table13[[#This Row],[Profit]]/Table13[[#This Row],[Sales]]</f>
        <v>0.25782496012759171</v>
      </c>
      <c r="N576" s="6" t="str">
        <f>TEXT(Table13[[#This Row],[Order Date]],"mmm")</f>
        <v>Dec</v>
      </c>
      <c r="O576" s="6">
        <f>YEAR(Table13[[#This Row],[Order Date]])</f>
        <v>2024</v>
      </c>
    </row>
    <row r="577" spans="1:15" x14ac:dyDescent="0.3">
      <c r="A577" s="4" t="s">
        <v>1128</v>
      </c>
      <c r="B577" s="5">
        <v>45616</v>
      </c>
      <c r="C577" s="4" t="s">
        <v>727</v>
      </c>
      <c r="D577" s="4" t="s">
        <v>1129</v>
      </c>
      <c r="E577" s="4" t="s">
        <v>22</v>
      </c>
      <c r="F577" s="4" t="s">
        <v>23</v>
      </c>
      <c r="G577" s="4" t="s">
        <v>24</v>
      </c>
      <c r="H577" s="4" t="s">
        <v>50</v>
      </c>
      <c r="I577" s="6">
        <v>3</v>
      </c>
      <c r="J577" s="6">
        <v>9342</v>
      </c>
      <c r="K577" s="6">
        <v>5777.7</v>
      </c>
      <c r="L577" s="6">
        <v>3564.3</v>
      </c>
      <c r="M577" s="11">
        <f>Table13[[#This Row],[Profit]]/Table13[[#This Row],[Sales]]</f>
        <v>0.38153500321130379</v>
      </c>
      <c r="N577" s="6" t="str">
        <f>TEXT(Table13[[#This Row],[Order Date]],"mmm")</f>
        <v>Nov</v>
      </c>
      <c r="O577" s="6">
        <f>YEAR(Table13[[#This Row],[Order Date]])</f>
        <v>2024</v>
      </c>
    </row>
    <row r="578" spans="1:15" x14ac:dyDescent="0.3">
      <c r="A578" s="4" t="s">
        <v>1130</v>
      </c>
      <c r="B578" s="5">
        <v>45715</v>
      </c>
      <c r="C578" s="4" t="s">
        <v>961</v>
      </c>
      <c r="D578" s="4" t="s">
        <v>1131</v>
      </c>
      <c r="E578" s="4" t="s">
        <v>22</v>
      </c>
      <c r="F578" s="4" t="s">
        <v>67</v>
      </c>
      <c r="G578" s="4" t="s">
        <v>35</v>
      </c>
      <c r="H578" s="4" t="s">
        <v>80</v>
      </c>
      <c r="I578" s="6">
        <v>6</v>
      </c>
      <c r="J578" s="6">
        <v>27402</v>
      </c>
      <c r="K578" s="6">
        <v>23008.3</v>
      </c>
      <c r="L578" s="6">
        <v>4393.7</v>
      </c>
      <c r="M578" s="11">
        <f>Table13[[#This Row],[Profit]]/Table13[[#This Row],[Sales]]</f>
        <v>0.160342310780235</v>
      </c>
      <c r="N578" s="6" t="str">
        <f>TEXT(Table13[[#This Row],[Order Date]],"mmm")</f>
        <v>Feb</v>
      </c>
      <c r="O578" s="6">
        <f>YEAR(Table13[[#This Row],[Order Date]])</f>
        <v>2025</v>
      </c>
    </row>
    <row r="579" spans="1:15" x14ac:dyDescent="0.3">
      <c r="A579" s="4" t="s">
        <v>1132</v>
      </c>
      <c r="B579" s="5">
        <v>46009</v>
      </c>
      <c r="C579" s="4" t="s">
        <v>461</v>
      </c>
      <c r="D579" s="4" t="s">
        <v>781</v>
      </c>
      <c r="E579" s="4" t="s">
        <v>15</v>
      </c>
      <c r="F579" s="4" t="s">
        <v>16</v>
      </c>
      <c r="G579" s="4" t="s">
        <v>17</v>
      </c>
      <c r="H579" s="4" t="s">
        <v>18</v>
      </c>
      <c r="I579" s="6">
        <v>4</v>
      </c>
      <c r="J579" s="6">
        <v>9444</v>
      </c>
      <c r="K579" s="6">
        <v>7858.65</v>
      </c>
      <c r="L579" s="6">
        <v>1585.35</v>
      </c>
      <c r="M579" s="11">
        <f>Table13[[#This Row],[Profit]]/Table13[[#This Row],[Sales]]</f>
        <v>0.16786848792884371</v>
      </c>
      <c r="N579" s="6" t="str">
        <f>TEXT(Table13[[#This Row],[Order Date]],"mmm")</f>
        <v>Dec</v>
      </c>
      <c r="O579" s="6">
        <f>YEAR(Table13[[#This Row],[Order Date]])</f>
        <v>2025</v>
      </c>
    </row>
    <row r="580" spans="1:15" x14ac:dyDescent="0.3">
      <c r="A580" s="4" t="s">
        <v>1133</v>
      </c>
      <c r="B580" s="5">
        <v>45776</v>
      </c>
      <c r="C580" s="4" t="s">
        <v>969</v>
      </c>
      <c r="D580" s="4" t="s">
        <v>813</v>
      </c>
      <c r="E580" s="4" t="s">
        <v>29</v>
      </c>
      <c r="F580" s="4" t="s">
        <v>49</v>
      </c>
      <c r="G580" s="4" t="s">
        <v>24</v>
      </c>
      <c r="H580" s="4" t="s">
        <v>50</v>
      </c>
      <c r="I580" s="6">
        <v>2</v>
      </c>
      <c r="J580" s="6">
        <v>1644</v>
      </c>
      <c r="K580" s="6">
        <v>1366.23</v>
      </c>
      <c r="L580" s="6">
        <v>277.77</v>
      </c>
      <c r="M580" s="11">
        <f>Table13[[#This Row],[Profit]]/Table13[[#This Row],[Sales]]</f>
        <v>0.16895985401459854</v>
      </c>
      <c r="N580" s="6" t="str">
        <f>TEXT(Table13[[#This Row],[Order Date]],"mmm")</f>
        <v>Apr</v>
      </c>
      <c r="O580" s="6">
        <f>YEAR(Table13[[#This Row],[Order Date]])</f>
        <v>2025</v>
      </c>
    </row>
    <row r="581" spans="1:15" x14ac:dyDescent="0.3">
      <c r="A581" s="4" t="s">
        <v>1134</v>
      </c>
      <c r="B581" s="5">
        <v>45451</v>
      </c>
      <c r="C581" s="4" t="s">
        <v>263</v>
      </c>
      <c r="D581" s="4" t="s">
        <v>1016</v>
      </c>
      <c r="E581" s="4" t="s">
        <v>15</v>
      </c>
      <c r="F581" s="4" t="s">
        <v>63</v>
      </c>
      <c r="G581" s="4" t="s">
        <v>35</v>
      </c>
      <c r="H581" s="4" t="s">
        <v>45</v>
      </c>
      <c r="I581" s="6">
        <v>2</v>
      </c>
      <c r="J581" s="6">
        <v>2302</v>
      </c>
      <c r="K581" s="6">
        <v>1447.35</v>
      </c>
      <c r="L581" s="6">
        <v>854.65</v>
      </c>
      <c r="M581" s="11">
        <f>Table13[[#This Row],[Profit]]/Table13[[#This Row],[Sales]]</f>
        <v>0.37126411815812338</v>
      </c>
      <c r="N581" s="6" t="str">
        <f>TEXT(Table13[[#This Row],[Order Date]],"mmm")</f>
        <v>Jun</v>
      </c>
      <c r="O581" s="6">
        <f>YEAR(Table13[[#This Row],[Order Date]])</f>
        <v>2024</v>
      </c>
    </row>
    <row r="582" spans="1:15" x14ac:dyDescent="0.3">
      <c r="A582" s="4" t="s">
        <v>1135</v>
      </c>
      <c r="B582" s="5">
        <v>45426</v>
      </c>
      <c r="C582" s="4" t="s">
        <v>700</v>
      </c>
      <c r="D582" s="4" t="s">
        <v>362</v>
      </c>
      <c r="E582" s="4" t="s">
        <v>54</v>
      </c>
      <c r="F582" s="4" t="s">
        <v>142</v>
      </c>
      <c r="G582" s="4" t="s">
        <v>40</v>
      </c>
      <c r="H582" s="4" t="s">
        <v>56</v>
      </c>
      <c r="I582" s="6">
        <v>5</v>
      </c>
      <c r="J582" s="6">
        <v>19650</v>
      </c>
      <c r="K582" s="6">
        <v>14500.6</v>
      </c>
      <c r="L582" s="6">
        <v>5149.3999999999996</v>
      </c>
      <c r="M582" s="11">
        <f>Table13[[#This Row],[Profit]]/Table13[[#This Row],[Sales]]</f>
        <v>0.26205597964376587</v>
      </c>
      <c r="N582" s="6" t="str">
        <f>TEXT(Table13[[#This Row],[Order Date]],"mmm")</f>
        <v>May</v>
      </c>
      <c r="O582" s="6">
        <f>YEAR(Table13[[#This Row],[Order Date]])</f>
        <v>2024</v>
      </c>
    </row>
    <row r="583" spans="1:15" x14ac:dyDescent="0.3">
      <c r="A583" s="4" t="s">
        <v>1136</v>
      </c>
      <c r="B583" s="5">
        <v>45770</v>
      </c>
      <c r="C583" s="4" t="s">
        <v>214</v>
      </c>
      <c r="D583" s="4" t="s">
        <v>533</v>
      </c>
      <c r="E583" s="4" t="s">
        <v>15</v>
      </c>
      <c r="F583" s="4" t="s">
        <v>16</v>
      </c>
      <c r="G583" s="4" t="s">
        <v>17</v>
      </c>
      <c r="H583" s="4" t="s">
        <v>31</v>
      </c>
      <c r="I583" s="6">
        <v>6</v>
      </c>
      <c r="J583" s="6">
        <v>17784</v>
      </c>
      <c r="K583" s="6">
        <v>14392.1</v>
      </c>
      <c r="L583" s="6">
        <v>3391.9</v>
      </c>
      <c r="M583" s="11">
        <f>Table13[[#This Row],[Profit]]/Table13[[#This Row],[Sales]]</f>
        <v>0.19072762033288349</v>
      </c>
      <c r="N583" s="6" t="str">
        <f>TEXT(Table13[[#This Row],[Order Date]],"mmm")</f>
        <v>Apr</v>
      </c>
      <c r="O583" s="6">
        <f>YEAR(Table13[[#This Row],[Order Date]])</f>
        <v>2025</v>
      </c>
    </row>
    <row r="584" spans="1:15" x14ac:dyDescent="0.3">
      <c r="A584" s="4" t="s">
        <v>1137</v>
      </c>
      <c r="B584" s="5">
        <v>45759</v>
      </c>
      <c r="C584" s="4" t="s">
        <v>228</v>
      </c>
      <c r="D584" s="4" t="s">
        <v>252</v>
      </c>
      <c r="E584" s="4" t="s">
        <v>22</v>
      </c>
      <c r="F584" s="4" t="s">
        <v>23</v>
      </c>
      <c r="G584" s="4" t="s">
        <v>17</v>
      </c>
      <c r="H584" s="4" t="s">
        <v>18</v>
      </c>
      <c r="I584" s="6">
        <v>9</v>
      </c>
      <c r="J584" s="6">
        <v>15750</v>
      </c>
      <c r="K584" s="6">
        <v>11454.18</v>
      </c>
      <c r="L584" s="6">
        <v>4295.82</v>
      </c>
      <c r="M584" s="11">
        <f>Table13[[#This Row],[Profit]]/Table13[[#This Row],[Sales]]</f>
        <v>0.27275047619047615</v>
      </c>
      <c r="N584" s="6" t="str">
        <f>TEXT(Table13[[#This Row],[Order Date]],"mmm")</f>
        <v>Apr</v>
      </c>
      <c r="O584" s="6">
        <f>YEAR(Table13[[#This Row],[Order Date]])</f>
        <v>2025</v>
      </c>
    </row>
    <row r="585" spans="1:15" x14ac:dyDescent="0.3">
      <c r="A585" s="4" t="s">
        <v>1138</v>
      </c>
      <c r="B585" s="5">
        <v>45744</v>
      </c>
      <c r="C585" s="4" t="s">
        <v>88</v>
      </c>
      <c r="D585" s="4" t="s">
        <v>381</v>
      </c>
      <c r="E585" s="4" t="s">
        <v>54</v>
      </c>
      <c r="F585" s="4" t="s">
        <v>55</v>
      </c>
      <c r="G585" s="4" t="s">
        <v>35</v>
      </c>
      <c r="H585" s="4" t="s">
        <v>80</v>
      </c>
      <c r="I585" s="6">
        <v>9</v>
      </c>
      <c r="J585" s="6">
        <v>19440</v>
      </c>
      <c r="K585" s="6">
        <v>15385.06</v>
      </c>
      <c r="L585" s="6">
        <v>4054.94</v>
      </c>
      <c r="M585" s="11">
        <f>Table13[[#This Row],[Profit]]/Table13[[#This Row],[Sales]]</f>
        <v>0.20858744855967079</v>
      </c>
      <c r="N585" s="6" t="str">
        <f>TEXT(Table13[[#This Row],[Order Date]],"mmm")</f>
        <v>Mar</v>
      </c>
      <c r="O585" s="6">
        <f>YEAR(Table13[[#This Row],[Order Date]])</f>
        <v>2025</v>
      </c>
    </row>
    <row r="586" spans="1:15" x14ac:dyDescent="0.3">
      <c r="A586" s="4" t="s">
        <v>1139</v>
      </c>
      <c r="B586" s="5">
        <v>45431</v>
      </c>
      <c r="C586" s="4" t="s">
        <v>872</v>
      </c>
      <c r="D586" s="4" t="s">
        <v>589</v>
      </c>
      <c r="E586" s="4" t="s">
        <v>22</v>
      </c>
      <c r="F586" s="4" t="s">
        <v>67</v>
      </c>
      <c r="G586" s="4" t="s">
        <v>24</v>
      </c>
      <c r="H586" s="4" t="s">
        <v>166</v>
      </c>
      <c r="I586" s="6">
        <v>5</v>
      </c>
      <c r="J586" s="6">
        <v>1930</v>
      </c>
      <c r="K586" s="6">
        <v>1061.55</v>
      </c>
      <c r="L586" s="6">
        <v>868.45</v>
      </c>
      <c r="M586" s="11">
        <f>Table13[[#This Row],[Profit]]/Table13[[#This Row],[Sales]]</f>
        <v>0.44997409326424875</v>
      </c>
      <c r="N586" s="6" t="str">
        <f>TEXT(Table13[[#This Row],[Order Date]],"mmm")</f>
        <v>May</v>
      </c>
      <c r="O586" s="6">
        <f>YEAR(Table13[[#This Row],[Order Date]])</f>
        <v>2024</v>
      </c>
    </row>
    <row r="587" spans="1:15" x14ac:dyDescent="0.3">
      <c r="A587" s="4" t="s">
        <v>1140</v>
      </c>
      <c r="B587" s="5">
        <v>45732</v>
      </c>
      <c r="C587" s="4" t="s">
        <v>727</v>
      </c>
      <c r="D587" s="4" t="s">
        <v>365</v>
      </c>
      <c r="E587" s="4" t="s">
        <v>22</v>
      </c>
      <c r="F587" s="4" t="s">
        <v>79</v>
      </c>
      <c r="G587" s="4" t="s">
        <v>24</v>
      </c>
      <c r="H587" s="4" t="s">
        <v>25</v>
      </c>
      <c r="I587" s="6">
        <v>8</v>
      </c>
      <c r="J587" s="6">
        <v>33664</v>
      </c>
      <c r="K587" s="6">
        <v>21541.03</v>
      </c>
      <c r="L587" s="6">
        <v>12122.97</v>
      </c>
      <c r="M587" s="11">
        <f>Table13[[#This Row],[Profit]]/Table13[[#This Row],[Sales]]</f>
        <v>0.36011674192015208</v>
      </c>
      <c r="N587" s="6" t="str">
        <f>TEXT(Table13[[#This Row],[Order Date]],"mmm")</f>
        <v>Mar</v>
      </c>
      <c r="O587" s="6">
        <f>YEAR(Table13[[#This Row],[Order Date]])</f>
        <v>2025</v>
      </c>
    </row>
    <row r="588" spans="1:15" x14ac:dyDescent="0.3">
      <c r="A588" s="4" t="s">
        <v>1141</v>
      </c>
      <c r="B588" s="5">
        <v>45739</v>
      </c>
      <c r="C588" s="4" t="s">
        <v>856</v>
      </c>
      <c r="D588" s="4" t="s">
        <v>114</v>
      </c>
      <c r="E588" s="4" t="s">
        <v>15</v>
      </c>
      <c r="F588" s="4" t="s">
        <v>90</v>
      </c>
      <c r="G588" s="4" t="s">
        <v>40</v>
      </c>
      <c r="H588" s="4" t="s">
        <v>41</v>
      </c>
      <c r="I588" s="6">
        <v>4</v>
      </c>
      <c r="J588" s="6">
        <v>14688</v>
      </c>
      <c r="K588" s="6">
        <v>11965.56</v>
      </c>
      <c r="L588" s="6">
        <v>2722.44</v>
      </c>
      <c r="M588" s="11">
        <f>Table13[[#This Row],[Profit]]/Table13[[#This Row],[Sales]]</f>
        <v>0.18535130718954249</v>
      </c>
      <c r="N588" s="6" t="str">
        <f>TEXT(Table13[[#This Row],[Order Date]],"mmm")</f>
        <v>Mar</v>
      </c>
      <c r="O588" s="6">
        <f>YEAR(Table13[[#This Row],[Order Date]])</f>
        <v>2025</v>
      </c>
    </row>
    <row r="589" spans="1:15" x14ac:dyDescent="0.3">
      <c r="A589" s="4" t="s">
        <v>1142</v>
      </c>
      <c r="B589" s="5">
        <v>45373</v>
      </c>
      <c r="C589" s="4" t="s">
        <v>95</v>
      </c>
      <c r="D589" s="4" t="s">
        <v>89</v>
      </c>
      <c r="E589" s="4" t="s">
        <v>29</v>
      </c>
      <c r="F589" s="4" t="s">
        <v>30</v>
      </c>
      <c r="G589" s="4" t="s">
        <v>17</v>
      </c>
      <c r="H589" s="4" t="s">
        <v>18</v>
      </c>
      <c r="I589" s="6">
        <v>7</v>
      </c>
      <c r="J589" s="6">
        <v>23793</v>
      </c>
      <c r="K589" s="6">
        <v>14660.72</v>
      </c>
      <c r="L589" s="6">
        <v>9132.2800000000007</v>
      </c>
      <c r="M589" s="11">
        <f>Table13[[#This Row],[Profit]]/Table13[[#This Row],[Sales]]</f>
        <v>0.38382213255999664</v>
      </c>
      <c r="N589" s="6" t="str">
        <f>TEXT(Table13[[#This Row],[Order Date]],"mmm")</f>
        <v>Mar</v>
      </c>
      <c r="O589" s="6">
        <f>YEAR(Table13[[#This Row],[Order Date]])</f>
        <v>2024</v>
      </c>
    </row>
    <row r="590" spans="1:15" x14ac:dyDescent="0.3">
      <c r="A590" s="4" t="s">
        <v>1143</v>
      </c>
      <c r="B590" s="5">
        <v>45362</v>
      </c>
      <c r="C590" s="4" t="s">
        <v>565</v>
      </c>
      <c r="D590" s="4" t="s">
        <v>659</v>
      </c>
      <c r="E590" s="4" t="s">
        <v>54</v>
      </c>
      <c r="F590" s="4" t="s">
        <v>55</v>
      </c>
      <c r="G590" s="4" t="s">
        <v>17</v>
      </c>
      <c r="H590" s="4" t="s">
        <v>31</v>
      </c>
      <c r="I590" s="6">
        <v>9</v>
      </c>
      <c r="J590" s="6">
        <v>22518</v>
      </c>
      <c r="K590" s="6">
        <v>15174.23</v>
      </c>
      <c r="L590" s="6">
        <v>7343.77</v>
      </c>
      <c r="M590" s="11">
        <f>Table13[[#This Row],[Profit]]/Table13[[#This Row],[Sales]]</f>
        <v>0.32612887467803536</v>
      </c>
      <c r="N590" s="6" t="str">
        <f>TEXT(Table13[[#This Row],[Order Date]],"mmm")</f>
        <v>Mar</v>
      </c>
      <c r="O590" s="6">
        <f>YEAR(Table13[[#This Row],[Order Date]])</f>
        <v>2024</v>
      </c>
    </row>
    <row r="591" spans="1:15" x14ac:dyDescent="0.3">
      <c r="A591" s="4" t="s">
        <v>1144</v>
      </c>
      <c r="B591" s="5">
        <v>45929</v>
      </c>
      <c r="C591" s="4" t="s">
        <v>737</v>
      </c>
      <c r="D591" s="4" t="s">
        <v>1145</v>
      </c>
      <c r="E591" s="4" t="s">
        <v>54</v>
      </c>
      <c r="F591" s="4" t="s">
        <v>142</v>
      </c>
      <c r="G591" s="4" t="s">
        <v>17</v>
      </c>
      <c r="H591" s="4" t="s">
        <v>31</v>
      </c>
      <c r="I591" s="6">
        <v>8</v>
      </c>
      <c r="J591" s="6">
        <v>32072</v>
      </c>
      <c r="K591" s="6">
        <v>20257.97</v>
      </c>
      <c r="L591" s="6">
        <v>11814.03</v>
      </c>
      <c r="M591" s="11">
        <f>Table13[[#This Row],[Profit]]/Table13[[#This Row],[Sales]]</f>
        <v>0.36835962833624347</v>
      </c>
      <c r="N591" s="6" t="str">
        <f>TEXT(Table13[[#This Row],[Order Date]],"mmm")</f>
        <v>Sep</v>
      </c>
      <c r="O591" s="6">
        <f>YEAR(Table13[[#This Row],[Order Date]])</f>
        <v>2025</v>
      </c>
    </row>
    <row r="592" spans="1:15" x14ac:dyDescent="0.3">
      <c r="A592" s="4" t="s">
        <v>1146</v>
      </c>
      <c r="B592" s="5">
        <v>45396</v>
      </c>
      <c r="C592" s="4" t="s">
        <v>938</v>
      </c>
      <c r="D592" s="4" t="s">
        <v>255</v>
      </c>
      <c r="E592" s="4" t="s">
        <v>54</v>
      </c>
      <c r="F592" s="4" t="s">
        <v>142</v>
      </c>
      <c r="G592" s="4" t="s">
        <v>24</v>
      </c>
      <c r="H592" s="4" t="s">
        <v>166</v>
      </c>
      <c r="I592" s="6">
        <v>1</v>
      </c>
      <c r="J592" s="6">
        <v>4682</v>
      </c>
      <c r="K592" s="6">
        <v>2606.19</v>
      </c>
      <c r="L592" s="6">
        <v>2075.81</v>
      </c>
      <c r="M592" s="11">
        <f>Table13[[#This Row],[Profit]]/Table13[[#This Row],[Sales]]</f>
        <v>0.4433596753524135</v>
      </c>
      <c r="N592" s="6" t="str">
        <f>TEXT(Table13[[#This Row],[Order Date]],"mmm")</f>
        <v>Apr</v>
      </c>
      <c r="O592" s="6">
        <f>YEAR(Table13[[#This Row],[Order Date]])</f>
        <v>2024</v>
      </c>
    </row>
    <row r="593" spans="1:15" x14ac:dyDescent="0.3">
      <c r="A593" s="4" t="s">
        <v>1147</v>
      </c>
      <c r="B593" s="5">
        <v>45307</v>
      </c>
      <c r="C593" s="4" t="s">
        <v>843</v>
      </c>
      <c r="D593" s="4" t="s">
        <v>647</v>
      </c>
      <c r="E593" s="4" t="s">
        <v>29</v>
      </c>
      <c r="F593" s="4" t="s">
        <v>30</v>
      </c>
      <c r="G593" s="4" t="s">
        <v>35</v>
      </c>
      <c r="H593" s="4" t="s">
        <v>80</v>
      </c>
      <c r="I593" s="6">
        <v>1</v>
      </c>
      <c r="J593" s="6">
        <v>2207</v>
      </c>
      <c r="K593" s="6">
        <v>1273.57</v>
      </c>
      <c r="L593" s="6">
        <v>933.43</v>
      </c>
      <c r="M593" s="11">
        <f>Table13[[#This Row],[Profit]]/Table13[[#This Row],[Sales]]</f>
        <v>0.42294064340734028</v>
      </c>
      <c r="N593" s="6" t="str">
        <f>TEXT(Table13[[#This Row],[Order Date]],"mmm")</f>
        <v>Jan</v>
      </c>
      <c r="O593" s="6">
        <f>YEAR(Table13[[#This Row],[Order Date]])</f>
        <v>2024</v>
      </c>
    </row>
    <row r="594" spans="1:15" x14ac:dyDescent="0.3">
      <c r="A594" s="4" t="s">
        <v>1148</v>
      </c>
      <c r="B594" s="5">
        <v>45324</v>
      </c>
      <c r="C594" s="4" t="s">
        <v>104</v>
      </c>
      <c r="D594" s="4" t="s">
        <v>215</v>
      </c>
      <c r="E594" s="4" t="s">
        <v>54</v>
      </c>
      <c r="F594" s="4" t="s">
        <v>55</v>
      </c>
      <c r="G594" s="4" t="s">
        <v>40</v>
      </c>
      <c r="H594" s="4" t="s">
        <v>99</v>
      </c>
      <c r="I594" s="6">
        <v>8</v>
      </c>
      <c r="J594" s="6">
        <v>26736</v>
      </c>
      <c r="K594" s="6">
        <v>18423.919999999998</v>
      </c>
      <c r="L594" s="6">
        <v>8312.08</v>
      </c>
      <c r="M594" s="11">
        <f>Table13[[#This Row],[Profit]]/Table13[[#This Row],[Sales]]</f>
        <v>0.31089467384799518</v>
      </c>
      <c r="N594" s="6" t="str">
        <f>TEXT(Table13[[#This Row],[Order Date]],"mmm")</f>
        <v>Feb</v>
      </c>
      <c r="O594" s="6">
        <f>YEAR(Table13[[#This Row],[Order Date]])</f>
        <v>2024</v>
      </c>
    </row>
    <row r="595" spans="1:15" x14ac:dyDescent="0.3">
      <c r="A595" s="4" t="s">
        <v>1149</v>
      </c>
      <c r="B595" s="5">
        <v>45477</v>
      </c>
      <c r="C595" s="4" t="s">
        <v>1150</v>
      </c>
      <c r="D595" s="4" t="s">
        <v>1151</v>
      </c>
      <c r="E595" s="4" t="s">
        <v>29</v>
      </c>
      <c r="F595" s="4" t="s">
        <v>102</v>
      </c>
      <c r="G595" s="4" t="s">
        <v>40</v>
      </c>
      <c r="H595" s="4" t="s">
        <v>99</v>
      </c>
      <c r="I595" s="6">
        <v>7</v>
      </c>
      <c r="J595" s="6">
        <v>6188</v>
      </c>
      <c r="K595" s="6">
        <v>4411.78</v>
      </c>
      <c r="L595" s="6">
        <v>1776.22</v>
      </c>
      <c r="M595" s="11">
        <f>Table13[[#This Row],[Profit]]/Table13[[#This Row],[Sales]]</f>
        <v>0.2870426632191338</v>
      </c>
      <c r="N595" s="6" t="str">
        <f>TEXT(Table13[[#This Row],[Order Date]],"mmm")</f>
        <v>Jul</v>
      </c>
      <c r="O595" s="6">
        <f>YEAR(Table13[[#This Row],[Order Date]])</f>
        <v>2024</v>
      </c>
    </row>
    <row r="596" spans="1:15" x14ac:dyDescent="0.3">
      <c r="A596" s="4" t="s">
        <v>1152</v>
      </c>
      <c r="B596" s="5">
        <v>45745</v>
      </c>
      <c r="C596" s="4" t="s">
        <v>480</v>
      </c>
      <c r="D596" s="4" t="s">
        <v>1153</v>
      </c>
      <c r="E596" s="4" t="s">
        <v>22</v>
      </c>
      <c r="F596" s="4" t="s">
        <v>23</v>
      </c>
      <c r="G596" s="4" t="s">
        <v>24</v>
      </c>
      <c r="H596" s="4" t="s">
        <v>50</v>
      </c>
      <c r="I596" s="6">
        <v>4</v>
      </c>
      <c r="J596" s="6">
        <v>13808</v>
      </c>
      <c r="K596" s="6">
        <v>10789.12</v>
      </c>
      <c r="L596" s="6">
        <v>3018.88</v>
      </c>
      <c r="M596" s="11">
        <f>Table13[[#This Row],[Profit]]/Table13[[#This Row],[Sales]]</f>
        <v>0.21863267670915412</v>
      </c>
      <c r="N596" s="6" t="str">
        <f>TEXT(Table13[[#This Row],[Order Date]],"mmm")</f>
        <v>Mar</v>
      </c>
      <c r="O596" s="6">
        <f>YEAR(Table13[[#This Row],[Order Date]])</f>
        <v>2025</v>
      </c>
    </row>
    <row r="597" spans="1:15" x14ac:dyDescent="0.3">
      <c r="A597" s="4" t="s">
        <v>1154</v>
      </c>
      <c r="B597" s="5">
        <v>45505</v>
      </c>
      <c r="C597" s="4" t="s">
        <v>1001</v>
      </c>
      <c r="D597" s="4" t="s">
        <v>1016</v>
      </c>
      <c r="E597" s="4" t="s">
        <v>29</v>
      </c>
      <c r="F597" s="4" t="s">
        <v>49</v>
      </c>
      <c r="G597" s="4" t="s">
        <v>17</v>
      </c>
      <c r="H597" s="4" t="s">
        <v>18</v>
      </c>
      <c r="I597" s="6">
        <v>2</v>
      </c>
      <c r="J597" s="6">
        <v>9138</v>
      </c>
      <c r="K597" s="6">
        <v>6851.69</v>
      </c>
      <c r="L597" s="6">
        <v>2286.31</v>
      </c>
      <c r="M597" s="11">
        <f>Table13[[#This Row],[Profit]]/Table13[[#This Row],[Sales]]</f>
        <v>0.25019807397680016</v>
      </c>
      <c r="N597" s="6" t="str">
        <f>TEXT(Table13[[#This Row],[Order Date]],"mmm")</f>
        <v>Aug</v>
      </c>
      <c r="O597" s="6">
        <f>YEAR(Table13[[#This Row],[Order Date]])</f>
        <v>2024</v>
      </c>
    </row>
    <row r="598" spans="1:15" x14ac:dyDescent="0.3">
      <c r="A598" s="4" t="s">
        <v>1155</v>
      </c>
      <c r="B598" s="5">
        <v>45551</v>
      </c>
      <c r="C598" s="4" t="s">
        <v>1156</v>
      </c>
      <c r="D598" s="4" t="s">
        <v>577</v>
      </c>
      <c r="E598" s="4" t="s">
        <v>54</v>
      </c>
      <c r="F598" s="4" t="s">
        <v>55</v>
      </c>
      <c r="G598" s="4" t="s">
        <v>24</v>
      </c>
      <c r="H598" s="4" t="s">
        <v>166</v>
      </c>
      <c r="I598" s="6">
        <v>1</v>
      </c>
      <c r="J598" s="6">
        <v>4802</v>
      </c>
      <c r="K598" s="6">
        <v>3391.55</v>
      </c>
      <c r="L598" s="6">
        <v>1410.45</v>
      </c>
      <c r="M598" s="11">
        <f>Table13[[#This Row],[Profit]]/Table13[[#This Row],[Sales]]</f>
        <v>0.29372136609745941</v>
      </c>
      <c r="N598" s="6" t="str">
        <f>TEXT(Table13[[#This Row],[Order Date]],"mmm")</f>
        <v>Sep</v>
      </c>
      <c r="O598" s="6">
        <f>YEAR(Table13[[#This Row],[Order Date]])</f>
        <v>2024</v>
      </c>
    </row>
    <row r="599" spans="1:15" x14ac:dyDescent="0.3">
      <c r="A599" s="4" t="s">
        <v>1157</v>
      </c>
      <c r="B599" s="5">
        <v>45736</v>
      </c>
      <c r="C599" s="4" t="s">
        <v>441</v>
      </c>
      <c r="D599" s="4" t="s">
        <v>404</v>
      </c>
      <c r="E599" s="4" t="s">
        <v>29</v>
      </c>
      <c r="F599" s="4" t="s">
        <v>49</v>
      </c>
      <c r="G599" s="4" t="s">
        <v>24</v>
      </c>
      <c r="H599" s="4" t="s">
        <v>25</v>
      </c>
      <c r="I599" s="6">
        <v>4</v>
      </c>
      <c r="J599" s="6">
        <v>4900</v>
      </c>
      <c r="K599" s="6">
        <v>3041.87</v>
      </c>
      <c r="L599" s="6">
        <v>1858.13</v>
      </c>
      <c r="M599" s="11">
        <f>Table13[[#This Row],[Profit]]/Table13[[#This Row],[Sales]]</f>
        <v>0.3792102040816327</v>
      </c>
      <c r="N599" s="6" t="str">
        <f>TEXT(Table13[[#This Row],[Order Date]],"mmm")</f>
        <v>Mar</v>
      </c>
      <c r="O599" s="6">
        <f>YEAR(Table13[[#This Row],[Order Date]])</f>
        <v>2025</v>
      </c>
    </row>
    <row r="600" spans="1:15" x14ac:dyDescent="0.3">
      <c r="A600" s="4" t="s">
        <v>1158</v>
      </c>
      <c r="B600" s="5">
        <v>45301</v>
      </c>
      <c r="C600" s="4" t="s">
        <v>573</v>
      </c>
      <c r="D600" s="4" t="s">
        <v>571</v>
      </c>
      <c r="E600" s="4" t="s">
        <v>29</v>
      </c>
      <c r="F600" s="4" t="s">
        <v>49</v>
      </c>
      <c r="G600" s="4" t="s">
        <v>17</v>
      </c>
      <c r="H600" s="4" t="s">
        <v>72</v>
      </c>
      <c r="I600" s="6">
        <v>2</v>
      </c>
      <c r="J600" s="6">
        <v>7084</v>
      </c>
      <c r="K600" s="6">
        <v>5573.29</v>
      </c>
      <c r="L600" s="6">
        <v>1510.71</v>
      </c>
      <c r="M600" s="11">
        <f>Table13[[#This Row],[Profit]]/Table13[[#This Row],[Sales]]</f>
        <v>0.21325663466967815</v>
      </c>
      <c r="N600" s="6" t="str">
        <f>TEXT(Table13[[#This Row],[Order Date]],"mmm")</f>
        <v>Jan</v>
      </c>
      <c r="O600" s="6">
        <f>YEAR(Table13[[#This Row],[Order Date]])</f>
        <v>2024</v>
      </c>
    </row>
    <row r="601" spans="1:15" x14ac:dyDescent="0.3">
      <c r="A601" s="4" t="s">
        <v>1159</v>
      </c>
      <c r="B601" s="5">
        <v>45546</v>
      </c>
      <c r="C601" s="4" t="s">
        <v>129</v>
      </c>
      <c r="D601" s="4" t="s">
        <v>691</v>
      </c>
      <c r="E601" s="4" t="s">
        <v>22</v>
      </c>
      <c r="F601" s="4" t="s">
        <v>79</v>
      </c>
      <c r="G601" s="4" t="s">
        <v>17</v>
      </c>
      <c r="H601" s="4" t="s">
        <v>72</v>
      </c>
      <c r="I601" s="6">
        <v>3</v>
      </c>
      <c r="J601" s="6">
        <v>10026</v>
      </c>
      <c r="K601" s="6">
        <v>7832.7</v>
      </c>
      <c r="L601" s="6">
        <v>2193.3000000000002</v>
      </c>
      <c r="M601" s="11">
        <f>Table13[[#This Row],[Profit]]/Table13[[#This Row],[Sales]]</f>
        <v>0.21876122082585281</v>
      </c>
      <c r="N601" s="6" t="str">
        <f>TEXT(Table13[[#This Row],[Order Date]],"mmm")</f>
        <v>Sep</v>
      </c>
      <c r="O601" s="6">
        <f>YEAR(Table13[[#This Row],[Order Date]])</f>
        <v>2024</v>
      </c>
    </row>
    <row r="602" spans="1:15" x14ac:dyDescent="0.3">
      <c r="A602" s="4" t="s">
        <v>1160</v>
      </c>
      <c r="B602" s="5">
        <v>45952</v>
      </c>
      <c r="C602" s="4" t="s">
        <v>251</v>
      </c>
      <c r="D602" s="4" t="s">
        <v>78</v>
      </c>
      <c r="E602" s="4" t="s">
        <v>15</v>
      </c>
      <c r="F602" s="4" t="s">
        <v>90</v>
      </c>
      <c r="G602" s="4" t="s">
        <v>17</v>
      </c>
      <c r="H602" s="4" t="s">
        <v>72</v>
      </c>
      <c r="I602" s="6">
        <v>6</v>
      </c>
      <c r="J602" s="6">
        <v>4746</v>
      </c>
      <c r="K602" s="6">
        <v>2695.41</v>
      </c>
      <c r="L602" s="6">
        <v>2050.59</v>
      </c>
      <c r="M602" s="11">
        <f>Table13[[#This Row],[Profit]]/Table13[[#This Row],[Sales]]</f>
        <v>0.43206700379266755</v>
      </c>
      <c r="N602" s="6" t="str">
        <f>TEXT(Table13[[#This Row],[Order Date]],"mmm")</f>
        <v>Oct</v>
      </c>
      <c r="O602" s="6">
        <f>YEAR(Table13[[#This Row],[Order Date]])</f>
        <v>2025</v>
      </c>
    </row>
    <row r="603" spans="1:15" x14ac:dyDescent="0.3">
      <c r="A603" s="4" t="s">
        <v>1161</v>
      </c>
      <c r="B603" s="5">
        <v>45952</v>
      </c>
      <c r="C603" s="4" t="s">
        <v>618</v>
      </c>
      <c r="D603" s="4" t="s">
        <v>481</v>
      </c>
      <c r="E603" s="4" t="s">
        <v>15</v>
      </c>
      <c r="F603" s="4" t="s">
        <v>16</v>
      </c>
      <c r="G603" s="4" t="s">
        <v>35</v>
      </c>
      <c r="H603" s="4" t="s">
        <v>80</v>
      </c>
      <c r="I603" s="6">
        <v>4</v>
      </c>
      <c r="J603" s="6">
        <v>11576</v>
      </c>
      <c r="K603" s="6">
        <v>9775.9599999999991</v>
      </c>
      <c r="L603" s="6">
        <v>1800.04</v>
      </c>
      <c r="M603" s="11">
        <f>Table13[[#This Row],[Profit]]/Table13[[#This Row],[Sales]]</f>
        <v>0.15549758120248791</v>
      </c>
      <c r="N603" s="6" t="str">
        <f>TEXT(Table13[[#This Row],[Order Date]],"mmm")</f>
        <v>Oct</v>
      </c>
      <c r="O603" s="6">
        <f>YEAR(Table13[[#This Row],[Order Date]])</f>
        <v>2025</v>
      </c>
    </row>
    <row r="604" spans="1:15" x14ac:dyDescent="0.3">
      <c r="A604" s="4" t="s">
        <v>1162</v>
      </c>
      <c r="B604" s="5">
        <v>45548</v>
      </c>
      <c r="C604" s="4" t="s">
        <v>680</v>
      </c>
      <c r="D604" s="4" t="s">
        <v>1163</v>
      </c>
      <c r="E604" s="4" t="s">
        <v>29</v>
      </c>
      <c r="F604" s="4" t="s">
        <v>102</v>
      </c>
      <c r="G604" s="4" t="s">
        <v>17</v>
      </c>
      <c r="H604" s="4" t="s">
        <v>18</v>
      </c>
      <c r="I604" s="6">
        <v>7</v>
      </c>
      <c r="J604" s="6">
        <v>22638</v>
      </c>
      <c r="K604" s="6">
        <v>17370.580000000002</v>
      </c>
      <c r="L604" s="6">
        <v>5267.42</v>
      </c>
      <c r="M604" s="11">
        <f>Table13[[#This Row],[Profit]]/Table13[[#This Row],[Sales]]</f>
        <v>0.23268044880289779</v>
      </c>
      <c r="N604" s="6" t="str">
        <f>TEXT(Table13[[#This Row],[Order Date]],"mmm")</f>
        <v>Sep</v>
      </c>
      <c r="O604" s="6">
        <f>YEAR(Table13[[#This Row],[Order Date]])</f>
        <v>2024</v>
      </c>
    </row>
    <row r="605" spans="1:15" x14ac:dyDescent="0.3">
      <c r="A605" s="4" t="s">
        <v>1164</v>
      </c>
      <c r="B605" s="5">
        <v>45483</v>
      </c>
      <c r="C605" s="4" t="s">
        <v>616</v>
      </c>
      <c r="D605" s="4" t="s">
        <v>1165</v>
      </c>
      <c r="E605" s="4" t="s">
        <v>22</v>
      </c>
      <c r="F605" s="4" t="s">
        <v>79</v>
      </c>
      <c r="G605" s="4" t="s">
        <v>40</v>
      </c>
      <c r="H605" s="4" t="s">
        <v>99</v>
      </c>
      <c r="I605" s="6">
        <v>9</v>
      </c>
      <c r="J605" s="6">
        <v>38826</v>
      </c>
      <c r="K605" s="6">
        <v>23564.77</v>
      </c>
      <c r="L605" s="6">
        <v>15261.23</v>
      </c>
      <c r="M605" s="11">
        <f>Table13[[#This Row],[Profit]]/Table13[[#This Row],[Sales]]</f>
        <v>0.39306727450677381</v>
      </c>
      <c r="N605" s="6" t="str">
        <f>TEXT(Table13[[#This Row],[Order Date]],"mmm")</f>
        <v>Jul</v>
      </c>
      <c r="O605" s="6">
        <f>YEAR(Table13[[#This Row],[Order Date]])</f>
        <v>2024</v>
      </c>
    </row>
    <row r="606" spans="1:15" x14ac:dyDescent="0.3">
      <c r="A606" s="4" t="s">
        <v>1166</v>
      </c>
      <c r="B606" s="5">
        <v>45835</v>
      </c>
      <c r="C606" s="4" t="s">
        <v>349</v>
      </c>
      <c r="D606" s="4" t="s">
        <v>563</v>
      </c>
      <c r="E606" s="4" t="s">
        <v>54</v>
      </c>
      <c r="F606" s="4" t="s">
        <v>71</v>
      </c>
      <c r="G606" s="4" t="s">
        <v>35</v>
      </c>
      <c r="H606" s="4" t="s">
        <v>80</v>
      </c>
      <c r="I606" s="6">
        <v>5</v>
      </c>
      <c r="J606" s="6">
        <v>24210</v>
      </c>
      <c r="K606" s="6">
        <v>14480.07</v>
      </c>
      <c r="L606" s="6">
        <v>9729.93</v>
      </c>
      <c r="M606" s="11">
        <f>Table13[[#This Row],[Profit]]/Table13[[#This Row],[Sales]]</f>
        <v>0.40189714993804215</v>
      </c>
      <c r="N606" s="6" t="str">
        <f>TEXT(Table13[[#This Row],[Order Date]],"mmm")</f>
        <v>Jun</v>
      </c>
      <c r="O606" s="6">
        <f>YEAR(Table13[[#This Row],[Order Date]])</f>
        <v>2025</v>
      </c>
    </row>
    <row r="607" spans="1:15" x14ac:dyDescent="0.3">
      <c r="A607" s="4" t="s">
        <v>1167</v>
      </c>
      <c r="B607" s="5">
        <v>45945</v>
      </c>
      <c r="C607" s="4" t="s">
        <v>495</v>
      </c>
      <c r="D607" s="4" t="s">
        <v>258</v>
      </c>
      <c r="E607" s="4" t="s">
        <v>54</v>
      </c>
      <c r="F607" s="4" t="s">
        <v>55</v>
      </c>
      <c r="G607" s="4" t="s">
        <v>35</v>
      </c>
      <c r="H607" s="4" t="s">
        <v>45</v>
      </c>
      <c r="I607" s="6">
        <v>6</v>
      </c>
      <c r="J607" s="6">
        <v>24114</v>
      </c>
      <c r="K607" s="6">
        <v>13267.91</v>
      </c>
      <c r="L607" s="6">
        <v>10846.09</v>
      </c>
      <c r="M607" s="11">
        <f>Table13[[#This Row],[Profit]]/Table13[[#This Row],[Sales]]</f>
        <v>0.44978394293771251</v>
      </c>
      <c r="N607" s="6" t="str">
        <f>TEXT(Table13[[#This Row],[Order Date]],"mmm")</f>
        <v>Oct</v>
      </c>
      <c r="O607" s="6">
        <f>YEAR(Table13[[#This Row],[Order Date]])</f>
        <v>2025</v>
      </c>
    </row>
    <row r="608" spans="1:15" x14ac:dyDescent="0.3">
      <c r="A608" s="4" t="s">
        <v>1168</v>
      </c>
      <c r="B608" s="5">
        <v>45356</v>
      </c>
      <c r="C608" s="4" t="s">
        <v>140</v>
      </c>
      <c r="D608" s="4" t="s">
        <v>944</v>
      </c>
      <c r="E608" s="4" t="s">
        <v>29</v>
      </c>
      <c r="F608" s="4" t="s">
        <v>102</v>
      </c>
      <c r="G608" s="4" t="s">
        <v>17</v>
      </c>
      <c r="H608" s="4" t="s">
        <v>72</v>
      </c>
      <c r="I608" s="6">
        <v>6</v>
      </c>
      <c r="J608" s="6">
        <v>13536</v>
      </c>
      <c r="K608" s="6">
        <v>8747.07</v>
      </c>
      <c r="L608" s="6">
        <v>4788.93</v>
      </c>
      <c r="M608" s="11">
        <f>Table13[[#This Row],[Profit]]/Table13[[#This Row],[Sales]]</f>
        <v>0.35379210992907806</v>
      </c>
      <c r="N608" s="6" t="str">
        <f>TEXT(Table13[[#This Row],[Order Date]],"mmm")</f>
        <v>Mar</v>
      </c>
      <c r="O608" s="6">
        <f>YEAR(Table13[[#This Row],[Order Date]])</f>
        <v>2024</v>
      </c>
    </row>
    <row r="609" spans="1:15" x14ac:dyDescent="0.3">
      <c r="A609" s="4" t="s">
        <v>1169</v>
      </c>
      <c r="B609" s="5">
        <v>45581</v>
      </c>
      <c r="C609" s="4" t="s">
        <v>1170</v>
      </c>
      <c r="D609" s="4" t="s">
        <v>484</v>
      </c>
      <c r="E609" s="4" t="s">
        <v>29</v>
      </c>
      <c r="F609" s="4" t="s">
        <v>30</v>
      </c>
      <c r="G609" s="4" t="s">
        <v>17</v>
      </c>
      <c r="H609" s="4" t="s">
        <v>31</v>
      </c>
      <c r="I609" s="6">
        <v>8</v>
      </c>
      <c r="J609" s="6">
        <v>38536</v>
      </c>
      <c r="K609" s="6">
        <v>22976.68</v>
      </c>
      <c r="L609" s="6">
        <v>15559.32</v>
      </c>
      <c r="M609" s="11">
        <f>Table13[[#This Row],[Profit]]/Table13[[#This Row],[Sales]]</f>
        <v>0.40376063940211748</v>
      </c>
      <c r="N609" s="6" t="str">
        <f>TEXT(Table13[[#This Row],[Order Date]],"mmm")</f>
        <v>Oct</v>
      </c>
      <c r="O609" s="6">
        <f>YEAR(Table13[[#This Row],[Order Date]])</f>
        <v>2024</v>
      </c>
    </row>
    <row r="610" spans="1:15" x14ac:dyDescent="0.3">
      <c r="A610" s="4" t="s">
        <v>1171</v>
      </c>
      <c r="B610" s="5">
        <v>45424</v>
      </c>
      <c r="C610" s="4" t="s">
        <v>710</v>
      </c>
      <c r="D610" s="4" t="s">
        <v>1110</v>
      </c>
      <c r="E610" s="4" t="s">
        <v>54</v>
      </c>
      <c r="F610" s="4" t="s">
        <v>142</v>
      </c>
      <c r="G610" s="4" t="s">
        <v>24</v>
      </c>
      <c r="H610" s="4" t="s">
        <v>50</v>
      </c>
      <c r="I610" s="6">
        <v>9</v>
      </c>
      <c r="J610" s="6">
        <v>7614</v>
      </c>
      <c r="K610" s="6">
        <v>4287.7</v>
      </c>
      <c r="L610" s="6">
        <v>3326.3</v>
      </c>
      <c r="M610" s="11">
        <f>Table13[[#This Row],[Profit]]/Table13[[#This Row],[Sales]]</f>
        <v>0.43686629892303652</v>
      </c>
      <c r="N610" s="6" t="str">
        <f>TEXT(Table13[[#This Row],[Order Date]],"mmm")</f>
        <v>May</v>
      </c>
      <c r="O610" s="6">
        <f>YEAR(Table13[[#This Row],[Order Date]])</f>
        <v>2024</v>
      </c>
    </row>
    <row r="611" spans="1:15" x14ac:dyDescent="0.3">
      <c r="A611" s="4" t="s">
        <v>1172</v>
      </c>
      <c r="B611" s="5">
        <v>45949</v>
      </c>
      <c r="C611" s="4" t="s">
        <v>483</v>
      </c>
      <c r="D611" s="4" t="s">
        <v>762</v>
      </c>
      <c r="E611" s="4" t="s">
        <v>29</v>
      </c>
      <c r="F611" s="4" t="s">
        <v>102</v>
      </c>
      <c r="G611" s="4" t="s">
        <v>35</v>
      </c>
      <c r="H611" s="4" t="s">
        <v>80</v>
      </c>
      <c r="I611" s="6">
        <v>4</v>
      </c>
      <c r="J611" s="6">
        <v>4432</v>
      </c>
      <c r="K611" s="6">
        <v>2479.9</v>
      </c>
      <c r="L611" s="6">
        <v>1952.1</v>
      </c>
      <c r="M611" s="11">
        <f>Table13[[#This Row],[Profit]]/Table13[[#This Row],[Sales]]</f>
        <v>0.44045577617328519</v>
      </c>
      <c r="N611" s="6" t="str">
        <f>TEXT(Table13[[#This Row],[Order Date]],"mmm")</f>
        <v>Oct</v>
      </c>
      <c r="O611" s="6">
        <f>YEAR(Table13[[#This Row],[Order Date]])</f>
        <v>2025</v>
      </c>
    </row>
    <row r="612" spans="1:15" x14ac:dyDescent="0.3">
      <c r="A612" s="4" t="s">
        <v>1173</v>
      </c>
      <c r="B612" s="5">
        <v>45505</v>
      </c>
      <c r="C612" s="4" t="s">
        <v>737</v>
      </c>
      <c r="D612" s="4" t="s">
        <v>539</v>
      </c>
      <c r="E612" s="4" t="s">
        <v>54</v>
      </c>
      <c r="F612" s="4" t="s">
        <v>142</v>
      </c>
      <c r="G612" s="4" t="s">
        <v>40</v>
      </c>
      <c r="H612" s="4" t="s">
        <v>41</v>
      </c>
      <c r="I612" s="6">
        <v>4</v>
      </c>
      <c r="J612" s="6">
        <v>3520</v>
      </c>
      <c r="K612" s="6">
        <v>1949.82</v>
      </c>
      <c r="L612" s="6">
        <v>1570.18</v>
      </c>
      <c r="M612" s="11">
        <f>Table13[[#This Row],[Profit]]/Table13[[#This Row],[Sales]]</f>
        <v>0.44607386363636364</v>
      </c>
      <c r="N612" s="6" t="str">
        <f>TEXT(Table13[[#This Row],[Order Date]],"mmm")</f>
        <v>Aug</v>
      </c>
      <c r="O612" s="6">
        <f>YEAR(Table13[[#This Row],[Order Date]])</f>
        <v>2024</v>
      </c>
    </row>
    <row r="613" spans="1:15" x14ac:dyDescent="0.3">
      <c r="A613" s="4" t="s">
        <v>1174</v>
      </c>
      <c r="B613" s="5">
        <v>45717</v>
      </c>
      <c r="C613" s="4" t="s">
        <v>269</v>
      </c>
      <c r="D613" s="4" t="s">
        <v>130</v>
      </c>
      <c r="E613" s="4" t="s">
        <v>22</v>
      </c>
      <c r="F613" s="4" t="s">
        <v>79</v>
      </c>
      <c r="G613" s="4" t="s">
        <v>24</v>
      </c>
      <c r="H613" s="4" t="s">
        <v>25</v>
      </c>
      <c r="I613" s="6">
        <v>6</v>
      </c>
      <c r="J613" s="6">
        <v>29226</v>
      </c>
      <c r="K613" s="6">
        <v>22592.959999999999</v>
      </c>
      <c r="L613" s="6">
        <v>6633.04</v>
      </c>
      <c r="M613" s="11">
        <f>Table13[[#This Row],[Profit]]/Table13[[#This Row],[Sales]]</f>
        <v>0.22695681927051256</v>
      </c>
      <c r="N613" s="6" t="str">
        <f>TEXT(Table13[[#This Row],[Order Date]],"mmm")</f>
        <v>Mar</v>
      </c>
      <c r="O613" s="6">
        <f>YEAR(Table13[[#This Row],[Order Date]])</f>
        <v>2025</v>
      </c>
    </row>
    <row r="614" spans="1:15" x14ac:dyDescent="0.3">
      <c r="A614" s="4" t="s">
        <v>1175</v>
      </c>
      <c r="B614" s="5">
        <v>45513</v>
      </c>
      <c r="C614" s="4" t="s">
        <v>1112</v>
      </c>
      <c r="D614" s="4" t="s">
        <v>425</v>
      </c>
      <c r="E614" s="4" t="s">
        <v>54</v>
      </c>
      <c r="F614" s="4" t="s">
        <v>71</v>
      </c>
      <c r="G614" s="4" t="s">
        <v>24</v>
      </c>
      <c r="H614" s="4" t="s">
        <v>25</v>
      </c>
      <c r="I614" s="6">
        <v>2</v>
      </c>
      <c r="J614" s="6">
        <v>5578</v>
      </c>
      <c r="K614" s="6">
        <v>3198.32</v>
      </c>
      <c r="L614" s="6">
        <v>2379.6799999999998</v>
      </c>
      <c r="M614" s="11">
        <f>Table13[[#This Row],[Profit]]/Table13[[#This Row],[Sales]]</f>
        <v>0.4266188598063822</v>
      </c>
      <c r="N614" s="6" t="str">
        <f>TEXT(Table13[[#This Row],[Order Date]],"mmm")</f>
        <v>Aug</v>
      </c>
      <c r="O614" s="6">
        <f>YEAR(Table13[[#This Row],[Order Date]])</f>
        <v>2024</v>
      </c>
    </row>
    <row r="615" spans="1:15" x14ac:dyDescent="0.3">
      <c r="A615" s="4" t="s">
        <v>1176</v>
      </c>
      <c r="B615" s="5">
        <v>45830</v>
      </c>
      <c r="C615" s="4" t="s">
        <v>959</v>
      </c>
      <c r="D615" s="4" t="s">
        <v>989</v>
      </c>
      <c r="E615" s="4" t="s">
        <v>15</v>
      </c>
      <c r="F615" s="4" t="s">
        <v>90</v>
      </c>
      <c r="G615" s="4" t="s">
        <v>40</v>
      </c>
      <c r="H615" s="4" t="s">
        <v>56</v>
      </c>
      <c r="I615" s="6">
        <v>9</v>
      </c>
      <c r="J615" s="6">
        <v>31104</v>
      </c>
      <c r="K615" s="6">
        <v>18875.09</v>
      </c>
      <c r="L615" s="6">
        <v>12228.91</v>
      </c>
      <c r="M615" s="11">
        <f>Table13[[#This Row],[Profit]]/Table13[[#This Row],[Sales]]</f>
        <v>0.39316197273662551</v>
      </c>
      <c r="N615" s="6" t="str">
        <f>TEXT(Table13[[#This Row],[Order Date]],"mmm")</f>
        <v>Jun</v>
      </c>
      <c r="O615" s="6">
        <f>YEAR(Table13[[#This Row],[Order Date]])</f>
        <v>2025</v>
      </c>
    </row>
    <row r="616" spans="1:15" x14ac:dyDescent="0.3">
      <c r="A616" s="4" t="s">
        <v>1177</v>
      </c>
      <c r="B616" s="5">
        <v>45945</v>
      </c>
      <c r="C616" s="4" t="s">
        <v>107</v>
      </c>
      <c r="D616" s="4" t="s">
        <v>359</v>
      </c>
      <c r="E616" s="4" t="s">
        <v>29</v>
      </c>
      <c r="F616" s="4" t="s">
        <v>30</v>
      </c>
      <c r="G616" s="4" t="s">
        <v>17</v>
      </c>
      <c r="H616" s="4" t="s">
        <v>18</v>
      </c>
      <c r="I616" s="6">
        <v>9</v>
      </c>
      <c r="J616" s="6">
        <v>33309</v>
      </c>
      <c r="K616" s="6">
        <v>25775.59</v>
      </c>
      <c r="L616" s="6">
        <v>7533.41</v>
      </c>
      <c r="M616" s="11">
        <f>Table13[[#This Row],[Profit]]/Table13[[#This Row],[Sales]]</f>
        <v>0.22616740220360862</v>
      </c>
      <c r="N616" s="6" t="str">
        <f>TEXT(Table13[[#This Row],[Order Date]],"mmm")</f>
        <v>Oct</v>
      </c>
      <c r="O616" s="6">
        <f>YEAR(Table13[[#This Row],[Order Date]])</f>
        <v>2025</v>
      </c>
    </row>
    <row r="617" spans="1:15" x14ac:dyDescent="0.3">
      <c r="A617" s="4" t="s">
        <v>1178</v>
      </c>
      <c r="B617" s="5">
        <v>45476</v>
      </c>
      <c r="C617" s="4" t="s">
        <v>318</v>
      </c>
      <c r="D617" s="4" t="s">
        <v>839</v>
      </c>
      <c r="E617" s="4" t="s">
        <v>22</v>
      </c>
      <c r="F617" s="4" t="s">
        <v>79</v>
      </c>
      <c r="G617" s="4" t="s">
        <v>17</v>
      </c>
      <c r="H617" s="4" t="s">
        <v>31</v>
      </c>
      <c r="I617" s="6">
        <v>7</v>
      </c>
      <c r="J617" s="6">
        <v>8064</v>
      </c>
      <c r="K617" s="6">
        <v>4838.75</v>
      </c>
      <c r="L617" s="6">
        <v>3225.25</v>
      </c>
      <c r="M617" s="11">
        <f>Table13[[#This Row],[Profit]]/Table13[[#This Row],[Sales]]</f>
        <v>0.39995659722222221</v>
      </c>
      <c r="N617" s="6" t="str">
        <f>TEXT(Table13[[#This Row],[Order Date]],"mmm")</f>
        <v>Jul</v>
      </c>
      <c r="O617" s="6">
        <f>YEAR(Table13[[#This Row],[Order Date]])</f>
        <v>2024</v>
      </c>
    </row>
    <row r="618" spans="1:15" x14ac:dyDescent="0.3">
      <c r="A618" s="4" t="s">
        <v>1179</v>
      </c>
      <c r="B618" s="5">
        <v>45614</v>
      </c>
      <c r="C618" s="4" t="s">
        <v>318</v>
      </c>
      <c r="D618" s="4" t="s">
        <v>1180</v>
      </c>
      <c r="E618" s="4" t="s">
        <v>54</v>
      </c>
      <c r="F618" s="4" t="s">
        <v>71</v>
      </c>
      <c r="G618" s="4" t="s">
        <v>24</v>
      </c>
      <c r="H618" s="4" t="s">
        <v>166</v>
      </c>
      <c r="I618" s="6">
        <v>9</v>
      </c>
      <c r="J618" s="6">
        <v>35361</v>
      </c>
      <c r="K618" s="6">
        <v>29351.61</v>
      </c>
      <c r="L618" s="6">
        <v>6009.39</v>
      </c>
      <c r="M618" s="11">
        <f>Table13[[#This Row],[Profit]]/Table13[[#This Row],[Sales]]</f>
        <v>0.16994400610842456</v>
      </c>
      <c r="N618" s="6" t="str">
        <f>TEXT(Table13[[#This Row],[Order Date]],"mmm")</f>
        <v>Nov</v>
      </c>
      <c r="O618" s="6">
        <f>YEAR(Table13[[#This Row],[Order Date]])</f>
        <v>2024</v>
      </c>
    </row>
    <row r="619" spans="1:15" x14ac:dyDescent="0.3">
      <c r="A619" s="4" t="s">
        <v>1181</v>
      </c>
      <c r="B619" s="5">
        <v>45868</v>
      </c>
      <c r="C619" s="4" t="s">
        <v>13</v>
      </c>
      <c r="D619" s="4" t="s">
        <v>141</v>
      </c>
      <c r="E619" s="4" t="s">
        <v>54</v>
      </c>
      <c r="F619" s="4" t="s">
        <v>55</v>
      </c>
      <c r="G619" s="4" t="s">
        <v>17</v>
      </c>
      <c r="H619" s="4" t="s">
        <v>31</v>
      </c>
      <c r="I619" s="6">
        <v>7</v>
      </c>
      <c r="J619" s="6">
        <v>20643</v>
      </c>
      <c r="K619" s="6">
        <v>15121.49</v>
      </c>
      <c r="L619" s="6">
        <v>5521.51</v>
      </c>
      <c r="M619" s="11">
        <f>Table13[[#This Row],[Profit]]/Table13[[#This Row],[Sales]]</f>
        <v>0.26747614203361914</v>
      </c>
      <c r="N619" s="6" t="str">
        <f>TEXT(Table13[[#This Row],[Order Date]],"mmm")</f>
        <v>Jul</v>
      </c>
      <c r="O619" s="6">
        <f>YEAR(Table13[[#This Row],[Order Date]])</f>
        <v>2025</v>
      </c>
    </row>
    <row r="620" spans="1:15" x14ac:dyDescent="0.3">
      <c r="A620" s="4" t="s">
        <v>1182</v>
      </c>
      <c r="B620" s="5">
        <v>45750</v>
      </c>
      <c r="C620" s="4" t="s">
        <v>242</v>
      </c>
      <c r="D620" s="4" t="s">
        <v>322</v>
      </c>
      <c r="E620" s="4" t="s">
        <v>22</v>
      </c>
      <c r="F620" s="4" t="s">
        <v>79</v>
      </c>
      <c r="G620" s="4" t="s">
        <v>17</v>
      </c>
      <c r="H620" s="4" t="s">
        <v>18</v>
      </c>
      <c r="I620" s="6">
        <v>5</v>
      </c>
      <c r="J620" s="6">
        <v>16245</v>
      </c>
      <c r="K620" s="6">
        <v>13621.36</v>
      </c>
      <c r="L620" s="6">
        <v>2623.64</v>
      </c>
      <c r="M620" s="11">
        <f>Table13[[#This Row],[Profit]]/Table13[[#This Row],[Sales]]</f>
        <v>0.16150446291166512</v>
      </c>
      <c r="N620" s="6" t="str">
        <f>TEXT(Table13[[#This Row],[Order Date]],"mmm")</f>
        <v>Apr</v>
      </c>
      <c r="O620" s="6">
        <f>YEAR(Table13[[#This Row],[Order Date]])</f>
        <v>2025</v>
      </c>
    </row>
    <row r="621" spans="1:15" x14ac:dyDescent="0.3">
      <c r="A621" s="4" t="s">
        <v>1183</v>
      </c>
      <c r="B621" s="5">
        <v>45601</v>
      </c>
      <c r="C621" s="4" t="s">
        <v>435</v>
      </c>
      <c r="D621" s="4" t="s">
        <v>1121</v>
      </c>
      <c r="E621" s="4" t="s">
        <v>15</v>
      </c>
      <c r="F621" s="4" t="s">
        <v>63</v>
      </c>
      <c r="G621" s="4" t="s">
        <v>17</v>
      </c>
      <c r="H621" s="4" t="s">
        <v>72</v>
      </c>
      <c r="I621" s="6">
        <v>1</v>
      </c>
      <c r="J621" s="6">
        <v>4540</v>
      </c>
      <c r="K621" s="6">
        <v>2680.99</v>
      </c>
      <c r="L621" s="6">
        <v>1859.01</v>
      </c>
      <c r="M621" s="11">
        <f>Table13[[#This Row],[Profit]]/Table13[[#This Row],[Sales]]</f>
        <v>0.40947356828193832</v>
      </c>
      <c r="N621" s="6" t="str">
        <f>TEXT(Table13[[#This Row],[Order Date]],"mmm")</f>
        <v>Nov</v>
      </c>
      <c r="O621" s="6">
        <f>YEAR(Table13[[#This Row],[Order Date]])</f>
        <v>2024</v>
      </c>
    </row>
    <row r="622" spans="1:15" x14ac:dyDescent="0.3">
      <c r="A622" s="4" t="s">
        <v>1184</v>
      </c>
      <c r="B622" s="5">
        <v>45815</v>
      </c>
      <c r="C622" s="4" t="s">
        <v>123</v>
      </c>
      <c r="D622" s="4" t="s">
        <v>931</v>
      </c>
      <c r="E622" s="4" t="s">
        <v>29</v>
      </c>
      <c r="F622" s="4" t="s">
        <v>102</v>
      </c>
      <c r="G622" s="4" t="s">
        <v>40</v>
      </c>
      <c r="H622" s="4" t="s">
        <v>41</v>
      </c>
      <c r="I622" s="6">
        <v>1</v>
      </c>
      <c r="J622" s="6">
        <v>2560</v>
      </c>
      <c r="K622" s="6">
        <v>2113.88</v>
      </c>
      <c r="L622" s="6">
        <v>446.12</v>
      </c>
      <c r="M622" s="11">
        <f>Table13[[#This Row],[Profit]]/Table13[[#This Row],[Sales]]</f>
        <v>0.17426562500000001</v>
      </c>
      <c r="N622" s="6" t="str">
        <f>TEXT(Table13[[#This Row],[Order Date]],"mmm")</f>
        <v>Jun</v>
      </c>
      <c r="O622" s="6">
        <f>YEAR(Table13[[#This Row],[Order Date]])</f>
        <v>2025</v>
      </c>
    </row>
    <row r="623" spans="1:15" x14ac:dyDescent="0.3">
      <c r="A623" s="4" t="s">
        <v>1185</v>
      </c>
      <c r="B623" s="5">
        <v>45563</v>
      </c>
      <c r="C623" s="4" t="s">
        <v>591</v>
      </c>
      <c r="D623" s="4" t="s">
        <v>1186</v>
      </c>
      <c r="E623" s="4" t="s">
        <v>29</v>
      </c>
      <c r="F623" s="4" t="s">
        <v>102</v>
      </c>
      <c r="G623" s="4" t="s">
        <v>24</v>
      </c>
      <c r="H623" s="4" t="s">
        <v>25</v>
      </c>
      <c r="I623" s="6">
        <v>8</v>
      </c>
      <c r="J623" s="6">
        <v>25704</v>
      </c>
      <c r="K623" s="6">
        <v>15340.97</v>
      </c>
      <c r="L623" s="6">
        <v>10363.030000000001</v>
      </c>
      <c r="M623" s="11">
        <f>Table13[[#This Row],[Profit]]/Table13[[#This Row],[Sales]]</f>
        <v>0.40316798941798943</v>
      </c>
      <c r="N623" s="6" t="str">
        <f>TEXT(Table13[[#This Row],[Order Date]],"mmm")</f>
        <v>Sep</v>
      </c>
      <c r="O623" s="6">
        <f>YEAR(Table13[[#This Row],[Order Date]])</f>
        <v>2024</v>
      </c>
    </row>
    <row r="624" spans="1:15" x14ac:dyDescent="0.3">
      <c r="A624" s="4" t="s">
        <v>1187</v>
      </c>
      <c r="B624" s="5">
        <v>45874</v>
      </c>
      <c r="C624" s="4" t="s">
        <v>695</v>
      </c>
      <c r="D624" s="4" t="s">
        <v>650</v>
      </c>
      <c r="E624" s="4" t="s">
        <v>29</v>
      </c>
      <c r="F624" s="4" t="s">
        <v>102</v>
      </c>
      <c r="G624" s="4" t="s">
        <v>40</v>
      </c>
      <c r="H624" s="4" t="s">
        <v>99</v>
      </c>
      <c r="I624" s="6">
        <v>5</v>
      </c>
      <c r="J624" s="6">
        <v>5260</v>
      </c>
      <c r="K624" s="6">
        <v>3793.23</v>
      </c>
      <c r="L624" s="6">
        <v>1466.77</v>
      </c>
      <c r="M624" s="11">
        <f>Table13[[#This Row],[Profit]]/Table13[[#This Row],[Sales]]</f>
        <v>0.27885361216730037</v>
      </c>
      <c r="N624" s="6" t="str">
        <f>TEXT(Table13[[#This Row],[Order Date]],"mmm")</f>
        <v>Aug</v>
      </c>
      <c r="O624" s="6">
        <f>YEAR(Table13[[#This Row],[Order Date]])</f>
        <v>2025</v>
      </c>
    </row>
    <row r="625" spans="1:15" x14ac:dyDescent="0.3">
      <c r="A625" s="4" t="s">
        <v>1188</v>
      </c>
      <c r="B625" s="5">
        <v>45599</v>
      </c>
      <c r="C625" s="4" t="s">
        <v>628</v>
      </c>
      <c r="D625" s="4" t="s">
        <v>311</v>
      </c>
      <c r="E625" s="4" t="s">
        <v>54</v>
      </c>
      <c r="F625" s="4" t="s">
        <v>55</v>
      </c>
      <c r="G625" s="4" t="s">
        <v>24</v>
      </c>
      <c r="H625" s="4" t="s">
        <v>166</v>
      </c>
      <c r="I625" s="6">
        <v>8</v>
      </c>
      <c r="J625" s="6">
        <v>8648</v>
      </c>
      <c r="K625" s="6">
        <v>6300.67</v>
      </c>
      <c r="L625" s="6">
        <v>2347.33</v>
      </c>
      <c r="M625" s="11">
        <f>Table13[[#This Row],[Profit]]/Table13[[#This Row],[Sales]]</f>
        <v>0.2714303885291397</v>
      </c>
      <c r="N625" s="6" t="str">
        <f>TEXT(Table13[[#This Row],[Order Date]],"mmm")</f>
        <v>Nov</v>
      </c>
      <c r="O625" s="6">
        <f>YEAR(Table13[[#This Row],[Order Date]])</f>
        <v>2024</v>
      </c>
    </row>
    <row r="626" spans="1:15" x14ac:dyDescent="0.3">
      <c r="A626" s="4" t="s">
        <v>1189</v>
      </c>
      <c r="B626" s="5">
        <v>45736</v>
      </c>
      <c r="C626" s="4" t="s">
        <v>455</v>
      </c>
      <c r="D626" s="4" t="s">
        <v>98</v>
      </c>
      <c r="E626" s="4" t="s">
        <v>22</v>
      </c>
      <c r="F626" s="4" t="s">
        <v>23</v>
      </c>
      <c r="G626" s="4" t="s">
        <v>24</v>
      </c>
      <c r="H626" s="4" t="s">
        <v>25</v>
      </c>
      <c r="I626" s="6">
        <v>6</v>
      </c>
      <c r="J626" s="6">
        <v>18900</v>
      </c>
      <c r="K626" s="6">
        <v>15383.42</v>
      </c>
      <c r="L626" s="6">
        <v>3516.58</v>
      </c>
      <c r="M626" s="11">
        <f>Table13[[#This Row],[Profit]]/Table13[[#This Row],[Sales]]</f>
        <v>0.18606243386243385</v>
      </c>
      <c r="N626" s="6" t="str">
        <f>TEXT(Table13[[#This Row],[Order Date]],"mmm")</f>
        <v>Mar</v>
      </c>
      <c r="O626" s="6">
        <f>YEAR(Table13[[#This Row],[Order Date]])</f>
        <v>2025</v>
      </c>
    </row>
    <row r="627" spans="1:15" x14ac:dyDescent="0.3">
      <c r="A627" s="4" t="s">
        <v>1190</v>
      </c>
      <c r="B627" s="5">
        <v>45939</v>
      </c>
      <c r="C627" s="4" t="s">
        <v>344</v>
      </c>
      <c r="D627" s="4" t="s">
        <v>813</v>
      </c>
      <c r="E627" s="4" t="s">
        <v>29</v>
      </c>
      <c r="F627" s="4" t="s">
        <v>30</v>
      </c>
      <c r="G627" s="4" t="s">
        <v>17</v>
      </c>
      <c r="H627" s="4" t="s">
        <v>31</v>
      </c>
      <c r="I627" s="6">
        <v>10</v>
      </c>
      <c r="J627" s="6">
        <v>3930</v>
      </c>
      <c r="K627" s="6">
        <v>2908.85</v>
      </c>
      <c r="L627" s="6">
        <v>1021.15</v>
      </c>
      <c r="M627" s="11">
        <f>Table13[[#This Row],[Profit]]/Table13[[#This Row],[Sales]]</f>
        <v>0.2598346055979644</v>
      </c>
      <c r="N627" s="6" t="str">
        <f>TEXT(Table13[[#This Row],[Order Date]],"mmm")</f>
        <v>Oct</v>
      </c>
      <c r="O627" s="6">
        <f>YEAR(Table13[[#This Row],[Order Date]])</f>
        <v>2025</v>
      </c>
    </row>
    <row r="628" spans="1:15" x14ac:dyDescent="0.3">
      <c r="A628" s="4" t="s">
        <v>1191</v>
      </c>
      <c r="B628" s="5">
        <v>45626</v>
      </c>
      <c r="C628" s="4" t="s">
        <v>642</v>
      </c>
      <c r="D628" s="4" t="s">
        <v>749</v>
      </c>
      <c r="E628" s="4" t="s">
        <v>54</v>
      </c>
      <c r="F628" s="4" t="s">
        <v>71</v>
      </c>
      <c r="G628" s="4" t="s">
        <v>24</v>
      </c>
      <c r="H628" s="4" t="s">
        <v>25</v>
      </c>
      <c r="I628" s="6">
        <v>6</v>
      </c>
      <c r="J628" s="6">
        <v>28338</v>
      </c>
      <c r="K628" s="6">
        <v>20388.45</v>
      </c>
      <c r="L628" s="6">
        <v>7949.55</v>
      </c>
      <c r="M628" s="11">
        <f>Table13[[#This Row],[Profit]]/Table13[[#This Row],[Sales]]</f>
        <v>0.28052614863434261</v>
      </c>
      <c r="N628" s="6" t="str">
        <f>TEXT(Table13[[#This Row],[Order Date]],"mmm")</f>
        <v>Nov</v>
      </c>
      <c r="O628" s="6">
        <f>YEAR(Table13[[#This Row],[Order Date]])</f>
        <v>2024</v>
      </c>
    </row>
    <row r="629" spans="1:15" x14ac:dyDescent="0.3">
      <c r="A629" s="4" t="s">
        <v>1192</v>
      </c>
      <c r="B629" s="5">
        <v>45881</v>
      </c>
      <c r="C629" s="4" t="s">
        <v>1193</v>
      </c>
      <c r="D629" s="4" t="s">
        <v>439</v>
      </c>
      <c r="E629" s="4" t="s">
        <v>29</v>
      </c>
      <c r="F629" s="4" t="s">
        <v>102</v>
      </c>
      <c r="G629" s="4" t="s">
        <v>17</v>
      </c>
      <c r="H629" s="4" t="s">
        <v>31</v>
      </c>
      <c r="I629" s="6">
        <v>7</v>
      </c>
      <c r="J629" s="6">
        <v>27650</v>
      </c>
      <c r="K629" s="6">
        <v>21452.31</v>
      </c>
      <c r="L629" s="6">
        <v>6197.69</v>
      </c>
      <c r="M629" s="11">
        <f>Table13[[#This Row],[Profit]]/Table13[[#This Row],[Sales]]</f>
        <v>0.22414792043399637</v>
      </c>
      <c r="N629" s="6" t="str">
        <f>TEXT(Table13[[#This Row],[Order Date]],"mmm")</f>
        <v>Aug</v>
      </c>
      <c r="O629" s="6">
        <f>YEAR(Table13[[#This Row],[Order Date]])</f>
        <v>2025</v>
      </c>
    </row>
    <row r="630" spans="1:15" x14ac:dyDescent="0.3">
      <c r="A630" s="4" t="s">
        <v>1194</v>
      </c>
      <c r="B630" s="5">
        <v>45376</v>
      </c>
      <c r="C630" s="4" t="s">
        <v>1102</v>
      </c>
      <c r="D630" s="4" t="s">
        <v>931</v>
      </c>
      <c r="E630" s="4" t="s">
        <v>29</v>
      </c>
      <c r="F630" s="4" t="s">
        <v>49</v>
      </c>
      <c r="G630" s="4" t="s">
        <v>40</v>
      </c>
      <c r="H630" s="4" t="s">
        <v>99</v>
      </c>
      <c r="I630" s="6">
        <v>7</v>
      </c>
      <c r="J630" s="6">
        <v>10584</v>
      </c>
      <c r="K630" s="6">
        <v>6240.93</v>
      </c>
      <c r="L630" s="6">
        <v>4343.07</v>
      </c>
      <c r="M630" s="11">
        <f>Table13[[#This Row],[Profit]]/Table13[[#This Row],[Sales]]</f>
        <v>0.41034297052154195</v>
      </c>
      <c r="N630" s="6" t="str">
        <f>TEXT(Table13[[#This Row],[Order Date]],"mmm")</f>
        <v>Mar</v>
      </c>
      <c r="O630" s="6">
        <f>YEAR(Table13[[#This Row],[Order Date]])</f>
        <v>2024</v>
      </c>
    </row>
    <row r="631" spans="1:15" x14ac:dyDescent="0.3">
      <c r="A631" s="4" t="s">
        <v>1195</v>
      </c>
      <c r="B631" s="5">
        <v>45736</v>
      </c>
      <c r="C631" s="4" t="s">
        <v>451</v>
      </c>
      <c r="D631" s="4" t="s">
        <v>659</v>
      </c>
      <c r="E631" s="4" t="s">
        <v>15</v>
      </c>
      <c r="F631" s="4" t="s">
        <v>90</v>
      </c>
      <c r="G631" s="4" t="s">
        <v>35</v>
      </c>
      <c r="H631" s="4" t="s">
        <v>36</v>
      </c>
      <c r="I631" s="6">
        <v>5</v>
      </c>
      <c r="J631" s="6">
        <v>4980</v>
      </c>
      <c r="K631" s="6">
        <v>3334.4</v>
      </c>
      <c r="L631" s="6">
        <v>1645.6</v>
      </c>
      <c r="M631" s="11">
        <f>Table13[[#This Row],[Profit]]/Table13[[#This Row],[Sales]]</f>
        <v>0.33044176706827305</v>
      </c>
      <c r="N631" s="6" t="str">
        <f>TEXT(Table13[[#This Row],[Order Date]],"mmm")</f>
        <v>Mar</v>
      </c>
      <c r="O631" s="6">
        <f>YEAR(Table13[[#This Row],[Order Date]])</f>
        <v>2025</v>
      </c>
    </row>
    <row r="632" spans="1:15" x14ac:dyDescent="0.3">
      <c r="A632" s="4" t="s">
        <v>1196</v>
      </c>
      <c r="B632" s="5">
        <v>45492</v>
      </c>
      <c r="C632" s="4" t="s">
        <v>65</v>
      </c>
      <c r="D632" s="4" t="s">
        <v>631</v>
      </c>
      <c r="E632" s="4" t="s">
        <v>22</v>
      </c>
      <c r="F632" s="4" t="s">
        <v>79</v>
      </c>
      <c r="G632" s="4" t="s">
        <v>40</v>
      </c>
      <c r="H632" s="4" t="s">
        <v>56</v>
      </c>
      <c r="I632" s="6">
        <v>8</v>
      </c>
      <c r="J632" s="6">
        <v>28304</v>
      </c>
      <c r="K632" s="6">
        <v>21105.57</v>
      </c>
      <c r="L632" s="6">
        <v>7198.43</v>
      </c>
      <c r="M632" s="11">
        <f>Table13[[#This Row],[Profit]]/Table13[[#This Row],[Sales]]</f>
        <v>0.25432553702656868</v>
      </c>
      <c r="N632" s="6" t="str">
        <f>TEXT(Table13[[#This Row],[Order Date]],"mmm")</f>
        <v>Jul</v>
      </c>
      <c r="O632" s="6">
        <f>YEAR(Table13[[#This Row],[Order Date]])</f>
        <v>2024</v>
      </c>
    </row>
    <row r="633" spans="1:15" x14ac:dyDescent="0.3">
      <c r="A633" s="4" t="s">
        <v>1197</v>
      </c>
      <c r="B633" s="5">
        <v>45881</v>
      </c>
      <c r="C633" s="4" t="s">
        <v>890</v>
      </c>
      <c r="D633" s="4" t="s">
        <v>987</v>
      </c>
      <c r="E633" s="4" t="s">
        <v>29</v>
      </c>
      <c r="F633" s="4" t="s">
        <v>102</v>
      </c>
      <c r="G633" s="4" t="s">
        <v>24</v>
      </c>
      <c r="H633" s="4" t="s">
        <v>50</v>
      </c>
      <c r="I633" s="6">
        <v>5</v>
      </c>
      <c r="J633" s="6">
        <v>19115</v>
      </c>
      <c r="K633" s="6">
        <v>12367.85</v>
      </c>
      <c r="L633" s="6">
        <v>6747.15</v>
      </c>
      <c r="M633" s="11">
        <f>Table13[[#This Row],[Profit]]/Table13[[#This Row],[Sales]]</f>
        <v>0.35297671985351814</v>
      </c>
      <c r="N633" s="6" t="str">
        <f>TEXT(Table13[[#This Row],[Order Date]],"mmm")</f>
        <v>Aug</v>
      </c>
      <c r="O633" s="6">
        <f>YEAR(Table13[[#This Row],[Order Date]])</f>
        <v>2025</v>
      </c>
    </row>
    <row r="634" spans="1:15" x14ac:dyDescent="0.3">
      <c r="A634" s="4" t="s">
        <v>1198</v>
      </c>
      <c r="B634" s="5">
        <v>45900</v>
      </c>
      <c r="C634" s="4" t="s">
        <v>1199</v>
      </c>
      <c r="D634" s="4" t="s">
        <v>272</v>
      </c>
      <c r="E634" s="4" t="s">
        <v>22</v>
      </c>
      <c r="F634" s="4" t="s">
        <v>67</v>
      </c>
      <c r="G634" s="4" t="s">
        <v>40</v>
      </c>
      <c r="H634" s="4" t="s">
        <v>41</v>
      </c>
      <c r="I634" s="6">
        <v>6</v>
      </c>
      <c r="J634" s="6">
        <v>11160</v>
      </c>
      <c r="K634" s="6">
        <v>7211.83</v>
      </c>
      <c r="L634" s="6">
        <v>3948.17</v>
      </c>
      <c r="M634" s="11">
        <f>Table13[[#This Row],[Profit]]/Table13[[#This Row],[Sales]]</f>
        <v>0.35377867383512546</v>
      </c>
      <c r="N634" s="6" t="str">
        <f>TEXT(Table13[[#This Row],[Order Date]],"mmm")</f>
        <v>Aug</v>
      </c>
      <c r="O634" s="6">
        <f>YEAR(Table13[[#This Row],[Order Date]])</f>
        <v>2025</v>
      </c>
    </row>
    <row r="635" spans="1:15" x14ac:dyDescent="0.3">
      <c r="A635" s="4" t="s">
        <v>1200</v>
      </c>
      <c r="B635" s="5">
        <v>45531</v>
      </c>
      <c r="C635" s="4" t="s">
        <v>503</v>
      </c>
      <c r="D635" s="4" t="s">
        <v>423</v>
      </c>
      <c r="E635" s="4" t="s">
        <v>29</v>
      </c>
      <c r="F635" s="4" t="s">
        <v>49</v>
      </c>
      <c r="G635" s="4" t="s">
        <v>17</v>
      </c>
      <c r="H635" s="4" t="s">
        <v>72</v>
      </c>
      <c r="I635" s="6">
        <v>8</v>
      </c>
      <c r="J635" s="6">
        <v>11952</v>
      </c>
      <c r="K635" s="6">
        <v>8152.93</v>
      </c>
      <c r="L635" s="6">
        <v>3799.07</v>
      </c>
      <c r="M635" s="11">
        <f>Table13[[#This Row],[Profit]]/Table13[[#This Row],[Sales]]</f>
        <v>0.31786060910307901</v>
      </c>
      <c r="N635" s="6" t="str">
        <f>TEXT(Table13[[#This Row],[Order Date]],"mmm")</f>
        <v>Aug</v>
      </c>
      <c r="O635" s="6">
        <f>YEAR(Table13[[#This Row],[Order Date]])</f>
        <v>2024</v>
      </c>
    </row>
    <row r="636" spans="1:15" x14ac:dyDescent="0.3">
      <c r="A636" s="4" t="s">
        <v>1201</v>
      </c>
      <c r="B636" s="5">
        <v>45927</v>
      </c>
      <c r="C636" s="4" t="s">
        <v>1202</v>
      </c>
      <c r="D636" s="4" t="s">
        <v>354</v>
      </c>
      <c r="E636" s="4" t="s">
        <v>29</v>
      </c>
      <c r="F636" s="4" t="s">
        <v>30</v>
      </c>
      <c r="G636" s="4" t="s">
        <v>24</v>
      </c>
      <c r="H636" s="4" t="s">
        <v>50</v>
      </c>
      <c r="I636" s="6">
        <v>2</v>
      </c>
      <c r="J636" s="6">
        <v>1492</v>
      </c>
      <c r="K636" s="6">
        <v>929.39</v>
      </c>
      <c r="L636" s="6">
        <v>562.61</v>
      </c>
      <c r="M636" s="11">
        <f>Table13[[#This Row],[Profit]]/Table13[[#This Row],[Sales]]</f>
        <v>0.37708445040214478</v>
      </c>
      <c r="N636" s="6" t="str">
        <f>TEXT(Table13[[#This Row],[Order Date]],"mmm")</f>
        <v>Sep</v>
      </c>
      <c r="O636" s="6">
        <f>YEAR(Table13[[#This Row],[Order Date]])</f>
        <v>2025</v>
      </c>
    </row>
    <row r="637" spans="1:15" x14ac:dyDescent="0.3">
      <c r="A637" s="4" t="s">
        <v>1203</v>
      </c>
      <c r="B637" s="5">
        <v>45315</v>
      </c>
      <c r="C637" s="4" t="s">
        <v>104</v>
      </c>
      <c r="D637" s="4" t="s">
        <v>781</v>
      </c>
      <c r="E637" s="4" t="s">
        <v>15</v>
      </c>
      <c r="F637" s="4" t="s">
        <v>63</v>
      </c>
      <c r="G637" s="4" t="s">
        <v>17</v>
      </c>
      <c r="H637" s="4" t="s">
        <v>18</v>
      </c>
      <c r="I637" s="6">
        <v>2</v>
      </c>
      <c r="J637" s="6">
        <v>5598</v>
      </c>
      <c r="K637" s="6">
        <v>3834.73</v>
      </c>
      <c r="L637" s="6">
        <v>1763.27</v>
      </c>
      <c r="M637" s="11">
        <f>Table13[[#This Row],[Profit]]/Table13[[#This Row],[Sales]]</f>
        <v>0.31498213647731332</v>
      </c>
      <c r="N637" s="6" t="str">
        <f>TEXT(Table13[[#This Row],[Order Date]],"mmm")</f>
        <v>Jan</v>
      </c>
      <c r="O637" s="6">
        <f>YEAR(Table13[[#This Row],[Order Date]])</f>
        <v>2024</v>
      </c>
    </row>
    <row r="638" spans="1:15" x14ac:dyDescent="0.3">
      <c r="A638" s="4" t="s">
        <v>1204</v>
      </c>
      <c r="B638" s="5">
        <v>45929</v>
      </c>
      <c r="C638" s="4" t="s">
        <v>487</v>
      </c>
      <c r="D638" s="4" t="s">
        <v>453</v>
      </c>
      <c r="E638" s="4" t="s">
        <v>29</v>
      </c>
      <c r="F638" s="4" t="s">
        <v>102</v>
      </c>
      <c r="G638" s="4" t="s">
        <v>35</v>
      </c>
      <c r="H638" s="4" t="s">
        <v>45</v>
      </c>
      <c r="I638" s="6">
        <v>9</v>
      </c>
      <c r="J638" s="6">
        <v>21762</v>
      </c>
      <c r="K638" s="6">
        <v>15552</v>
      </c>
      <c r="L638" s="6">
        <v>6210</v>
      </c>
      <c r="M638" s="11">
        <f>Table13[[#This Row],[Profit]]/Table13[[#This Row],[Sales]]</f>
        <v>0.28535980148883372</v>
      </c>
      <c r="N638" s="6" t="str">
        <f>TEXT(Table13[[#This Row],[Order Date]],"mmm")</f>
        <v>Sep</v>
      </c>
      <c r="O638" s="6">
        <f>YEAR(Table13[[#This Row],[Order Date]])</f>
        <v>2025</v>
      </c>
    </row>
    <row r="639" spans="1:15" x14ac:dyDescent="0.3">
      <c r="A639" s="4" t="s">
        <v>1205</v>
      </c>
      <c r="B639" s="5">
        <v>45353</v>
      </c>
      <c r="C639" s="4" t="s">
        <v>810</v>
      </c>
      <c r="D639" s="4" t="s">
        <v>169</v>
      </c>
      <c r="E639" s="4" t="s">
        <v>22</v>
      </c>
      <c r="F639" s="4" t="s">
        <v>79</v>
      </c>
      <c r="G639" s="4" t="s">
        <v>17</v>
      </c>
      <c r="H639" s="4" t="s">
        <v>31</v>
      </c>
      <c r="I639" s="6">
        <v>9</v>
      </c>
      <c r="J639" s="6">
        <v>5904</v>
      </c>
      <c r="K639" s="6">
        <v>3699.66</v>
      </c>
      <c r="L639" s="6">
        <v>2204.34</v>
      </c>
      <c r="M639" s="11">
        <f>Table13[[#This Row],[Profit]]/Table13[[#This Row],[Sales]]</f>
        <v>0.37336382113821143</v>
      </c>
      <c r="N639" s="6" t="str">
        <f>TEXT(Table13[[#This Row],[Order Date]],"mmm")</f>
        <v>Mar</v>
      </c>
      <c r="O639" s="6">
        <f>YEAR(Table13[[#This Row],[Order Date]])</f>
        <v>2024</v>
      </c>
    </row>
    <row r="640" spans="1:15" x14ac:dyDescent="0.3">
      <c r="A640" s="4" t="s">
        <v>1206</v>
      </c>
      <c r="B640" s="5">
        <v>45569</v>
      </c>
      <c r="C640" s="4" t="s">
        <v>558</v>
      </c>
      <c r="D640" s="4" t="s">
        <v>852</v>
      </c>
      <c r="E640" s="4" t="s">
        <v>54</v>
      </c>
      <c r="F640" s="4" t="s">
        <v>142</v>
      </c>
      <c r="G640" s="4" t="s">
        <v>35</v>
      </c>
      <c r="H640" s="4" t="s">
        <v>80</v>
      </c>
      <c r="I640" s="6">
        <v>1</v>
      </c>
      <c r="J640" s="6">
        <v>845</v>
      </c>
      <c r="K640" s="6">
        <v>563.27</v>
      </c>
      <c r="L640" s="6">
        <v>281.73</v>
      </c>
      <c r="M640" s="11">
        <f>Table13[[#This Row],[Profit]]/Table13[[#This Row],[Sales]]</f>
        <v>0.33340828402366868</v>
      </c>
      <c r="N640" s="6" t="str">
        <f>TEXT(Table13[[#This Row],[Order Date]],"mmm")</f>
        <v>Oct</v>
      </c>
      <c r="O640" s="6">
        <f>YEAR(Table13[[#This Row],[Order Date]])</f>
        <v>2024</v>
      </c>
    </row>
    <row r="641" spans="1:15" x14ac:dyDescent="0.3">
      <c r="A641" s="4" t="s">
        <v>1207</v>
      </c>
      <c r="B641" s="5">
        <v>45812</v>
      </c>
      <c r="C641" s="4" t="s">
        <v>292</v>
      </c>
      <c r="D641" s="4" t="s">
        <v>711</v>
      </c>
      <c r="E641" s="4" t="s">
        <v>15</v>
      </c>
      <c r="F641" s="4" t="s">
        <v>63</v>
      </c>
      <c r="G641" s="4" t="s">
        <v>17</v>
      </c>
      <c r="H641" s="4" t="s">
        <v>31</v>
      </c>
      <c r="I641" s="6">
        <v>7</v>
      </c>
      <c r="J641" s="6">
        <v>15351</v>
      </c>
      <c r="K641" s="6">
        <v>12955.29</v>
      </c>
      <c r="L641" s="6">
        <v>2395.71</v>
      </c>
      <c r="M641" s="11">
        <f>Table13[[#This Row],[Profit]]/Table13[[#This Row],[Sales]]</f>
        <v>0.15606214578854799</v>
      </c>
      <c r="N641" s="6" t="str">
        <f>TEXT(Table13[[#This Row],[Order Date]],"mmm")</f>
        <v>Jun</v>
      </c>
      <c r="O641" s="6">
        <f>YEAR(Table13[[#This Row],[Order Date]])</f>
        <v>2025</v>
      </c>
    </row>
    <row r="642" spans="1:15" x14ac:dyDescent="0.3">
      <c r="A642" s="4" t="s">
        <v>1208</v>
      </c>
      <c r="B642" s="5">
        <v>45760</v>
      </c>
      <c r="C642" s="4" t="s">
        <v>65</v>
      </c>
      <c r="D642" s="4" t="s">
        <v>663</v>
      </c>
      <c r="E642" s="4" t="s">
        <v>22</v>
      </c>
      <c r="F642" s="4" t="s">
        <v>79</v>
      </c>
      <c r="G642" s="4" t="s">
        <v>35</v>
      </c>
      <c r="H642" s="4" t="s">
        <v>45</v>
      </c>
      <c r="I642" s="6">
        <v>2</v>
      </c>
      <c r="J642" s="6">
        <v>3654</v>
      </c>
      <c r="K642" s="6">
        <v>2227.71</v>
      </c>
      <c r="L642" s="6">
        <v>1426.29</v>
      </c>
      <c r="M642" s="11">
        <f>Table13[[#This Row],[Profit]]/Table13[[#This Row],[Sales]]</f>
        <v>0.3903366174055829</v>
      </c>
      <c r="N642" s="6" t="str">
        <f>TEXT(Table13[[#This Row],[Order Date]],"mmm")</f>
        <v>Apr</v>
      </c>
      <c r="O642" s="6">
        <f>YEAR(Table13[[#This Row],[Order Date]])</f>
        <v>2025</v>
      </c>
    </row>
    <row r="643" spans="1:15" x14ac:dyDescent="0.3">
      <c r="A643" s="4" t="s">
        <v>1209</v>
      </c>
      <c r="B643" s="5">
        <v>45452</v>
      </c>
      <c r="C643" s="4" t="s">
        <v>964</v>
      </c>
      <c r="D643" s="4" t="s">
        <v>554</v>
      </c>
      <c r="E643" s="4" t="s">
        <v>15</v>
      </c>
      <c r="F643" s="4" t="s">
        <v>16</v>
      </c>
      <c r="G643" s="4" t="s">
        <v>35</v>
      </c>
      <c r="H643" s="4" t="s">
        <v>45</v>
      </c>
      <c r="I643" s="6">
        <v>5</v>
      </c>
      <c r="J643" s="6">
        <v>15160</v>
      </c>
      <c r="K643" s="6">
        <v>10566.21</v>
      </c>
      <c r="L643" s="6">
        <v>4593.79</v>
      </c>
      <c r="M643" s="11">
        <f>Table13[[#This Row],[Profit]]/Table13[[#This Row],[Sales]]</f>
        <v>0.30302044854881266</v>
      </c>
      <c r="N643" s="6" t="str">
        <f>TEXT(Table13[[#This Row],[Order Date]],"mmm")</f>
        <v>Jun</v>
      </c>
      <c r="O643" s="6">
        <f>YEAR(Table13[[#This Row],[Order Date]])</f>
        <v>2024</v>
      </c>
    </row>
    <row r="644" spans="1:15" x14ac:dyDescent="0.3">
      <c r="A644" s="4" t="s">
        <v>1210</v>
      </c>
      <c r="B644" s="5">
        <v>45805</v>
      </c>
      <c r="C644" s="4" t="s">
        <v>1211</v>
      </c>
      <c r="D644" s="4" t="s">
        <v>478</v>
      </c>
      <c r="E644" s="4" t="s">
        <v>54</v>
      </c>
      <c r="F644" s="4" t="s">
        <v>55</v>
      </c>
      <c r="G644" s="4" t="s">
        <v>17</v>
      </c>
      <c r="H644" s="4" t="s">
        <v>31</v>
      </c>
      <c r="I644" s="6">
        <v>5</v>
      </c>
      <c r="J644" s="6">
        <v>11170</v>
      </c>
      <c r="K644" s="6">
        <v>9481.08</v>
      </c>
      <c r="L644" s="6">
        <v>1688.92</v>
      </c>
      <c r="M644" s="11">
        <f>Table13[[#This Row],[Profit]]/Table13[[#This Row],[Sales]]</f>
        <v>0.15120143240823636</v>
      </c>
      <c r="N644" s="6" t="str">
        <f>TEXT(Table13[[#This Row],[Order Date]],"mmm")</f>
        <v>May</v>
      </c>
      <c r="O644" s="6">
        <f>YEAR(Table13[[#This Row],[Order Date]])</f>
        <v>2025</v>
      </c>
    </row>
    <row r="645" spans="1:15" x14ac:dyDescent="0.3">
      <c r="A645" s="4" t="s">
        <v>1212</v>
      </c>
      <c r="B645" s="5">
        <v>45641</v>
      </c>
      <c r="C645" s="4" t="s">
        <v>594</v>
      </c>
      <c r="D645" s="4" t="s">
        <v>377</v>
      </c>
      <c r="E645" s="4" t="s">
        <v>54</v>
      </c>
      <c r="F645" s="4" t="s">
        <v>55</v>
      </c>
      <c r="G645" s="4" t="s">
        <v>24</v>
      </c>
      <c r="H645" s="4" t="s">
        <v>25</v>
      </c>
      <c r="I645" s="6">
        <v>9</v>
      </c>
      <c r="J645" s="6">
        <v>23355</v>
      </c>
      <c r="K645" s="6">
        <v>14425.8</v>
      </c>
      <c r="L645" s="6">
        <v>8929.2000000000007</v>
      </c>
      <c r="M645" s="11">
        <f>Table13[[#This Row],[Profit]]/Table13[[#This Row],[Sales]]</f>
        <v>0.38232498394348108</v>
      </c>
      <c r="N645" s="6" t="str">
        <f>TEXT(Table13[[#This Row],[Order Date]],"mmm")</f>
        <v>Dec</v>
      </c>
      <c r="O645" s="6">
        <f>YEAR(Table13[[#This Row],[Order Date]])</f>
        <v>2024</v>
      </c>
    </row>
    <row r="646" spans="1:15" x14ac:dyDescent="0.3">
      <c r="A646" s="4" t="s">
        <v>1213</v>
      </c>
      <c r="B646" s="5">
        <v>45878</v>
      </c>
      <c r="C646" s="4" t="s">
        <v>251</v>
      </c>
      <c r="D646" s="4" t="s">
        <v>982</v>
      </c>
      <c r="E646" s="4" t="s">
        <v>15</v>
      </c>
      <c r="F646" s="4" t="s">
        <v>90</v>
      </c>
      <c r="G646" s="4" t="s">
        <v>35</v>
      </c>
      <c r="H646" s="4" t="s">
        <v>36</v>
      </c>
      <c r="I646" s="6">
        <v>9</v>
      </c>
      <c r="J646" s="6">
        <v>19467</v>
      </c>
      <c r="K646" s="6">
        <v>13144.12</v>
      </c>
      <c r="L646" s="6">
        <v>6322.88</v>
      </c>
      <c r="M646" s="11">
        <f>Table13[[#This Row],[Profit]]/Table13[[#This Row],[Sales]]</f>
        <v>0.32479991780962653</v>
      </c>
      <c r="N646" s="6" t="str">
        <f>TEXT(Table13[[#This Row],[Order Date]],"mmm")</f>
        <v>Aug</v>
      </c>
      <c r="O646" s="6">
        <f>YEAR(Table13[[#This Row],[Order Date]])</f>
        <v>2025</v>
      </c>
    </row>
    <row r="647" spans="1:15" x14ac:dyDescent="0.3">
      <c r="A647" s="4" t="s">
        <v>1214</v>
      </c>
      <c r="B647" s="5">
        <v>45960</v>
      </c>
      <c r="C647" s="4" t="s">
        <v>449</v>
      </c>
      <c r="D647" s="4" t="s">
        <v>571</v>
      </c>
      <c r="E647" s="4" t="s">
        <v>54</v>
      </c>
      <c r="F647" s="4" t="s">
        <v>71</v>
      </c>
      <c r="G647" s="4" t="s">
        <v>40</v>
      </c>
      <c r="H647" s="4" t="s">
        <v>41</v>
      </c>
      <c r="I647" s="6">
        <v>8</v>
      </c>
      <c r="J647" s="6">
        <v>37928</v>
      </c>
      <c r="K647" s="6">
        <v>22359.759999999998</v>
      </c>
      <c r="L647" s="6">
        <v>15568.24</v>
      </c>
      <c r="M647" s="11">
        <f>Table13[[#This Row],[Profit]]/Table13[[#This Row],[Sales]]</f>
        <v>0.41046825564226957</v>
      </c>
      <c r="N647" s="6" t="str">
        <f>TEXT(Table13[[#This Row],[Order Date]],"mmm")</f>
        <v>Oct</v>
      </c>
      <c r="O647" s="6">
        <f>YEAR(Table13[[#This Row],[Order Date]])</f>
        <v>2025</v>
      </c>
    </row>
    <row r="648" spans="1:15" x14ac:dyDescent="0.3">
      <c r="A648" s="4" t="s">
        <v>1215</v>
      </c>
      <c r="B648" s="5">
        <v>45440</v>
      </c>
      <c r="C648" s="4" t="s">
        <v>134</v>
      </c>
      <c r="D648" s="4" t="s">
        <v>296</v>
      </c>
      <c r="E648" s="4" t="s">
        <v>29</v>
      </c>
      <c r="F648" s="4" t="s">
        <v>102</v>
      </c>
      <c r="G648" s="4" t="s">
        <v>40</v>
      </c>
      <c r="H648" s="4" t="s">
        <v>99</v>
      </c>
      <c r="I648" s="6">
        <v>9</v>
      </c>
      <c r="J648" s="6">
        <v>12663</v>
      </c>
      <c r="K648" s="6">
        <v>8598.42</v>
      </c>
      <c r="L648" s="6">
        <v>4064.58</v>
      </c>
      <c r="M648" s="11">
        <f>Table13[[#This Row],[Profit]]/Table13[[#This Row],[Sales]]</f>
        <v>0.32098081023454156</v>
      </c>
      <c r="N648" s="6" t="str">
        <f>TEXT(Table13[[#This Row],[Order Date]],"mmm")</f>
        <v>May</v>
      </c>
      <c r="O648" s="6">
        <f>YEAR(Table13[[#This Row],[Order Date]])</f>
        <v>2024</v>
      </c>
    </row>
    <row r="649" spans="1:15" x14ac:dyDescent="0.3">
      <c r="A649" s="4" t="s">
        <v>1216</v>
      </c>
      <c r="B649" s="5">
        <v>45441</v>
      </c>
      <c r="C649" s="4" t="s">
        <v>438</v>
      </c>
      <c r="D649" s="4" t="s">
        <v>942</v>
      </c>
      <c r="E649" s="4" t="s">
        <v>54</v>
      </c>
      <c r="F649" s="4" t="s">
        <v>142</v>
      </c>
      <c r="G649" s="4" t="s">
        <v>35</v>
      </c>
      <c r="H649" s="4" t="s">
        <v>45</v>
      </c>
      <c r="I649" s="6">
        <v>9</v>
      </c>
      <c r="J649" s="6">
        <v>11421</v>
      </c>
      <c r="K649" s="6">
        <v>6912.45</v>
      </c>
      <c r="L649" s="6">
        <v>4508.55</v>
      </c>
      <c r="M649" s="11">
        <f>Table13[[#This Row],[Profit]]/Table13[[#This Row],[Sales]]</f>
        <v>0.39475965327029161</v>
      </c>
      <c r="N649" s="6" t="str">
        <f>TEXT(Table13[[#This Row],[Order Date]],"mmm")</f>
        <v>May</v>
      </c>
      <c r="O649" s="6">
        <f>YEAR(Table13[[#This Row],[Order Date]])</f>
        <v>2024</v>
      </c>
    </row>
    <row r="650" spans="1:15" x14ac:dyDescent="0.3">
      <c r="A650" s="4" t="s">
        <v>1217</v>
      </c>
      <c r="B650" s="5">
        <v>45484</v>
      </c>
      <c r="C650" s="4" t="s">
        <v>745</v>
      </c>
      <c r="D650" s="4" t="s">
        <v>1218</v>
      </c>
      <c r="E650" s="4" t="s">
        <v>22</v>
      </c>
      <c r="F650" s="4" t="s">
        <v>67</v>
      </c>
      <c r="G650" s="4" t="s">
        <v>40</v>
      </c>
      <c r="H650" s="4" t="s">
        <v>99</v>
      </c>
      <c r="I650" s="6">
        <v>8</v>
      </c>
      <c r="J650" s="6">
        <v>20336</v>
      </c>
      <c r="K650" s="6">
        <v>12111.86</v>
      </c>
      <c r="L650" s="6">
        <v>8224.14</v>
      </c>
      <c r="M650" s="11">
        <f>Table13[[#This Row],[Profit]]/Table13[[#This Row],[Sales]]</f>
        <v>0.40441286388670333</v>
      </c>
      <c r="N650" s="6" t="str">
        <f>TEXT(Table13[[#This Row],[Order Date]],"mmm")</f>
        <v>Jul</v>
      </c>
      <c r="O650" s="6">
        <f>YEAR(Table13[[#This Row],[Order Date]])</f>
        <v>2024</v>
      </c>
    </row>
    <row r="651" spans="1:15" x14ac:dyDescent="0.3">
      <c r="A651" s="4" t="s">
        <v>1219</v>
      </c>
      <c r="B651" s="5">
        <v>45919</v>
      </c>
      <c r="C651" s="4" t="s">
        <v>1220</v>
      </c>
      <c r="D651" s="4" t="s">
        <v>365</v>
      </c>
      <c r="E651" s="4" t="s">
        <v>29</v>
      </c>
      <c r="F651" s="4" t="s">
        <v>102</v>
      </c>
      <c r="G651" s="4" t="s">
        <v>17</v>
      </c>
      <c r="H651" s="4" t="s">
        <v>72</v>
      </c>
      <c r="I651" s="6">
        <v>10</v>
      </c>
      <c r="J651" s="6">
        <v>24860</v>
      </c>
      <c r="K651" s="6">
        <v>18189.599999999999</v>
      </c>
      <c r="L651" s="6">
        <v>6670.4</v>
      </c>
      <c r="M651" s="11">
        <f>Table13[[#This Row],[Profit]]/Table13[[#This Row],[Sales]]</f>
        <v>0.26831858407079645</v>
      </c>
      <c r="N651" s="6" t="str">
        <f>TEXT(Table13[[#This Row],[Order Date]],"mmm")</f>
        <v>Sep</v>
      </c>
      <c r="O651" s="6">
        <f>YEAR(Table13[[#This Row],[Order Date]])</f>
        <v>2025</v>
      </c>
    </row>
    <row r="652" spans="1:15" x14ac:dyDescent="0.3">
      <c r="A652" s="4" t="s">
        <v>1221</v>
      </c>
      <c r="B652" s="5">
        <v>45780</v>
      </c>
      <c r="C652" s="4" t="s">
        <v>1069</v>
      </c>
      <c r="D652" s="4" t="s">
        <v>671</v>
      </c>
      <c r="E652" s="4" t="s">
        <v>29</v>
      </c>
      <c r="F652" s="4" t="s">
        <v>30</v>
      </c>
      <c r="G652" s="4" t="s">
        <v>24</v>
      </c>
      <c r="H652" s="4" t="s">
        <v>25</v>
      </c>
      <c r="I652" s="6">
        <v>6</v>
      </c>
      <c r="J652" s="6">
        <v>5706</v>
      </c>
      <c r="K652" s="6">
        <v>4316.26</v>
      </c>
      <c r="L652" s="6">
        <v>1389.74</v>
      </c>
      <c r="M652" s="11">
        <f>Table13[[#This Row],[Profit]]/Table13[[#This Row],[Sales]]</f>
        <v>0.24355765860497722</v>
      </c>
      <c r="N652" s="6" t="str">
        <f>TEXT(Table13[[#This Row],[Order Date]],"mmm")</f>
        <v>May</v>
      </c>
      <c r="O652" s="6">
        <f>YEAR(Table13[[#This Row],[Order Date]])</f>
        <v>2025</v>
      </c>
    </row>
    <row r="653" spans="1:15" x14ac:dyDescent="0.3">
      <c r="A653" s="4" t="s">
        <v>1222</v>
      </c>
      <c r="B653" s="5">
        <v>45795</v>
      </c>
      <c r="C653" s="4" t="s">
        <v>1001</v>
      </c>
      <c r="D653" s="4" t="s">
        <v>377</v>
      </c>
      <c r="E653" s="4" t="s">
        <v>22</v>
      </c>
      <c r="F653" s="4" t="s">
        <v>79</v>
      </c>
      <c r="G653" s="4" t="s">
        <v>17</v>
      </c>
      <c r="H653" s="4" t="s">
        <v>31</v>
      </c>
      <c r="I653" s="6">
        <v>6</v>
      </c>
      <c r="J653" s="6">
        <v>10842</v>
      </c>
      <c r="K653" s="6">
        <v>8734.74</v>
      </c>
      <c r="L653" s="6">
        <v>2107.2600000000002</v>
      </c>
      <c r="M653" s="11">
        <f>Table13[[#This Row],[Profit]]/Table13[[#This Row],[Sales]]</f>
        <v>0.19436081903707805</v>
      </c>
      <c r="N653" s="6" t="str">
        <f>TEXT(Table13[[#This Row],[Order Date]],"mmm")</f>
        <v>May</v>
      </c>
      <c r="O653" s="6">
        <f>YEAR(Table13[[#This Row],[Order Date]])</f>
        <v>2025</v>
      </c>
    </row>
    <row r="654" spans="1:15" x14ac:dyDescent="0.3">
      <c r="A654" s="4" t="s">
        <v>1223</v>
      </c>
      <c r="B654" s="5">
        <v>45307</v>
      </c>
      <c r="C654" s="4" t="s">
        <v>271</v>
      </c>
      <c r="D654" s="4" t="s">
        <v>728</v>
      </c>
      <c r="E654" s="4" t="s">
        <v>29</v>
      </c>
      <c r="F654" s="4" t="s">
        <v>102</v>
      </c>
      <c r="G654" s="4" t="s">
        <v>40</v>
      </c>
      <c r="H654" s="4" t="s">
        <v>56</v>
      </c>
      <c r="I654" s="6">
        <v>1</v>
      </c>
      <c r="J654" s="6">
        <v>3647</v>
      </c>
      <c r="K654" s="6">
        <v>2842.33</v>
      </c>
      <c r="L654" s="6">
        <v>804.67</v>
      </c>
      <c r="M654" s="11">
        <f>Table13[[#This Row],[Profit]]/Table13[[#This Row],[Sales]]</f>
        <v>0.22063888127227857</v>
      </c>
      <c r="N654" s="6" t="str">
        <f>TEXT(Table13[[#This Row],[Order Date]],"mmm")</f>
        <v>Jan</v>
      </c>
      <c r="O654" s="6">
        <f>YEAR(Table13[[#This Row],[Order Date]])</f>
        <v>2024</v>
      </c>
    </row>
    <row r="655" spans="1:15" x14ac:dyDescent="0.3">
      <c r="A655" s="4" t="s">
        <v>1224</v>
      </c>
      <c r="B655" s="5">
        <v>45741</v>
      </c>
      <c r="C655" s="4" t="s">
        <v>904</v>
      </c>
      <c r="D655" s="4" t="s">
        <v>1180</v>
      </c>
      <c r="E655" s="4" t="s">
        <v>29</v>
      </c>
      <c r="F655" s="4" t="s">
        <v>30</v>
      </c>
      <c r="G655" s="4" t="s">
        <v>17</v>
      </c>
      <c r="H655" s="4" t="s">
        <v>31</v>
      </c>
      <c r="I655" s="6">
        <v>4</v>
      </c>
      <c r="J655" s="6">
        <v>7900</v>
      </c>
      <c r="K655" s="6">
        <v>4501.74</v>
      </c>
      <c r="L655" s="6">
        <v>3398.26</v>
      </c>
      <c r="M655" s="11">
        <f>Table13[[#This Row],[Profit]]/Table13[[#This Row],[Sales]]</f>
        <v>0.43015949367088613</v>
      </c>
      <c r="N655" s="6" t="str">
        <f>TEXT(Table13[[#This Row],[Order Date]],"mmm")</f>
        <v>Mar</v>
      </c>
      <c r="O655" s="6">
        <f>YEAR(Table13[[#This Row],[Order Date]])</f>
        <v>2025</v>
      </c>
    </row>
    <row r="656" spans="1:15" x14ac:dyDescent="0.3">
      <c r="A656" s="4" t="s">
        <v>1225</v>
      </c>
      <c r="B656" s="5">
        <v>45681</v>
      </c>
      <c r="C656" s="4" t="s">
        <v>981</v>
      </c>
      <c r="D656" s="4" t="s">
        <v>1226</v>
      </c>
      <c r="E656" s="4" t="s">
        <v>22</v>
      </c>
      <c r="F656" s="4" t="s">
        <v>23</v>
      </c>
      <c r="G656" s="4" t="s">
        <v>35</v>
      </c>
      <c r="H656" s="4" t="s">
        <v>36</v>
      </c>
      <c r="I656" s="6">
        <v>7</v>
      </c>
      <c r="J656" s="6">
        <v>4494</v>
      </c>
      <c r="K656" s="6">
        <v>3291.31</v>
      </c>
      <c r="L656" s="6">
        <v>1202.69</v>
      </c>
      <c r="M656" s="11">
        <f>Table13[[#This Row],[Profit]]/Table13[[#This Row],[Sales]]</f>
        <v>0.2676212728081887</v>
      </c>
      <c r="N656" s="6" t="str">
        <f>TEXT(Table13[[#This Row],[Order Date]],"mmm")</f>
        <v>Jan</v>
      </c>
      <c r="O656" s="6">
        <f>YEAR(Table13[[#This Row],[Order Date]])</f>
        <v>2025</v>
      </c>
    </row>
    <row r="657" spans="1:15" x14ac:dyDescent="0.3">
      <c r="A657" s="4" t="s">
        <v>1227</v>
      </c>
      <c r="B657" s="5">
        <v>45335</v>
      </c>
      <c r="C657" s="4" t="s">
        <v>197</v>
      </c>
      <c r="D657" s="4" t="s">
        <v>204</v>
      </c>
      <c r="E657" s="4" t="s">
        <v>15</v>
      </c>
      <c r="F657" s="4" t="s">
        <v>90</v>
      </c>
      <c r="G657" s="4" t="s">
        <v>24</v>
      </c>
      <c r="H657" s="4" t="s">
        <v>50</v>
      </c>
      <c r="I657" s="6">
        <v>8</v>
      </c>
      <c r="J657" s="6">
        <v>32336</v>
      </c>
      <c r="K657" s="6">
        <v>25807.46</v>
      </c>
      <c r="L657" s="6">
        <v>6528.54</v>
      </c>
      <c r="M657" s="11">
        <f>Table13[[#This Row],[Profit]]/Table13[[#This Row],[Sales]]</f>
        <v>0.20189695695200396</v>
      </c>
      <c r="N657" s="6" t="str">
        <f>TEXT(Table13[[#This Row],[Order Date]],"mmm")</f>
        <v>Feb</v>
      </c>
      <c r="O657" s="6">
        <f>YEAR(Table13[[#This Row],[Order Date]])</f>
        <v>2024</v>
      </c>
    </row>
    <row r="658" spans="1:15" x14ac:dyDescent="0.3">
      <c r="A658" s="4" t="s">
        <v>1228</v>
      </c>
      <c r="B658" s="5">
        <v>45937</v>
      </c>
      <c r="C658" s="4" t="s">
        <v>374</v>
      </c>
      <c r="D658" s="4" t="s">
        <v>335</v>
      </c>
      <c r="E658" s="4" t="s">
        <v>22</v>
      </c>
      <c r="F658" s="4" t="s">
        <v>79</v>
      </c>
      <c r="G658" s="4" t="s">
        <v>24</v>
      </c>
      <c r="H658" s="4" t="s">
        <v>25</v>
      </c>
      <c r="I658" s="6">
        <v>9</v>
      </c>
      <c r="J658" s="6">
        <v>31257</v>
      </c>
      <c r="K658" s="6">
        <v>22031.119999999999</v>
      </c>
      <c r="L658" s="6">
        <v>9225.8799999999992</v>
      </c>
      <c r="M658" s="11">
        <f>Table13[[#This Row],[Profit]]/Table13[[#This Row],[Sales]]</f>
        <v>0.29516204370221066</v>
      </c>
      <c r="N658" s="6" t="str">
        <f>TEXT(Table13[[#This Row],[Order Date]],"mmm")</f>
        <v>Oct</v>
      </c>
      <c r="O658" s="6">
        <f>YEAR(Table13[[#This Row],[Order Date]])</f>
        <v>2025</v>
      </c>
    </row>
    <row r="659" spans="1:15" x14ac:dyDescent="0.3">
      <c r="A659" s="4" t="s">
        <v>1229</v>
      </c>
      <c r="B659" s="5">
        <v>45724</v>
      </c>
      <c r="C659" s="4" t="s">
        <v>358</v>
      </c>
      <c r="D659" s="4" t="s">
        <v>813</v>
      </c>
      <c r="E659" s="4" t="s">
        <v>54</v>
      </c>
      <c r="F659" s="4" t="s">
        <v>55</v>
      </c>
      <c r="G659" s="4" t="s">
        <v>35</v>
      </c>
      <c r="H659" s="4" t="s">
        <v>36</v>
      </c>
      <c r="I659" s="6">
        <v>5</v>
      </c>
      <c r="J659" s="6">
        <v>13210</v>
      </c>
      <c r="K659" s="6">
        <v>9093.82</v>
      </c>
      <c r="L659" s="6">
        <v>4116.18</v>
      </c>
      <c r="M659" s="11">
        <f>Table13[[#This Row],[Profit]]/Table13[[#This Row],[Sales]]</f>
        <v>0.31159576078728241</v>
      </c>
      <c r="N659" s="6" t="str">
        <f>TEXT(Table13[[#This Row],[Order Date]],"mmm")</f>
        <v>Mar</v>
      </c>
      <c r="O659" s="6">
        <f>YEAR(Table13[[#This Row],[Order Date]])</f>
        <v>2025</v>
      </c>
    </row>
    <row r="660" spans="1:15" x14ac:dyDescent="0.3">
      <c r="A660" s="4" t="s">
        <v>1230</v>
      </c>
      <c r="B660" s="5">
        <v>45407</v>
      </c>
      <c r="C660" s="4" t="s">
        <v>361</v>
      </c>
      <c r="D660" s="4" t="s">
        <v>221</v>
      </c>
      <c r="E660" s="4" t="s">
        <v>29</v>
      </c>
      <c r="F660" s="4" t="s">
        <v>49</v>
      </c>
      <c r="G660" s="4" t="s">
        <v>17</v>
      </c>
      <c r="H660" s="4" t="s">
        <v>31</v>
      </c>
      <c r="I660" s="6">
        <v>8</v>
      </c>
      <c r="J660" s="6">
        <v>8320</v>
      </c>
      <c r="K660" s="6">
        <v>6379.73</v>
      </c>
      <c r="L660" s="6">
        <v>1940.27</v>
      </c>
      <c r="M660" s="11">
        <f>Table13[[#This Row],[Profit]]/Table13[[#This Row],[Sales]]</f>
        <v>0.23320552884615384</v>
      </c>
      <c r="N660" s="6" t="str">
        <f>TEXT(Table13[[#This Row],[Order Date]],"mmm")</f>
        <v>Apr</v>
      </c>
      <c r="O660" s="6">
        <f>YEAR(Table13[[#This Row],[Order Date]])</f>
        <v>2024</v>
      </c>
    </row>
    <row r="661" spans="1:15" x14ac:dyDescent="0.3">
      <c r="A661" s="4" t="s">
        <v>1231</v>
      </c>
      <c r="B661" s="5">
        <v>45756</v>
      </c>
      <c r="C661" s="4" t="s">
        <v>1232</v>
      </c>
      <c r="D661" s="4" t="s">
        <v>1233</v>
      </c>
      <c r="E661" s="4" t="s">
        <v>29</v>
      </c>
      <c r="F661" s="4" t="s">
        <v>49</v>
      </c>
      <c r="G661" s="4" t="s">
        <v>35</v>
      </c>
      <c r="H661" s="4" t="s">
        <v>36</v>
      </c>
      <c r="I661" s="6">
        <v>6</v>
      </c>
      <c r="J661" s="6">
        <v>23958</v>
      </c>
      <c r="K661" s="6">
        <v>13355.95</v>
      </c>
      <c r="L661" s="6">
        <v>10602.05</v>
      </c>
      <c r="M661" s="11">
        <f>Table13[[#This Row],[Profit]]/Table13[[#This Row],[Sales]]</f>
        <v>0.44252650471658733</v>
      </c>
      <c r="N661" s="6" t="str">
        <f>TEXT(Table13[[#This Row],[Order Date]],"mmm")</f>
        <v>Apr</v>
      </c>
      <c r="O661" s="6">
        <f>YEAR(Table13[[#This Row],[Order Date]])</f>
        <v>2025</v>
      </c>
    </row>
    <row r="662" spans="1:15" x14ac:dyDescent="0.3">
      <c r="A662" s="4" t="s">
        <v>1234</v>
      </c>
      <c r="B662" s="5">
        <v>46015</v>
      </c>
      <c r="C662" s="4" t="s">
        <v>290</v>
      </c>
      <c r="D662" s="4" t="s">
        <v>459</v>
      </c>
      <c r="E662" s="4" t="s">
        <v>15</v>
      </c>
      <c r="F662" s="4" t="s">
        <v>63</v>
      </c>
      <c r="G662" s="4" t="s">
        <v>40</v>
      </c>
      <c r="H662" s="4" t="s">
        <v>41</v>
      </c>
      <c r="I662" s="6">
        <v>3</v>
      </c>
      <c r="J662" s="6">
        <v>3936</v>
      </c>
      <c r="K662" s="6">
        <v>2272.48</v>
      </c>
      <c r="L662" s="6">
        <v>1663.52</v>
      </c>
      <c r="M662" s="11">
        <f>Table13[[#This Row],[Profit]]/Table13[[#This Row],[Sales]]</f>
        <v>0.4226422764227642</v>
      </c>
      <c r="N662" s="6" t="str">
        <f>TEXT(Table13[[#This Row],[Order Date]],"mmm")</f>
        <v>Dec</v>
      </c>
      <c r="O662" s="6">
        <f>YEAR(Table13[[#This Row],[Order Date]])</f>
        <v>2025</v>
      </c>
    </row>
    <row r="663" spans="1:15" x14ac:dyDescent="0.3">
      <c r="A663" s="4" t="s">
        <v>1235</v>
      </c>
      <c r="B663" s="5">
        <v>45455</v>
      </c>
      <c r="C663" s="4" t="s">
        <v>705</v>
      </c>
      <c r="D663" s="4" t="s">
        <v>869</v>
      </c>
      <c r="E663" s="4" t="s">
        <v>15</v>
      </c>
      <c r="F663" s="4" t="s">
        <v>90</v>
      </c>
      <c r="G663" s="4" t="s">
        <v>17</v>
      </c>
      <c r="H663" s="4" t="s">
        <v>18</v>
      </c>
      <c r="I663" s="6">
        <v>7</v>
      </c>
      <c r="J663" s="6">
        <v>31437</v>
      </c>
      <c r="K663" s="6">
        <v>23062.87</v>
      </c>
      <c r="L663" s="6">
        <v>8374.1299999999992</v>
      </c>
      <c r="M663" s="11">
        <f>Table13[[#This Row],[Profit]]/Table13[[#This Row],[Sales]]</f>
        <v>0.26637815313166013</v>
      </c>
      <c r="N663" s="6" t="str">
        <f>TEXT(Table13[[#This Row],[Order Date]],"mmm")</f>
        <v>Jun</v>
      </c>
      <c r="O663" s="6">
        <f>YEAR(Table13[[#This Row],[Order Date]])</f>
        <v>2024</v>
      </c>
    </row>
    <row r="664" spans="1:15" x14ac:dyDescent="0.3">
      <c r="A664" s="4" t="s">
        <v>1236</v>
      </c>
      <c r="B664" s="5">
        <v>45445</v>
      </c>
      <c r="C664" s="4" t="s">
        <v>498</v>
      </c>
      <c r="D664" s="4" t="s">
        <v>510</v>
      </c>
      <c r="E664" s="4" t="s">
        <v>22</v>
      </c>
      <c r="F664" s="4" t="s">
        <v>23</v>
      </c>
      <c r="G664" s="4" t="s">
        <v>24</v>
      </c>
      <c r="H664" s="4" t="s">
        <v>166</v>
      </c>
      <c r="I664" s="6">
        <v>6</v>
      </c>
      <c r="J664" s="6">
        <v>29592</v>
      </c>
      <c r="K664" s="6">
        <v>24010.7</v>
      </c>
      <c r="L664" s="6">
        <v>5581.3</v>
      </c>
      <c r="M664" s="11">
        <f>Table13[[#This Row],[Profit]]/Table13[[#This Row],[Sales]]</f>
        <v>0.18860840767775075</v>
      </c>
      <c r="N664" s="6" t="str">
        <f>TEXT(Table13[[#This Row],[Order Date]],"mmm")</f>
        <v>Jun</v>
      </c>
      <c r="O664" s="6">
        <f>YEAR(Table13[[#This Row],[Order Date]])</f>
        <v>2024</v>
      </c>
    </row>
    <row r="665" spans="1:15" x14ac:dyDescent="0.3">
      <c r="A665" s="4" t="s">
        <v>1237</v>
      </c>
      <c r="B665" s="5">
        <v>45748</v>
      </c>
      <c r="C665" s="4" t="s">
        <v>298</v>
      </c>
      <c r="D665" s="4" t="s">
        <v>436</v>
      </c>
      <c r="E665" s="4" t="s">
        <v>29</v>
      </c>
      <c r="F665" s="4" t="s">
        <v>30</v>
      </c>
      <c r="G665" s="4" t="s">
        <v>24</v>
      </c>
      <c r="H665" s="4" t="s">
        <v>25</v>
      </c>
      <c r="I665" s="6">
        <v>7</v>
      </c>
      <c r="J665" s="6">
        <v>19761</v>
      </c>
      <c r="K665" s="6">
        <v>12703.47</v>
      </c>
      <c r="L665" s="6">
        <v>7057.53</v>
      </c>
      <c r="M665" s="11">
        <f>Table13[[#This Row],[Profit]]/Table13[[#This Row],[Sales]]</f>
        <v>0.35714437528465159</v>
      </c>
      <c r="N665" s="6" t="str">
        <f>TEXT(Table13[[#This Row],[Order Date]],"mmm")</f>
        <v>Apr</v>
      </c>
      <c r="O665" s="6">
        <f>YEAR(Table13[[#This Row],[Order Date]])</f>
        <v>2025</v>
      </c>
    </row>
    <row r="666" spans="1:15" x14ac:dyDescent="0.3">
      <c r="A666" s="4" t="s">
        <v>1238</v>
      </c>
      <c r="B666" s="5">
        <v>45801</v>
      </c>
      <c r="C666" s="4" t="s">
        <v>331</v>
      </c>
      <c r="D666" s="4" t="s">
        <v>145</v>
      </c>
      <c r="E666" s="4" t="s">
        <v>15</v>
      </c>
      <c r="F666" s="4" t="s">
        <v>16</v>
      </c>
      <c r="G666" s="4" t="s">
        <v>40</v>
      </c>
      <c r="H666" s="4" t="s">
        <v>56</v>
      </c>
      <c r="I666" s="6">
        <v>1</v>
      </c>
      <c r="J666" s="6">
        <v>2373</v>
      </c>
      <c r="K666" s="6">
        <v>1313.84</v>
      </c>
      <c r="L666" s="6">
        <v>1059.1600000000001</v>
      </c>
      <c r="M666" s="11">
        <f>Table13[[#This Row],[Profit]]/Table13[[#This Row],[Sales]]</f>
        <v>0.44633796881584498</v>
      </c>
      <c r="N666" s="6" t="str">
        <f>TEXT(Table13[[#This Row],[Order Date]],"mmm")</f>
        <v>May</v>
      </c>
      <c r="O666" s="6">
        <f>YEAR(Table13[[#This Row],[Order Date]])</f>
        <v>2025</v>
      </c>
    </row>
    <row r="667" spans="1:15" x14ac:dyDescent="0.3">
      <c r="A667" s="4" t="s">
        <v>1239</v>
      </c>
      <c r="B667" s="5">
        <v>45779</v>
      </c>
      <c r="C667" s="4" t="s">
        <v>1240</v>
      </c>
      <c r="D667" s="4" t="s">
        <v>484</v>
      </c>
      <c r="E667" s="4" t="s">
        <v>15</v>
      </c>
      <c r="F667" s="4" t="s">
        <v>90</v>
      </c>
      <c r="G667" s="4" t="s">
        <v>35</v>
      </c>
      <c r="H667" s="4" t="s">
        <v>80</v>
      </c>
      <c r="I667" s="6">
        <v>4</v>
      </c>
      <c r="J667" s="6">
        <v>8304</v>
      </c>
      <c r="K667" s="6">
        <v>6034.17</v>
      </c>
      <c r="L667" s="6">
        <v>2269.83</v>
      </c>
      <c r="M667" s="11">
        <f>Table13[[#This Row],[Profit]]/Table13[[#This Row],[Sales]]</f>
        <v>0.27334176300578034</v>
      </c>
      <c r="N667" s="6" t="str">
        <f>TEXT(Table13[[#This Row],[Order Date]],"mmm")</f>
        <v>May</v>
      </c>
      <c r="O667" s="6">
        <f>YEAR(Table13[[#This Row],[Order Date]])</f>
        <v>2025</v>
      </c>
    </row>
    <row r="668" spans="1:15" x14ac:dyDescent="0.3">
      <c r="A668" s="4" t="s">
        <v>1241</v>
      </c>
      <c r="B668" s="5">
        <v>45852</v>
      </c>
      <c r="C668" s="4" t="s">
        <v>27</v>
      </c>
      <c r="D668" s="4" t="s">
        <v>612</v>
      </c>
      <c r="E668" s="4" t="s">
        <v>22</v>
      </c>
      <c r="F668" s="4" t="s">
        <v>23</v>
      </c>
      <c r="G668" s="4" t="s">
        <v>17</v>
      </c>
      <c r="H668" s="4" t="s">
        <v>72</v>
      </c>
      <c r="I668" s="6">
        <v>10</v>
      </c>
      <c r="J668" s="6">
        <v>3530</v>
      </c>
      <c r="K668" s="6">
        <v>2200.65</v>
      </c>
      <c r="L668" s="6">
        <v>1329.35</v>
      </c>
      <c r="M668" s="11">
        <f>Table13[[#This Row],[Profit]]/Table13[[#This Row],[Sales]]</f>
        <v>0.37658640226628892</v>
      </c>
      <c r="N668" s="6" t="str">
        <f>TEXT(Table13[[#This Row],[Order Date]],"mmm")</f>
        <v>Jul</v>
      </c>
      <c r="O668" s="6">
        <f>YEAR(Table13[[#This Row],[Order Date]])</f>
        <v>2025</v>
      </c>
    </row>
    <row r="669" spans="1:15" x14ac:dyDescent="0.3">
      <c r="A669" s="4" t="s">
        <v>1242</v>
      </c>
      <c r="B669" s="5">
        <v>45329</v>
      </c>
      <c r="C669" s="4" t="s">
        <v>1059</v>
      </c>
      <c r="D669" s="4" t="s">
        <v>1110</v>
      </c>
      <c r="E669" s="4" t="s">
        <v>29</v>
      </c>
      <c r="F669" s="4" t="s">
        <v>102</v>
      </c>
      <c r="G669" s="4" t="s">
        <v>24</v>
      </c>
      <c r="H669" s="4" t="s">
        <v>166</v>
      </c>
      <c r="I669" s="6">
        <v>3</v>
      </c>
      <c r="J669" s="6">
        <v>2253</v>
      </c>
      <c r="K669" s="6">
        <v>1680.7</v>
      </c>
      <c r="L669" s="6">
        <v>572.29999999999995</v>
      </c>
      <c r="M669" s="11">
        <f>Table13[[#This Row],[Profit]]/Table13[[#This Row],[Sales]]</f>
        <v>0.25401686640035503</v>
      </c>
      <c r="N669" s="6" t="str">
        <f>TEXT(Table13[[#This Row],[Order Date]],"mmm")</f>
        <v>Feb</v>
      </c>
      <c r="O669" s="6">
        <f>YEAR(Table13[[#This Row],[Order Date]])</f>
        <v>2024</v>
      </c>
    </row>
    <row r="670" spans="1:15" x14ac:dyDescent="0.3">
      <c r="A670" s="4" t="s">
        <v>1243</v>
      </c>
      <c r="B670" s="5">
        <v>45474</v>
      </c>
      <c r="C670" s="4" t="s">
        <v>154</v>
      </c>
      <c r="D670" s="4" t="s">
        <v>282</v>
      </c>
      <c r="E670" s="4" t="s">
        <v>54</v>
      </c>
      <c r="F670" s="4" t="s">
        <v>55</v>
      </c>
      <c r="G670" s="4" t="s">
        <v>24</v>
      </c>
      <c r="H670" s="4" t="s">
        <v>50</v>
      </c>
      <c r="I670" s="6">
        <v>1</v>
      </c>
      <c r="J670" s="6">
        <v>1192</v>
      </c>
      <c r="K670" s="6">
        <v>804.7</v>
      </c>
      <c r="L670" s="6">
        <v>387.3</v>
      </c>
      <c r="M670" s="11">
        <f>Table13[[#This Row],[Profit]]/Table13[[#This Row],[Sales]]</f>
        <v>0.32491610738255033</v>
      </c>
      <c r="N670" s="6" t="str">
        <f>TEXT(Table13[[#This Row],[Order Date]],"mmm")</f>
        <v>Jul</v>
      </c>
      <c r="O670" s="6">
        <f>YEAR(Table13[[#This Row],[Order Date]])</f>
        <v>2024</v>
      </c>
    </row>
    <row r="671" spans="1:15" x14ac:dyDescent="0.3">
      <c r="A671" s="4" t="s">
        <v>1244</v>
      </c>
      <c r="B671" s="5">
        <v>45387</v>
      </c>
      <c r="C671" s="4" t="s">
        <v>137</v>
      </c>
      <c r="D671" s="4" t="s">
        <v>308</v>
      </c>
      <c r="E671" s="4" t="s">
        <v>29</v>
      </c>
      <c r="F671" s="4" t="s">
        <v>49</v>
      </c>
      <c r="G671" s="4" t="s">
        <v>17</v>
      </c>
      <c r="H671" s="4" t="s">
        <v>18</v>
      </c>
      <c r="I671" s="6">
        <v>10</v>
      </c>
      <c r="J671" s="6">
        <v>32500</v>
      </c>
      <c r="K671" s="6">
        <v>26956.93</v>
      </c>
      <c r="L671" s="6">
        <v>5543.07</v>
      </c>
      <c r="M671" s="11">
        <f>Table13[[#This Row],[Profit]]/Table13[[#This Row],[Sales]]</f>
        <v>0.17055599999999999</v>
      </c>
      <c r="N671" s="6" t="str">
        <f>TEXT(Table13[[#This Row],[Order Date]],"mmm")</f>
        <v>Apr</v>
      </c>
      <c r="O671" s="6">
        <f>YEAR(Table13[[#This Row],[Order Date]])</f>
        <v>2024</v>
      </c>
    </row>
    <row r="672" spans="1:15" x14ac:dyDescent="0.3">
      <c r="A672" s="4" t="s">
        <v>1245</v>
      </c>
      <c r="B672" s="5">
        <v>45774</v>
      </c>
      <c r="C672" s="4" t="s">
        <v>1069</v>
      </c>
      <c r="D672" s="4" t="s">
        <v>327</v>
      </c>
      <c r="E672" s="4" t="s">
        <v>54</v>
      </c>
      <c r="F672" s="4" t="s">
        <v>55</v>
      </c>
      <c r="G672" s="4" t="s">
        <v>24</v>
      </c>
      <c r="H672" s="4" t="s">
        <v>50</v>
      </c>
      <c r="I672" s="6">
        <v>7</v>
      </c>
      <c r="J672" s="6">
        <v>33663</v>
      </c>
      <c r="K672" s="6">
        <v>19170.330000000002</v>
      </c>
      <c r="L672" s="6">
        <v>14492.67</v>
      </c>
      <c r="M672" s="11">
        <f>Table13[[#This Row],[Profit]]/Table13[[#This Row],[Sales]]</f>
        <v>0.43052223509491133</v>
      </c>
      <c r="N672" s="6" t="str">
        <f>TEXT(Table13[[#This Row],[Order Date]],"mmm")</f>
        <v>Apr</v>
      </c>
      <c r="O672" s="6">
        <f>YEAR(Table13[[#This Row],[Order Date]])</f>
        <v>2025</v>
      </c>
    </row>
    <row r="673" spans="1:15" x14ac:dyDescent="0.3">
      <c r="A673" s="4" t="s">
        <v>1246</v>
      </c>
      <c r="B673" s="5">
        <v>45506</v>
      </c>
      <c r="C673" s="4" t="s">
        <v>472</v>
      </c>
      <c r="D673" s="4" t="s">
        <v>852</v>
      </c>
      <c r="E673" s="4" t="s">
        <v>54</v>
      </c>
      <c r="F673" s="4" t="s">
        <v>55</v>
      </c>
      <c r="G673" s="4" t="s">
        <v>35</v>
      </c>
      <c r="H673" s="4" t="s">
        <v>45</v>
      </c>
      <c r="I673" s="6">
        <v>7</v>
      </c>
      <c r="J673" s="6">
        <v>32179</v>
      </c>
      <c r="K673" s="6">
        <v>19724.23</v>
      </c>
      <c r="L673" s="6">
        <v>12454.77</v>
      </c>
      <c r="M673" s="11">
        <f>Table13[[#This Row],[Profit]]/Table13[[#This Row],[Sales]]</f>
        <v>0.38704652102302745</v>
      </c>
      <c r="N673" s="6" t="str">
        <f>TEXT(Table13[[#This Row],[Order Date]],"mmm")</f>
        <v>Aug</v>
      </c>
      <c r="O673" s="6">
        <f>YEAR(Table13[[#This Row],[Order Date]])</f>
        <v>2024</v>
      </c>
    </row>
    <row r="674" spans="1:15" x14ac:dyDescent="0.3">
      <c r="A674" s="4" t="s">
        <v>1247</v>
      </c>
      <c r="B674" s="5">
        <v>45616</v>
      </c>
      <c r="C674" s="4" t="s">
        <v>260</v>
      </c>
      <c r="D674" s="4" t="s">
        <v>561</v>
      </c>
      <c r="E674" s="4" t="s">
        <v>15</v>
      </c>
      <c r="F674" s="4" t="s">
        <v>63</v>
      </c>
      <c r="G674" s="4" t="s">
        <v>17</v>
      </c>
      <c r="H674" s="4" t="s">
        <v>18</v>
      </c>
      <c r="I674" s="6">
        <v>10</v>
      </c>
      <c r="J674" s="6">
        <v>26520</v>
      </c>
      <c r="K674" s="6">
        <v>17983.64</v>
      </c>
      <c r="L674" s="6">
        <v>8536.36</v>
      </c>
      <c r="M674" s="11">
        <f>Table13[[#This Row],[Profit]]/Table13[[#This Row],[Sales]]</f>
        <v>0.32188386123680246</v>
      </c>
      <c r="N674" s="6" t="str">
        <f>TEXT(Table13[[#This Row],[Order Date]],"mmm")</f>
        <v>Nov</v>
      </c>
      <c r="O674" s="6">
        <f>YEAR(Table13[[#This Row],[Order Date]])</f>
        <v>2024</v>
      </c>
    </row>
    <row r="675" spans="1:15" x14ac:dyDescent="0.3">
      <c r="A675" s="4" t="s">
        <v>1248</v>
      </c>
      <c r="B675" s="5">
        <v>45939</v>
      </c>
      <c r="C675" s="4" t="s">
        <v>865</v>
      </c>
      <c r="D675" s="4" t="s">
        <v>70</v>
      </c>
      <c r="E675" s="4" t="s">
        <v>54</v>
      </c>
      <c r="F675" s="4" t="s">
        <v>142</v>
      </c>
      <c r="G675" s="4" t="s">
        <v>17</v>
      </c>
      <c r="H675" s="4" t="s">
        <v>72</v>
      </c>
      <c r="I675" s="6">
        <v>10</v>
      </c>
      <c r="J675" s="6">
        <v>43660</v>
      </c>
      <c r="K675" s="6">
        <v>30820.11</v>
      </c>
      <c r="L675" s="6">
        <v>12839.89</v>
      </c>
      <c r="M675" s="11">
        <f>Table13[[#This Row],[Profit]]/Table13[[#This Row],[Sales]]</f>
        <v>0.2940881814017407</v>
      </c>
      <c r="N675" s="6" t="str">
        <f>TEXT(Table13[[#This Row],[Order Date]],"mmm")</f>
        <v>Oct</v>
      </c>
      <c r="O675" s="6">
        <f>YEAR(Table13[[#This Row],[Order Date]])</f>
        <v>2025</v>
      </c>
    </row>
    <row r="676" spans="1:15" x14ac:dyDescent="0.3">
      <c r="A676" s="4" t="s">
        <v>1249</v>
      </c>
      <c r="B676" s="5">
        <v>45316</v>
      </c>
      <c r="C676" s="4" t="s">
        <v>1250</v>
      </c>
      <c r="D676" s="4" t="s">
        <v>973</v>
      </c>
      <c r="E676" s="4" t="s">
        <v>29</v>
      </c>
      <c r="F676" s="4" t="s">
        <v>30</v>
      </c>
      <c r="G676" s="4" t="s">
        <v>40</v>
      </c>
      <c r="H676" s="4" t="s">
        <v>56</v>
      </c>
      <c r="I676" s="6">
        <v>5</v>
      </c>
      <c r="J676" s="6">
        <v>9425</v>
      </c>
      <c r="K676" s="6">
        <v>5188.22</v>
      </c>
      <c r="L676" s="6">
        <v>4236.78</v>
      </c>
      <c r="M676" s="11">
        <f>Table13[[#This Row],[Profit]]/Table13[[#This Row],[Sales]]</f>
        <v>0.44952572944297081</v>
      </c>
      <c r="N676" s="6" t="str">
        <f>TEXT(Table13[[#This Row],[Order Date]],"mmm")</f>
        <v>Jan</v>
      </c>
      <c r="O676" s="6">
        <f>YEAR(Table13[[#This Row],[Order Date]])</f>
        <v>2024</v>
      </c>
    </row>
    <row r="677" spans="1:15" x14ac:dyDescent="0.3">
      <c r="A677" s="4" t="s">
        <v>1251</v>
      </c>
      <c r="B677" s="5">
        <v>45865</v>
      </c>
      <c r="C677" s="4" t="s">
        <v>1252</v>
      </c>
      <c r="D677" s="4" t="s">
        <v>746</v>
      </c>
      <c r="E677" s="4" t="s">
        <v>29</v>
      </c>
      <c r="F677" s="4" t="s">
        <v>30</v>
      </c>
      <c r="G677" s="4" t="s">
        <v>35</v>
      </c>
      <c r="H677" s="4" t="s">
        <v>36</v>
      </c>
      <c r="I677" s="6">
        <v>7</v>
      </c>
      <c r="J677" s="6">
        <v>4704</v>
      </c>
      <c r="K677" s="6">
        <v>3058.25</v>
      </c>
      <c r="L677" s="6">
        <v>1645.75</v>
      </c>
      <c r="M677" s="11">
        <f>Table13[[#This Row],[Profit]]/Table13[[#This Row],[Sales]]</f>
        <v>0.34986181972789115</v>
      </c>
      <c r="N677" s="6" t="str">
        <f>TEXT(Table13[[#This Row],[Order Date]],"mmm")</f>
        <v>Jul</v>
      </c>
      <c r="O677" s="6">
        <f>YEAR(Table13[[#This Row],[Order Date]])</f>
        <v>2025</v>
      </c>
    </row>
    <row r="678" spans="1:15" x14ac:dyDescent="0.3">
      <c r="A678" s="4" t="s">
        <v>1253</v>
      </c>
      <c r="B678" s="5">
        <v>45810</v>
      </c>
      <c r="C678" s="4" t="s">
        <v>318</v>
      </c>
      <c r="D678" s="4" t="s">
        <v>308</v>
      </c>
      <c r="E678" s="4" t="s">
        <v>29</v>
      </c>
      <c r="F678" s="4" t="s">
        <v>30</v>
      </c>
      <c r="G678" s="4" t="s">
        <v>40</v>
      </c>
      <c r="H678" s="4" t="s">
        <v>99</v>
      </c>
      <c r="I678" s="6">
        <v>5</v>
      </c>
      <c r="J678" s="6">
        <v>4275</v>
      </c>
      <c r="K678" s="6">
        <v>2745.97</v>
      </c>
      <c r="L678" s="6">
        <v>1529.03</v>
      </c>
      <c r="M678" s="11">
        <f>Table13[[#This Row],[Profit]]/Table13[[#This Row],[Sales]]</f>
        <v>0.35766783625730991</v>
      </c>
      <c r="N678" s="6" t="str">
        <f>TEXT(Table13[[#This Row],[Order Date]],"mmm")</f>
        <v>Jun</v>
      </c>
      <c r="O678" s="6">
        <f>YEAR(Table13[[#This Row],[Order Date]])</f>
        <v>2025</v>
      </c>
    </row>
    <row r="679" spans="1:15" x14ac:dyDescent="0.3">
      <c r="A679" s="4" t="s">
        <v>1254</v>
      </c>
      <c r="B679" s="5">
        <v>45874</v>
      </c>
      <c r="C679" s="4" t="s">
        <v>1255</v>
      </c>
      <c r="D679" s="4" t="s">
        <v>1256</v>
      </c>
      <c r="E679" s="4" t="s">
        <v>15</v>
      </c>
      <c r="F679" s="4" t="s">
        <v>16</v>
      </c>
      <c r="G679" s="4" t="s">
        <v>17</v>
      </c>
      <c r="H679" s="4" t="s">
        <v>31</v>
      </c>
      <c r="I679" s="6">
        <v>6</v>
      </c>
      <c r="J679" s="6">
        <v>18576</v>
      </c>
      <c r="K679" s="6">
        <v>12423.9</v>
      </c>
      <c r="L679" s="6">
        <v>6152.1</v>
      </c>
      <c r="M679" s="11">
        <f>Table13[[#This Row],[Profit]]/Table13[[#This Row],[Sales]]</f>
        <v>0.3311854005167959</v>
      </c>
      <c r="N679" s="6" t="str">
        <f>TEXT(Table13[[#This Row],[Order Date]],"mmm")</f>
        <v>Aug</v>
      </c>
      <c r="O679" s="6">
        <f>YEAR(Table13[[#This Row],[Order Date]])</f>
        <v>2025</v>
      </c>
    </row>
    <row r="680" spans="1:15" x14ac:dyDescent="0.3">
      <c r="A680" s="4" t="s">
        <v>1257</v>
      </c>
      <c r="B680" s="5">
        <v>45953</v>
      </c>
      <c r="C680" s="4" t="s">
        <v>882</v>
      </c>
      <c r="D680" s="4" t="s">
        <v>977</v>
      </c>
      <c r="E680" s="4" t="s">
        <v>29</v>
      </c>
      <c r="F680" s="4" t="s">
        <v>49</v>
      </c>
      <c r="G680" s="4" t="s">
        <v>40</v>
      </c>
      <c r="H680" s="4" t="s">
        <v>41</v>
      </c>
      <c r="I680" s="6">
        <v>8</v>
      </c>
      <c r="J680" s="6">
        <v>33496</v>
      </c>
      <c r="K680" s="6">
        <v>26434.25</v>
      </c>
      <c r="L680" s="6">
        <v>7061.75</v>
      </c>
      <c r="M680" s="11">
        <f>Table13[[#This Row],[Profit]]/Table13[[#This Row],[Sales]]</f>
        <v>0.21082368043945546</v>
      </c>
      <c r="N680" s="6" t="str">
        <f>TEXT(Table13[[#This Row],[Order Date]],"mmm")</f>
        <v>Oct</v>
      </c>
      <c r="O680" s="6">
        <f>YEAR(Table13[[#This Row],[Order Date]])</f>
        <v>2025</v>
      </c>
    </row>
    <row r="681" spans="1:15" x14ac:dyDescent="0.3">
      <c r="A681" s="4" t="s">
        <v>1258</v>
      </c>
      <c r="B681" s="5">
        <v>45715</v>
      </c>
      <c r="C681" s="4" t="s">
        <v>58</v>
      </c>
      <c r="D681" s="4" t="s">
        <v>971</v>
      </c>
      <c r="E681" s="4" t="s">
        <v>29</v>
      </c>
      <c r="F681" s="4" t="s">
        <v>30</v>
      </c>
      <c r="G681" s="4" t="s">
        <v>35</v>
      </c>
      <c r="H681" s="4" t="s">
        <v>80</v>
      </c>
      <c r="I681" s="6">
        <v>9</v>
      </c>
      <c r="J681" s="6">
        <v>27405</v>
      </c>
      <c r="K681" s="6">
        <v>18874.95</v>
      </c>
      <c r="L681" s="6">
        <v>8530.0499999999993</v>
      </c>
      <c r="M681" s="11">
        <f>Table13[[#This Row],[Profit]]/Table13[[#This Row],[Sales]]</f>
        <v>0.31125889436234261</v>
      </c>
      <c r="N681" s="6" t="str">
        <f>TEXT(Table13[[#This Row],[Order Date]],"mmm")</f>
        <v>Feb</v>
      </c>
      <c r="O681" s="6">
        <f>YEAR(Table13[[#This Row],[Order Date]])</f>
        <v>2025</v>
      </c>
    </row>
    <row r="682" spans="1:15" x14ac:dyDescent="0.3">
      <c r="A682" s="4" t="s">
        <v>1259</v>
      </c>
      <c r="B682" s="5">
        <v>45505</v>
      </c>
      <c r="C682" s="4" t="s">
        <v>107</v>
      </c>
      <c r="D682" s="4" t="s">
        <v>1026</v>
      </c>
      <c r="E682" s="4" t="s">
        <v>54</v>
      </c>
      <c r="F682" s="4" t="s">
        <v>71</v>
      </c>
      <c r="G682" s="4" t="s">
        <v>17</v>
      </c>
      <c r="H682" s="4" t="s">
        <v>18</v>
      </c>
      <c r="I682" s="6">
        <v>6</v>
      </c>
      <c r="J682" s="6">
        <v>29088</v>
      </c>
      <c r="K682" s="6">
        <v>20674.75</v>
      </c>
      <c r="L682" s="6">
        <v>8413.25</v>
      </c>
      <c r="M682" s="11">
        <f>Table13[[#This Row],[Profit]]/Table13[[#This Row],[Sales]]</f>
        <v>0.28923439218921893</v>
      </c>
      <c r="N682" s="6" t="str">
        <f>TEXT(Table13[[#This Row],[Order Date]],"mmm")</f>
        <v>Aug</v>
      </c>
      <c r="O682" s="6">
        <f>YEAR(Table13[[#This Row],[Order Date]])</f>
        <v>2024</v>
      </c>
    </row>
    <row r="683" spans="1:15" x14ac:dyDescent="0.3">
      <c r="A683" s="4" t="s">
        <v>1260</v>
      </c>
      <c r="B683" s="5">
        <v>45676</v>
      </c>
      <c r="C683" s="4" t="s">
        <v>52</v>
      </c>
      <c r="D683" s="4" t="s">
        <v>121</v>
      </c>
      <c r="E683" s="4" t="s">
        <v>54</v>
      </c>
      <c r="F683" s="4" t="s">
        <v>142</v>
      </c>
      <c r="G683" s="4" t="s">
        <v>24</v>
      </c>
      <c r="H683" s="4" t="s">
        <v>166</v>
      </c>
      <c r="I683" s="6">
        <v>5</v>
      </c>
      <c r="J683" s="6">
        <v>2775</v>
      </c>
      <c r="K683" s="6">
        <v>1808.59</v>
      </c>
      <c r="L683" s="6">
        <v>966.41</v>
      </c>
      <c r="M683" s="11">
        <f>Table13[[#This Row],[Profit]]/Table13[[#This Row],[Sales]]</f>
        <v>0.34825585585585583</v>
      </c>
      <c r="N683" s="6" t="str">
        <f>TEXT(Table13[[#This Row],[Order Date]],"mmm")</f>
        <v>Jan</v>
      </c>
      <c r="O683" s="6">
        <f>YEAR(Table13[[#This Row],[Order Date]])</f>
        <v>2025</v>
      </c>
    </row>
    <row r="684" spans="1:15" x14ac:dyDescent="0.3">
      <c r="A684" s="4" t="s">
        <v>1261</v>
      </c>
      <c r="B684" s="5">
        <v>45614</v>
      </c>
      <c r="C684" s="4" t="s">
        <v>393</v>
      </c>
      <c r="D684" s="4" t="s">
        <v>533</v>
      </c>
      <c r="E684" s="4" t="s">
        <v>22</v>
      </c>
      <c r="F684" s="4" t="s">
        <v>23</v>
      </c>
      <c r="G684" s="4" t="s">
        <v>17</v>
      </c>
      <c r="H684" s="4" t="s">
        <v>72</v>
      </c>
      <c r="I684" s="6">
        <v>2</v>
      </c>
      <c r="J684" s="6">
        <v>5650</v>
      </c>
      <c r="K684" s="6">
        <v>4302.93</v>
      </c>
      <c r="L684" s="6">
        <v>1347.07</v>
      </c>
      <c r="M684" s="11">
        <f>Table13[[#This Row],[Profit]]/Table13[[#This Row],[Sales]]</f>
        <v>0.23841946902654867</v>
      </c>
      <c r="N684" s="6" t="str">
        <f>TEXT(Table13[[#This Row],[Order Date]],"mmm")</f>
        <v>Nov</v>
      </c>
      <c r="O684" s="6">
        <f>YEAR(Table13[[#This Row],[Order Date]])</f>
        <v>2024</v>
      </c>
    </row>
    <row r="685" spans="1:15" x14ac:dyDescent="0.3">
      <c r="A685" s="4" t="s">
        <v>1262</v>
      </c>
      <c r="B685" s="5">
        <v>45601</v>
      </c>
      <c r="C685" s="4" t="s">
        <v>1263</v>
      </c>
      <c r="D685" s="4" t="s">
        <v>631</v>
      </c>
      <c r="E685" s="4" t="s">
        <v>22</v>
      </c>
      <c r="F685" s="4" t="s">
        <v>23</v>
      </c>
      <c r="G685" s="4" t="s">
        <v>35</v>
      </c>
      <c r="H685" s="4" t="s">
        <v>80</v>
      </c>
      <c r="I685" s="6">
        <v>4</v>
      </c>
      <c r="J685" s="6">
        <v>13376</v>
      </c>
      <c r="K685" s="6">
        <v>9170.2099999999991</v>
      </c>
      <c r="L685" s="6">
        <v>4205.79</v>
      </c>
      <c r="M685" s="11">
        <f>Table13[[#This Row],[Profit]]/Table13[[#This Row],[Sales]]</f>
        <v>0.31442808014354068</v>
      </c>
      <c r="N685" s="6" t="str">
        <f>TEXT(Table13[[#This Row],[Order Date]],"mmm")</f>
        <v>Nov</v>
      </c>
      <c r="O685" s="6">
        <f>YEAR(Table13[[#This Row],[Order Date]])</f>
        <v>2024</v>
      </c>
    </row>
    <row r="686" spans="1:15" x14ac:dyDescent="0.3">
      <c r="A686" s="4" t="s">
        <v>1264</v>
      </c>
      <c r="B686" s="5">
        <v>45386</v>
      </c>
      <c r="C686" s="4" t="s">
        <v>500</v>
      </c>
      <c r="D686" s="4" t="s">
        <v>184</v>
      </c>
      <c r="E686" s="4" t="s">
        <v>54</v>
      </c>
      <c r="F686" s="4" t="s">
        <v>142</v>
      </c>
      <c r="G686" s="4" t="s">
        <v>24</v>
      </c>
      <c r="H686" s="4" t="s">
        <v>50</v>
      </c>
      <c r="I686" s="6">
        <v>6</v>
      </c>
      <c r="J686" s="6">
        <v>3636</v>
      </c>
      <c r="K686" s="6">
        <v>2848.21</v>
      </c>
      <c r="L686" s="6">
        <v>787.79</v>
      </c>
      <c r="M686" s="11">
        <f>Table13[[#This Row],[Profit]]/Table13[[#This Row],[Sales]]</f>
        <v>0.21666391639163915</v>
      </c>
      <c r="N686" s="6" t="str">
        <f>TEXT(Table13[[#This Row],[Order Date]],"mmm")</f>
        <v>Apr</v>
      </c>
      <c r="O686" s="6">
        <f>YEAR(Table13[[#This Row],[Order Date]])</f>
        <v>2024</v>
      </c>
    </row>
    <row r="687" spans="1:15" x14ac:dyDescent="0.3">
      <c r="A687" s="4" t="s">
        <v>1265</v>
      </c>
      <c r="B687" s="5">
        <v>45787</v>
      </c>
      <c r="C687" s="4" t="s">
        <v>1266</v>
      </c>
      <c r="D687" s="4" t="s">
        <v>1267</v>
      </c>
      <c r="E687" s="4" t="s">
        <v>15</v>
      </c>
      <c r="F687" s="4" t="s">
        <v>63</v>
      </c>
      <c r="G687" s="4" t="s">
        <v>35</v>
      </c>
      <c r="H687" s="4" t="s">
        <v>45</v>
      </c>
      <c r="I687" s="6">
        <v>3</v>
      </c>
      <c r="J687" s="6">
        <v>5574</v>
      </c>
      <c r="K687" s="6">
        <v>3634.44</v>
      </c>
      <c r="L687" s="6">
        <v>1939.56</v>
      </c>
      <c r="M687" s="11">
        <f>Table13[[#This Row],[Profit]]/Table13[[#This Row],[Sales]]</f>
        <v>0.34796555435952636</v>
      </c>
      <c r="N687" s="6" t="str">
        <f>TEXT(Table13[[#This Row],[Order Date]],"mmm")</f>
        <v>May</v>
      </c>
      <c r="O687" s="6">
        <f>YEAR(Table13[[#This Row],[Order Date]])</f>
        <v>2025</v>
      </c>
    </row>
    <row r="688" spans="1:15" x14ac:dyDescent="0.3">
      <c r="A688" s="4" t="s">
        <v>1268</v>
      </c>
      <c r="B688" s="5">
        <v>45329</v>
      </c>
      <c r="C688" s="4" t="s">
        <v>458</v>
      </c>
      <c r="D688" s="4" t="s">
        <v>944</v>
      </c>
      <c r="E688" s="4" t="s">
        <v>54</v>
      </c>
      <c r="F688" s="4" t="s">
        <v>142</v>
      </c>
      <c r="G688" s="4" t="s">
        <v>24</v>
      </c>
      <c r="H688" s="4" t="s">
        <v>50</v>
      </c>
      <c r="I688" s="6">
        <v>9</v>
      </c>
      <c r="J688" s="6">
        <v>12483</v>
      </c>
      <c r="K688" s="6">
        <v>7634.06</v>
      </c>
      <c r="L688" s="6">
        <v>4848.9399999999996</v>
      </c>
      <c r="M688" s="11">
        <f>Table13[[#This Row],[Profit]]/Table13[[#This Row],[Sales]]</f>
        <v>0.38844348313706639</v>
      </c>
      <c r="N688" s="6" t="str">
        <f>TEXT(Table13[[#This Row],[Order Date]],"mmm")</f>
        <v>Feb</v>
      </c>
      <c r="O688" s="6">
        <f>YEAR(Table13[[#This Row],[Order Date]])</f>
        <v>2024</v>
      </c>
    </row>
    <row r="689" spans="1:15" x14ac:dyDescent="0.3">
      <c r="A689" s="4" t="s">
        <v>1269</v>
      </c>
      <c r="B689" s="5">
        <v>45339</v>
      </c>
      <c r="C689" s="4" t="s">
        <v>33</v>
      </c>
      <c r="D689" s="4" t="s">
        <v>971</v>
      </c>
      <c r="E689" s="4" t="s">
        <v>15</v>
      </c>
      <c r="F689" s="4" t="s">
        <v>16</v>
      </c>
      <c r="G689" s="4" t="s">
        <v>40</v>
      </c>
      <c r="H689" s="4" t="s">
        <v>99</v>
      </c>
      <c r="I689" s="6">
        <v>1</v>
      </c>
      <c r="J689" s="6">
        <v>1013</v>
      </c>
      <c r="K689" s="6">
        <v>658.44</v>
      </c>
      <c r="L689" s="6">
        <v>354.56</v>
      </c>
      <c r="M689" s="11">
        <f>Table13[[#This Row],[Profit]]/Table13[[#This Row],[Sales]]</f>
        <v>0.35000987166831193</v>
      </c>
      <c r="N689" s="6" t="str">
        <f>TEXT(Table13[[#This Row],[Order Date]],"mmm")</f>
        <v>Feb</v>
      </c>
      <c r="O689" s="6">
        <f>YEAR(Table13[[#This Row],[Order Date]])</f>
        <v>2024</v>
      </c>
    </row>
    <row r="690" spans="1:15" x14ac:dyDescent="0.3">
      <c r="A690" s="4" t="s">
        <v>1270</v>
      </c>
      <c r="B690" s="5">
        <v>45489</v>
      </c>
      <c r="C690" s="4" t="s">
        <v>1271</v>
      </c>
      <c r="D690" s="4" t="s">
        <v>401</v>
      </c>
      <c r="E690" s="4" t="s">
        <v>54</v>
      </c>
      <c r="F690" s="4" t="s">
        <v>142</v>
      </c>
      <c r="G690" s="4" t="s">
        <v>17</v>
      </c>
      <c r="H690" s="4" t="s">
        <v>72</v>
      </c>
      <c r="I690" s="6">
        <v>5</v>
      </c>
      <c r="J690" s="6">
        <v>10095</v>
      </c>
      <c r="K690" s="6">
        <v>6524.04</v>
      </c>
      <c r="L690" s="6">
        <v>3570.96</v>
      </c>
      <c r="M690" s="11">
        <f>Table13[[#This Row],[Profit]]/Table13[[#This Row],[Sales]]</f>
        <v>0.35373551263001485</v>
      </c>
      <c r="N690" s="6" t="str">
        <f>TEXT(Table13[[#This Row],[Order Date]],"mmm")</f>
        <v>Jul</v>
      </c>
      <c r="O690" s="6">
        <f>YEAR(Table13[[#This Row],[Order Date]])</f>
        <v>2024</v>
      </c>
    </row>
    <row r="691" spans="1:15" x14ac:dyDescent="0.3">
      <c r="A691" s="4" t="s">
        <v>1272</v>
      </c>
      <c r="B691" s="5">
        <v>45572</v>
      </c>
      <c r="C691" s="4" t="s">
        <v>77</v>
      </c>
      <c r="D691" s="4" t="s">
        <v>404</v>
      </c>
      <c r="E691" s="4" t="s">
        <v>54</v>
      </c>
      <c r="F691" s="4" t="s">
        <v>55</v>
      </c>
      <c r="G691" s="4" t="s">
        <v>17</v>
      </c>
      <c r="H691" s="4" t="s">
        <v>31</v>
      </c>
      <c r="I691" s="6">
        <v>2</v>
      </c>
      <c r="J691" s="6">
        <v>5066</v>
      </c>
      <c r="K691" s="6">
        <v>3013.24</v>
      </c>
      <c r="L691" s="6">
        <v>2052.7600000000002</v>
      </c>
      <c r="M691" s="11">
        <f>Table13[[#This Row],[Profit]]/Table13[[#This Row],[Sales]]</f>
        <v>0.40520331622581923</v>
      </c>
      <c r="N691" s="6" t="str">
        <f>TEXT(Table13[[#This Row],[Order Date]],"mmm")</f>
        <v>Oct</v>
      </c>
      <c r="O691" s="6">
        <f>YEAR(Table13[[#This Row],[Order Date]])</f>
        <v>2024</v>
      </c>
    </row>
    <row r="692" spans="1:15" x14ac:dyDescent="0.3">
      <c r="A692" s="4" t="s">
        <v>1273</v>
      </c>
      <c r="B692" s="5">
        <v>45436</v>
      </c>
      <c r="C692" s="4" t="s">
        <v>810</v>
      </c>
      <c r="D692" s="4" t="s">
        <v>1274</v>
      </c>
      <c r="E692" s="4" t="s">
        <v>15</v>
      </c>
      <c r="F692" s="4" t="s">
        <v>16</v>
      </c>
      <c r="G692" s="4" t="s">
        <v>35</v>
      </c>
      <c r="H692" s="4" t="s">
        <v>45</v>
      </c>
      <c r="I692" s="6">
        <v>6</v>
      </c>
      <c r="J692" s="6">
        <v>28800</v>
      </c>
      <c r="K692" s="6">
        <v>18591.71</v>
      </c>
      <c r="L692" s="6">
        <v>10208.290000000001</v>
      </c>
      <c r="M692" s="11">
        <f>Table13[[#This Row],[Profit]]/Table13[[#This Row],[Sales]]</f>
        <v>0.35445451388888893</v>
      </c>
      <c r="N692" s="6" t="str">
        <f>TEXT(Table13[[#This Row],[Order Date]],"mmm")</f>
        <v>May</v>
      </c>
      <c r="O692" s="6">
        <f>YEAR(Table13[[#This Row],[Order Date]])</f>
        <v>2024</v>
      </c>
    </row>
    <row r="693" spans="1:15" x14ac:dyDescent="0.3">
      <c r="A693" s="4" t="s">
        <v>1275</v>
      </c>
      <c r="B693" s="5">
        <v>45343</v>
      </c>
      <c r="C693" s="4" t="s">
        <v>451</v>
      </c>
      <c r="D693" s="4" t="s">
        <v>174</v>
      </c>
      <c r="E693" s="4" t="s">
        <v>29</v>
      </c>
      <c r="F693" s="4" t="s">
        <v>102</v>
      </c>
      <c r="G693" s="4" t="s">
        <v>24</v>
      </c>
      <c r="H693" s="4" t="s">
        <v>50</v>
      </c>
      <c r="I693" s="6">
        <v>5</v>
      </c>
      <c r="J693" s="6">
        <v>15370</v>
      </c>
      <c r="K693" s="6">
        <v>10946.1</v>
      </c>
      <c r="L693" s="6">
        <v>4423.8999999999996</v>
      </c>
      <c r="M693" s="11">
        <f>Table13[[#This Row],[Profit]]/Table13[[#This Row],[Sales]]</f>
        <v>0.28782693558880934</v>
      </c>
      <c r="N693" s="6" t="str">
        <f>TEXT(Table13[[#This Row],[Order Date]],"mmm")</f>
        <v>Feb</v>
      </c>
      <c r="O693" s="6">
        <f>YEAR(Table13[[#This Row],[Order Date]])</f>
        <v>2024</v>
      </c>
    </row>
    <row r="694" spans="1:15" x14ac:dyDescent="0.3">
      <c r="A694" s="4" t="s">
        <v>1276</v>
      </c>
      <c r="B694" s="5">
        <v>45728</v>
      </c>
      <c r="C694" s="4" t="s">
        <v>1041</v>
      </c>
      <c r="D694" s="4" t="s">
        <v>1011</v>
      </c>
      <c r="E694" s="4" t="s">
        <v>22</v>
      </c>
      <c r="F694" s="4" t="s">
        <v>79</v>
      </c>
      <c r="G694" s="4" t="s">
        <v>24</v>
      </c>
      <c r="H694" s="4" t="s">
        <v>25</v>
      </c>
      <c r="I694" s="6">
        <v>2</v>
      </c>
      <c r="J694" s="6">
        <v>6884</v>
      </c>
      <c r="K694" s="6">
        <v>3897.31</v>
      </c>
      <c r="L694" s="6">
        <v>2986.69</v>
      </c>
      <c r="M694" s="11">
        <f>Table13[[#This Row],[Profit]]/Table13[[#This Row],[Sales]]</f>
        <v>0.43385967460778618</v>
      </c>
      <c r="N694" s="6" t="str">
        <f>TEXT(Table13[[#This Row],[Order Date]],"mmm")</f>
        <v>Mar</v>
      </c>
      <c r="O694" s="6">
        <f>YEAR(Table13[[#This Row],[Order Date]])</f>
        <v>2025</v>
      </c>
    </row>
    <row r="695" spans="1:15" x14ac:dyDescent="0.3">
      <c r="A695" s="4" t="s">
        <v>1277</v>
      </c>
      <c r="B695" s="5">
        <v>46022</v>
      </c>
      <c r="C695" s="4" t="s">
        <v>52</v>
      </c>
      <c r="D695" s="4" t="s">
        <v>539</v>
      </c>
      <c r="E695" s="4" t="s">
        <v>22</v>
      </c>
      <c r="F695" s="4" t="s">
        <v>79</v>
      </c>
      <c r="G695" s="4" t="s">
        <v>40</v>
      </c>
      <c r="H695" s="4" t="s">
        <v>41</v>
      </c>
      <c r="I695" s="6">
        <v>5</v>
      </c>
      <c r="J695" s="6">
        <v>15110</v>
      </c>
      <c r="K695" s="6">
        <v>12015.96</v>
      </c>
      <c r="L695" s="6">
        <v>3094.04</v>
      </c>
      <c r="M695" s="11">
        <f>Table13[[#This Row],[Profit]]/Table13[[#This Row],[Sales]]</f>
        <v>0.20476770350761084</v>
      </c>
      <c r="N695" s="6" t="str">
        <f>TEXT(Table13[[#This Row],[Order Date]],"mmm")</f>
        <v>Dec</v>
      </c>
      <c r="O695" s="6">
        <f>YEAR(Table13[[#This Row],[Order Date]])</f>
        <v>2025</v>
      </c>
    </row>
    <row r="696" spans="1:15" x14ac:dyDescent="0.3">
      <c r="A696" s="4" t="s">
        <v>1278</v>
      </c>
      <c r="B696" s="5">
        <v>45609</v>
      </c>
      <c r="C696" s="4" t="s">
        <v>1250</v>
      </c>
      <c r="D696" s="4" t="s">
        <v>1279</v>
      </c>
      <c r="E696" s="4" t="s">
        <v>22</v>
      </c>
      <c r="F696" s="4" t="s">
        <v>79</v>
      </c>
      <c r="G696" s="4" t="s">
        <v>24</v>
      </c>
      <c r="H696" s="4" t="s">
        <v>166</v>
      </c>
      <c r="I696" s="6">
        <v>2</v>
      </c>
      <c r="J696" s="6">
        <v>8272</v>
      </c>
      <c r="K696" s="6">
        <v>4790.97</v>
      </c>
      <c r="L696" s="6">
        <v>3481.03</v>
      </c>
      <c r="M696" s="11">
        <f>Table13[[#This Row],[Profit]]/Table13[[#This Row],[Sales]]</f>
        <v>0.42082084139264991</v>
      </c>
      <c r="N696" s="6" t="str">
        <f>TEXT(Table13[[#This Row],[Order Date]],"mmm")</f>
        <v>Nov</v>
      </c>
      <c r="O696" s="6">
        <f>YEAR(Table13[[#This Row],[Order Date]])</f>
        <v>2024</v>
      </c>
    </row>
    <row r="697" spans="1:15" x14ac:dyDescent="0.3">
      <c r="A697" s="4" t="s">
        <v>1280</v>
      </c>
      <c r="B697" s="5">
        <v>45693</v>
      </c>
      <c r="C697" s="4" t="s">
        <v>565</v>
      </c>
      <c r="D697" s="4" t="s">
        <v>1026</v>
      </c>
      <c r="E697" s="4" t="s">
        <v>29</v>
      </c>
      <c r="F697" s="4" t="s">
        <v>102</v>
      </c>
      <c r="G697" s="4" t="s">
        <v>24</v>
      </c>
      <c r="H697" s="4" t="s">
        <v>166</v>
      </c>
      <c r="I697" s="6">
        <v>10</v>
      </c>
      <c r="J697" s="6">
        <v>24130</v>
      </c>
      <c r="K697" s="6">
        <v>19879.71</v>
      </c>
      <c r="L697" s="6">
        <v>4250.29</v>
      </c>
      <c r="M697" s="11">
        <f>Table13[[#This Row],[Profit]]/Table13[[#This Row],[Sales]]</f>
        <v>0.1761413178615831</v>
      </c>
      <c r="N697" s="6" t="str">
        <f>TEXT(Table13[[#This Row],[Order Date]],"mmm")</f>
        <v>Feb</v>
      </c>
      <c r="O697" s="6">
        <f>YEAR(Table13[[#This Row],[Order Date]])</f>
        <v>2025</v>
      </c>
    </row>
    <row r="698" spans="1:15" x14ac:dyDescent="0.3">
      <c r="A698" s="4" t="s">
        <v>1281</v>
      </c>
      <c r="B698" s="5">
        <v>45651</v>
      </c>
      <c r="C698" s="4" t="s">
        <v>560</v>
      </c>
      <c r="D698" s="4" t="s">
        <v>1282</v>
      </c>
      <c r="E698" s="4" t="s">
        <v>54</v>
      </c>
      <c r="F698" s="4" t="s">
        <v>55</v>
      </c>
      <c r="G698" s="4" t="s">
        <v>35</v>
      </c>
      <c r="H698" s="4" t="s">
        <v>80</v>
      </c>
      <c r="I698" s="6">
        <v>1</v>
      </c>
      <c r="J698" s="6">
        <v>835</v>
      </c>
      <c r="K698" s="6">
        <v>578.32000000000005</v>
      </c>
      <c r="L698" s="6">
        <v>256.68</v>
      </c>
      <c r="M698" s="11">
        <f>Table13[[#This Row],[Profit]]/Table13[[#This Row],[Sales]]</f>
        <v>0.30740119760479045</v>
      </c>
      <c r="N698" s="6" t="str">
        <f>TEXT(Table13[[#This Row],[Order Date]],"mmm")</f>
        <v>Dec</v>
      </c>
      <c r="O698" s="6">
        <f>YEAR(Table13[[#This Row],[Order Date]])</f>
        <v>2024</v>
      </c>
    </row>
    <row r="699" spans="1:15" x14ac:dyDescent="0.3">
      <c r="A699" s="4" t="s">
        <v>1283</v>
      </c>
      <c r="B699" s="5">
        <v>45707</v>
      </c>
      <c r="C699" s="4" t="s">
        <v>745</v>
      </c>
      <c r="D699" s="4" t="s">
        <v>1180</v>
      </c>
      <c r="E699" s="4" t="s">
        <v>29</v>
      </c>
      <c r="F699" s="4" t="s">
        <v>49</v>
      </c>
      <c r="G699" s="4" t="s">
        <v>40</v>
      </c>
      <c r="H699" s="4" t="s">
        <v>41</v>
      </c>
      <c r="I699" s="6">
        <v>10</v>
      </c>
      <c r="J699" s="6">
        <v>13430</v>
      </c>
      <c r="K699" s="6">
        <v>9433.0300000000007</v>
      </c>
      <c r="L699" s="6">
        <v>3996.97</v>
      </c>
      <c r="M699" s="11">
        <f>Table13[[#This Row],[Profit]]/Table13[[#This Row],[Sales]]</f>
        <v>0.2976150409530901</v>
      </c>
      <c r="N699" s="6" t="str">
        <f>TEXT(Table13[[#This Row],[Order Date]],"mmm")</f>
        <v>Feb</v>
      </c>
      <c r="O699" s="6">
        <f>YEAR(Table13[[#This Row],[Order Date]])</f>
        <v>2025</v>
      </c>
    </row>
    <row r="700" spans="1:15" x14ac:dyDescent="0.3">
      <c r="A700" s="4" t="s">
        <v>1284</v>
      </c>
      <c r="B700" s="5">
        <v>45536</v>
      </c>
      <c r="C700" s="4" t="s">
        <v>1285</v>
      </c>
      <c r="D700" s="4" t="s">
        <v>414</v>
      </c>
      <c r="E700" s="4" t="s">
        <v>15</v>
      </c>
      <c r="F700" s="4" t="s">
        <v>63</v>
      </c>
      <c r="G700" s="4" t="s">
        <v>35</v>
      </c>
      <c r="H700" s="4" t="s">
        <v>45</v>
      </c>
      <c r="I700" s="6">
        <v>8</v>
      </c>
      <c r="J700" s="6">
        <v>28664</v>
      </c>
      <c r="K700" s="6">
        <v>20843.34</v>
      </c>
      <c r="L700" s="6">
        <v>7820.66</v>
      </c>
      <c r="M700" s="11">
        <f>Table13[[#This Row],[Profit]]/Table13[[#This Row],[Sales]]</f>
        <v>0.27283910131174993</v>
      </c>
      <c r="N700" s="6" t="str">
        <f>TEXT(Table13[[#This Row],[Order Date]],"mmm")</f>
        <v>Sep</v>
      </c>
      <c r="O700" s="6">
        <f>YEAR(Table13[[#This Row],[Order Date]])</f>
        <v>2024</v>
      </c>
    </row>
    <row r="701" spans="1:15" x14ac:dyDescent="0.3">
      <c r="A701" s="4" t="s">
        <v>1286</v>
      </c>
      <c r="B701" s="5">
        <v>46002</v>
      </c>
      <c r="C701" s="4" t="s">
        <v>416</v>
      </c>
      <c r="D701" s="4" t="s">
        <v>252</v>
      </c>
      <c r="E701" s="4" t="s">
        <v>29</v>
      </c>
      <c r="F701" s="4" t="s">
        <v>49</v>
      </c>
      <c r="G701" s="4" t="s">
        <v>35</v>
      </c>
      <c r="H701" s="4" t="s">
        <v>36</v>
      </c>
      <c r="I701" s="6">
        <v>2</v>
      </c>
      <c r="J701" s="6">
        <v>6182</v>
      </c>
      <c r="K701" s="6">
        <v>3786.3</v>
      </c>
      <c r="L701" s="6">
        <v>2395.6999999999998</v>
      </c>
      <c r="M701" s="11">
        <f>Table13[[#This Row],[Profit]]/Table13[[#This Row],[Sales]]</f>
        <v>0.3875283079909414</v>
      </c>
      <c r="N701" s="6" t="str">
        <f>TEXT(Table13[[#This Row],[Order Date]],"mmm")</f>
        <v>Dec</v>
      </c>
      <c r="O701" s="6">
        <f>YEAR(Table13[[#This Row],[Order Date]])</f>
        <v>2025</v>
      </c>
    </row>
    <row r="702" spans="1:15" x14ac:dyDescent="0.3">
      <c r="A702" s="4" t="s">
        <v>1287</v>
      </c>
      <c r="B702" s="5">
        <v>45371</v>
      </c>
      <c r="C702" s="4" t="s">
        <v>281</v>
      </c>
      <c r="D702" s="4" t="s">
        <v>124</v>
      </c>
      <c r="E702" s="4" t="s">
        <v>54</v>
      </c>
      <c r="F702" s="4" t="s">
        <v>71</v>
      </c>
      <c r="G702" s="4" t="s">
        <v>17</v>
      </c>
      <c r="H702" s="4" t="s">
        <v>18</v>
      </c>
      <c r="I702" s="6">
        <v>4</v>
      </c>
      <c r="J702" s="6">
        <v>6868</v>
      </c>
      <c r="K702" s="6">
        <v>5142.6499999999996</v>
      </c>
      <c r="L702" s="6">
        <v>1725.35</v>
      </c>
      <c r="M702" s="11">
        <f>Table13[[#This Row],[Profit]]/Table13[[#This Row],[Sales]]</f>
        <v>0.25121578334304018</v>
      </c>
      <c r="N702" s="6" t="str">
        <f>TEXT(Table13[[#This Row],[Order Date]],"mmm")</f>
        <v>Mar</v>
      </c>
      <c r="O702" s="6">
        <f>YEAR(Table13[[#This Row],[Order Date]])</f>
        <v>2024</v>
      </c>
    </row>
    <row r="703" spans="1:15" x14ac:dyDescent="0.3">
      <c r="A703" s="4" t="s">
        <v>1288</v>
      </c>
      <c r="B703" s="5">
        <v>45747</v>
      </c>
      <c r="C703" s="4" t="s">
        <v>203</v>
      </c>
      <c r="D703" s="4" t="s">
        <v>656</v>
      </c>
      <c r="E703" s="4" t="s">
        <v>15</v>
      </c>
      <c r="F703" s="4" t="s">
        <v>90</v>
      </c>
      <c r="G703" s="4" t="s">
        <v>17</v>
      </c>
      <c r="H703" s="4" t="s">
        <v>72</v>
      </c>
      <c r="I703" s="6">
        <v>8</v>
      </c>
      <c r="J703" s="6">
        <v>23720</v>
      </c>
      <c r="K703" s="6">
        <v>16996</v>
      </c>
      <c r="L703" s="6">
        <v>6724</v>
      </c>
      <c r="M703" s="11">
        <f>Table13[[#This Row],[Profit]]/Table13[[#This Row],[Sales]]</f>
        <v>0.28347386172006744</v>
      </c>
      <c r="N703" s="6" t="str">
        <f>TEXT(Table13[[#This Row],[Order Date]],"mmm")</f>
        <v>Mar</v>
      </c>
      <c r="O703" s="6">
        <f>YEAR(Table13[[#This Row],[Order Date]])</f>
        <v>2025</v>
      </c>
    </row>
    <row r="704" spans="1:15" x14ac:dyDescent="0.3">
      <c r="A704" s="4" t="s">
        <v>1289</v>
      </c>
      <c r="B704" s="5">
        <v>45952</v>
      </c>
      <c r="C704" s="4" t="s">
        <v>126</v>
      </c>
      <c r="D704" s="4" t="s">
        <v>439</v>
      </c>
      <c r="E704" s="4" t="s">
        <v>22</v>
      </c>
      <c r="F704" s="4" t="s">
        <v>23</v>
      </c>
      <c r="G704" s="4" t="s">
        <v>17</v>
      </c>
      <c r="H704" s="4" t="s">
        <v>72</v>
      </c>
      <c r="I704" s="6">
        <v>2</v>
      </c>
      <c r="J704" s="6">
        <v>6808</v>
      </c>
      <c r="K704" s="6">
        <v>4413.1000000000004</v>
      </c>
      <c r="L704" s="6">
        <v>2394.9</v>
      </c>
      <c r="M704" s="11">
        <f>Table13[[#This Row],[Profit]]/Table13[[#This Row],[Sales]]</f>
        <v>0.35177732079905993</v>
      </c>
      <c r="N704" s="6" t="str">
        <f>TEXT(Table13[[#This Row],[Order Date]],"mmm")</f>
        <v>Oct</v>
      </c>
      <c r="O704" s="6">
        <f>YEAR(Table13[[#This Row],[Order Date]])</f>
        <v>2025</v>
      </c>
    </row>
    <row r="705" spans="1:15" x14ac:dyDescent="0.3">
      <c r="A705" s="4" t="s">
        <v>1290</v>
      </c>
      <c r="B705" s="5">
        <v>45755</v>
      </c>
      <c r="C705" s="4" t="s">
        <v>92</v>
      </c>
      <c r="D705" s="4" t="s">
        <v>332</v>
      </c>
      <c r="E705" s="4" t="s">
        <v>29</v>
      </c>
      <c r="F705" s="4" t="s">
        <v>102</v>
      </c>
      <c r="G705" s="4" t="s">
        <v>17</v>
      </c>
      <c r="H705" s="4" t="s">
        <v>72</v>
      </c>
      <c r="I705" s="6">
        <v>1</v>
      </c>
      <c r="J705" s="6">
        <v>1501</v>
      </c>
      <c r="K705" s="6">
        <v>1123.1400000000001</v>
      </c>
      <c r="L705" s="6">
        <v>377.86</v>
      </c>
      <c r="M705" s="11">
        <f>Table13[[#This Row],[Profit]]/Table13[[#This Row],[Sales]]</f>
        <v>0.25173884077281811</v>
      </c>
      <c r="N705" s="6" t="str">
        <f>TEXT(Table13[[#This Row],[Order Date]],"mmm")</f>
        <v>Apr</v>
      </c>
      <c r="O705" s="6">
        <f>YEAR(Table13[[#This Row],[Order Date]])</f>
        <v>2025</v>
      </c>
    </row>
    <row r="706" spans="1:15" x14ac:dyDescent="0.3">
      <c r="A706" s="4" t="s">
        <v>1291</v>
      </c>
      <c r="B706" s="5">
        <v>45616</v>
      </c>
      <c r="C706" s="4" t="s">
        <v>137</v>
      </c>
      <c r="D706" s="4" t="s">
        <v>989</v>
      </c>
      <c r="E706" s="4" t="s">
        <v>22</v>
      </c>
      <c r="F706" s="4" t="s">
        <v>79</v>
      </c>
      <c r="G706" s="4" t="s">
        <v>17</v>
      </c>
      <c r="H706" s="4" t="s">
        <v>72</v>
      </c>
      <c r="I706" s="6">
        <v>8</v>
      </c>
      <c r="J706" s="6">
        <v>15216</v>
      </c>
      <c r="K706" s="6">
        <v>9307.6</v>
      </c>
      <c r="L706" s="6">
        <v>5908.4</v>
      </c>
      <c r="M706" s="11">
        <f>Table13[[#This Row],[Profit]]/Table13[[#This Row],[Sales]]</f>
        <v>0.3883017875920084</v>
      </c>
      <c r="N706" s="6" t="str">
        <f>TEXT(Table13[[#This Row],[Order Date]],"mmm")</f>
        <v>Nov</v>
      </c>
      <c r="O706" s="6">
        <f>YEAR(Table13[[#This Row],[Order Date]])</f>
        <v>2024</v>
      </c>
    </row>
    <row r="707" spans="1:15" x14ac:dyDescent="0.3">
      <c r="A707" s="4" t="s">
        <v>1292</v>
      </c>
      <c r="B707" s="5">
        <v>45918</v>
      </c>
      <c r="C707" s="4" t="s">
        <v>464</v>
      </c>
      <c r="D707" s="4" t="s">
        <v>305</v>
      </c>
      <c r="E707" s="4" t="s">
        <v>54</v>
      </c>
      <c r="F707" s="4" t="s">
        <v>55</v>
      </c>
      <c r="G707" s="4" t="s">
        <v>17</v>
      </c>
      <c r="H707" s="4" t="s">
        <v>18</v>
      </c>
      <c r="I707" s="6">
        <v>6</v>
      </c>
      <c r="J707" s="6">
        <v>6186</v>
      </c>
      <c r="K707" s="6">
        <v>4483.72</v>
      </c>
      <c r="L707" s="6">
        <v>1702.28</v>
      </c>
      <c r="M707" s="11">
        <f>Table13[[#This Row],[Profit]]/Table13[[#This Row],[Sales]]</f>
        <v>0.27518267054639506</v>
      </c>
      <c r="N707" s="6" t="str">
        <f>TEXT(Table13[[#This Row],[Order Date]],"mmm")</f>
        <v>Sep</v>
      </c>
      <c r="O707" s="6">
        <f>YEAR(Table13[[#This Row],[Order Date]])</f>
        <v>2025</v>
      </c>
    </row>
    <row r="708" spans="1:15" x14ac:dyDescent="0.3">
      <c r="A708" s="4" t="s">
        <v>1293</v>
      </c>
      <c r="B708" s="5">
        <v>45292</v>
      </c>
      <c r="C708" s="4" t="s">
        <v>1294</v>
      </c>
      <c r="D708" s="4" t="s">
        <v>359</v>
      </c>
      <c r="E708" s="4" t="s">
        <v>29</v>
      </c>
      <c r="F708" s="4" t="s">
        <v>49</v>
      </c>
      <c r="G708" s="4" t="s">
        <v>24</v>
      </c>
      <c r="H708" s="4" t="s">
        <v>25</v>
      </c>
      <c r="I708" s="6">
        <v>6</v>
      </c>
      <c r="J708" s="6">
        <v>28776</v>
      </c>
      <c r="K708" s="6">
        <v>24182.48</v>
      </c>
      <c r="L708" s="6">
        <v>4593.5200000000004</v>
      </c>
      <c r="M708" s="11">
        <f>Table13[[#This Row],[Profit]]/Table13[[#This Row],[Sales]]</f>
        <v>0.15963024742841259</v>
      </c>
      <c r="N708" s="6" t="str">
        <f>TEXT(Table13[[#This Row],[Order Date]],"mmm")</f>
        <v>Jan</v>
      </c>
      <c r="O708" s="6">
        <f>YEAR(Table13[[#This Row],[Order Date]])</f>
        <v>2024</v>
      </c>
    </row>
    <row r="709" spans="1:15" x14ac:dyDescent="0.3">
      <c r="A709" s="4" t="s">
        <v>1295</v>
      </c>
      <c r="B709" s="5">
        <v>45695</v>
      </c>
      <c r="C709" s="4" t="s">
        <v>614</v>
      </c>
      <c r="D709" s="4" t="s">
        <v>1029</v>
      </c>
      <c r="E709" s="4" t="s">
        <v>15</v>
      </c>
      <c r="F709" s="4" t="s">
        <v>63</v>
      </c>
      <c r="G709" s="4" t="s">
        <v>24</v>
      </c>
      <c r="H709" s="4" t="s">
        <v>25</v>
      </c>
      <c r="I709" s="6">
        <v>4</v>
      </c>
      <c r="J709" s="6">
        <v>15344</v>
      </c>
      <c r="K709" s="6">
        <v>11671.67</v>
      </c>
      <c r="L709" s="6">
        <v>3672.33</v>
      </c>
      <c r="M709" s="11">
        <f>Table13[[#This Row],[Profit]]/Table13[[#This Row],[Sales]]</f>
        <v>0.23933328988529717</v>
      </c>
      <c r="N709" s="6" t="str">
        <f>TEXT(Table13[[#This Row],[Order Date]],"mmm")</f>
        <v>Feb</v>
      </c>
      <c r="O709" s="6">
        <f>YEAR(Table13[[#This Row],[Order Date]])</f>
        <v>2025</v>
      </c>
    </row>
    <row r="710" spans="1:15" x14ac:dyDescent="0.3">
      <c r="A710" s="4" t="s">
        <v>1296</v>
      </c>
      <c r="B710" s="5">
        <v>45778</v>
      </c>
      <c r="C710" s="4" t="s">
        <v>670</v>
      </c>
      <c r="D710" s="4" t="s">
        <v>1145</v>
      </c>
      <c r="E710" s="4" t="s">
        <v>22</v>
      </c>
      <c r="F710" s="4" t="s">
        <v>67</v>
      </c>
      <c r="G710" s="4" t="s">
        <v>35</v>
      </c>
      <c r="H710" s="4" t="s">
        <v>36</v>
      </c>
      <c r="I710" s="6">
        <v>9</v>
      </c>
      <c r="J710" s="6">
        <v>18270</v>
      </c>
      <c r="K710" s="6">
        <v>13679.59</v>
      </c>
      <c r="L710" s="6">
        <v>4590.41</v>
      </c>
      <c r="M710" s="11">
        <f>Table13[[#This Row],[Profit]]/Table13[[#This Row],[Sales]]</f>
        <v>0.25125396825396823</v>
      </c>
      <c r="N710" s="6" t="str">
        <f>TEXT(Table13[[#This Row],[Order Date]],"mmm")</f>
        <v>May</v>
      </c>
      <c r="O710" s="6">
        <f>YEAR(Table13[[#This Row],[Order Date]])</f>
        <v>2025</v>
      </c>
    </row>
    <row r="711" spans="1:15" x14ac:dyDescent="0.3">
      <c r="A711" s="4" t="s">
        <v>1297</v>
      </c>
      <c r="B711" s="5">
        <v>45978</v>
      </c>
      <c r="C711" s="4" t="s">
        <v>239</v>
      </c>
      <c r="D711" s="4" t="s">
        <v>661</v>
      </c>
      <c r="E711" s="4" t="s">
        <v>22</v>
      </c>
      <c r="F711" s="4" t="s">
        <v>67</v>
      </c>
      <c r="G711" s="4" t="s">
        <v>35</v>
      </c>
      <c r="H711" s="4" t="s">
        <v>36</v>
      </c>
      <c r="I711" s="6">
        <v>3</v>
      </c>
      <c r="J711" s="6">
        <v>7989</v>
      </c>
      <c r="K711" s="6">
        <v>6784.55</v>
      </c>
      <c r="L711" s="6">
        <v>1204.45</v>
      </c>
      <c r="M711" s="11">
        <f>Table13[[#This Row],[Profit]]/Table13[[#This Row],[Sales]]</f>
        <v>0.15076354988108651</v>
      </c>
      <c r="N711" s="6" t="str">
        <f>TEXT(Table13[[#This Row],[Order Date]],"mmm")</f>
        <v>Nov</v>
      </c>
      <c r="O711" s="6">
        <f>YEAR(Table13[[#This Row],[Order Date]])</f>
        <v>2025</v>
      </c>
    </row>
    <row r="712" spans="1:15" x14ac:dyDescent="0.3">
      <c r="A712" s="4" t="s">
        <v>1298</v>
      </c>
      <c r="B712" s="5">
        <v>45790</v>
      </c>
      <c r="C712" s="4" t="s">
        <v>254</v>
      </c>
      <c r="D712" s="4" t="s">
        <v>659</v>
      </c>
      <c r="E712" s="4" t="s">
        <v>15</v>
      </c>
      <c r="F712" s="4" t="s">
        <v>16</v>
      </c>
      <c r="G712" s="4" t="s">
        <v>17</v>
      </c>
      <c r="H712" s="4" t="s">
        <v>31</v>
      </c>
      <c r="I712" s="6">
        <v>1</v>
      </c>
      <c r="J712" s="6">
        <v>1479</v>
      </c>
      <c r="K712" s="6">
        <v>1133.51</v>
      </c>
      <c r="L712" s="6">
        <v>345.49</v>
      </c>
      <c r="M712" s="11">
        <f>Table13[[#This Row],[Profit]]/Table13[[#This Row],[Sales]]</f>
        <v>0.23359702501690333</v>
      </c>
      <c r="N712" s="6" t="str">
        <f>TEXT(Table13[[#This Row],[Order Date]],"mmm")</f>
        <v>May</v>
      </c>
      <c r="O712" s="6">
        <f>YEAR(Table13[[#This Row],[Order Date]])</f>
        <v>2025</v>
      </c>
    </row>
    <row r="713" spans="1:15" x14ac:dyDescent="0.3">
      <c r="A713" s="4" t="s">
        <v>1299</v>
      </c>
      <c r="B713" s="5">
        <v>46004</v>
      </c>
      <c r="C713" s="4" t="s">
        <v>538</v>
      </c>
      <c r="D713" s="4" t="s">
        <v>436</v>
      </c>
      <c r="E713" s="4" t="s">
        <v>15</v>
      </c>
      <c r="F713" s="4" t="s">
        <v>16</v>
      </c>
      <c r="G713" s="4" t="s">
        <v>17</v>
      </c>
      <c r="H713" s="4" t="s">
        <v>31</v>
      </c>
      <c r="I713" s="6">
        <v>7</v>
      </c>
      <c r="J713" s="6">
        <v>28245</v>
      </c>
      <c r="K713" s="6">
        <v>23106.52</v>
      </c>
      <c r="L713" s="6">
        <v>5138.4799999999996</v>
      </c>
      <c r="M713" s="11">
        <f>Table13[[#This Row],[Profit]]/Table13[[#This Row],[Sales]]</f>
        <v>0.1819252965126571</v>
      </c>
      <c r="N713" s="6" t="str">
        <f>TEXT(Table13[[#This Row],[Order Date]],"mmm")</f>
        <v>Dec</v>
      </c>
      <c r="O713" s="6">
        <f>YEAR(Table13[[#This Row],[Order Date]])</f>
        <v>2025</v>
      </c>
    </row>
    <row r="714" spans="1:15" x14ac:dyDescent="0.3">
      <c r="A714" s="4" t="s">
        <v>1300</v>
      </c>
      <c r="B714" s="5">
        <v>45523</v>
      </c>
      <c r="C714" s="4" t="s">
        <v>522</v>
      </c>
      <c r="D714" s="4" t="s">
        <v>302</v>
      </c>
      <c r="E714" s="4" t="s">
        <v>22</v>
      </c>
      <c r="F714" s="4" t="s">
        <v>79</v>
      </c>
      <c r="G714" s="4" t="s">
        <v>35</v>
      </c>
      <c r="H714" s="4" t="s">
        <v>36</v>
      </c>
      <c r="I714" s="6">
        <v>9</v>
      </c>
      <c r="J714" s="6">
        <v>35874</v>
      </c>
      <c r="K714" s="6">
        <v>23871.08</v>
      </c>
      <c r="L714" s="6">
        <v>12002.92</v>
      </c>
      <c r="M714" s="11">
        <f>Table13[[#This Row],[Profit]]/Table13[[#This Row],[Sales]]</f>
        <v>0.33458549367229751</v>
      </c>
      <c r="N714" s="6" t="str">
        <f>TEXT(Table13[[#This Row],[Order Date]],"mmm")</f>
        <v>Aug</v>
      </c>
      <c r="O714" s="6">
        <f>YEAR(Table13[[#This Row],[Order Date]])</f>
        <v>2024</v>
      </c>
    </row>
    <row r="715" spans="1:15" x14ac:dyDescent="0.3">
      <c r="A715" s="4" t="s">
        <v>1301</v>
      </c>
      <c r="B715" s="5">
        <v>45851</v>
      </c>
      <c r="C715" s="4" t="s">
        <v>107</v>
      </c>
      <c r="D715" s="4" t="s">
        <v>381</v>
      </c>
      <c r="E715" s="4" t="s">
        <v>15</v>
      </c>
      <c r="F715" s="4" t="s">
        <v>90</v>
      </c>
      <c r="G715" s="4" t="s">
        <v>35</v>
      </c>
      <c r="H715" s="4" t="s">
        <v>80</v>
      </c>
      <c r="I715" s="6">
        <v>4</v>
      </c>
      <c r="J715" s="6">
        <v>17640</v>
      </c>
      <c r="K715" s="6">
        <v>11126.87</v>
      </c>
      <c r="L715" s="6">
        <v>6513.13</v>
      </c>
      <c r="M715" s="11">
        <f>Table13[[#This Row],[Profit]]/Table13[[#This Row],[Sales]]</f>
        <v>0.36922505668934241</v>
      </c>
      <c r="N715" s="6" t="str">
        <f>TEXT(Table13[[#This Row],[Order Date]],"mmm")</f>
        <v>Jul</v>
      </c>
      <c r="O715" s="6">
        <f>YEAR(Table13[[#This Row],[Order Date]])</f>
        <v>2025</v>
      </c>
    </row>
    <row r="716" spans="1:15" x14ac:dyDescent="0.3">
      <c r="A716" s="4" t="s">
        <v>1302</v>
      </c>
      <c r="B716" s="5">
        <v>45785</v>
      </c>
      <c r="C716" s="4" t="s">
        <v>461</v>
      </c>
      <c r="D716" s="4" t="s">
        <v>888</v>
      </c>
      <c r="E716" s="4" t="s">
        <v>15</v>
      </c>
      <c r="F716" s="4" t="s">
        <v>16</v>
      </c>
      <c r="G716" s="4" t="s">
        <v>17</v>
      </c>
      <c r="H716" s="4" t="s">
        <v>72</v>
      </c>
      <c r="I716" s="6">
        <v>8</v>
      </c>
      <c r="J716" s="6">
        <v>26552</v>
      </c>
      <c r="K716" s="6">
        <v>15505.02</v>
      </c>
      <c r="L716" s="6">
        <v>11046.98</v>
      </c>
      <c r="M716" s="11">
        <f>Table13[[#This Row],[Profit]]/Table13[[#This Row],[Sales]]</f>
        <v>0.41605076830370591</v>
      </c>
      <c r="N716" s="6" t="str">
        <f>TEXT(Table13[[#This Row],[Order Date]],"mmm")</f>
        <v>May</v>
      </c>
      <c r="O716" s="6">
        <f>YEAR(Table13[[#This Row],[Order Date]])</f>
        <v>2025</v>
      </c>
    </row>
    <row r="717" spans="1:15" x14ac:dyDescent="0.3">
      <c r="A717" s="4" t="s">
        <v>1303</v>
      </c>
      <c r="B717" s="5">
        <v>45382</v>
      </c>
      <c r="C717" s="4" t="s">
        <v>197</v>
      </c>
      <c r="D717" s="4" t="s">
        <v>1304</v>
      </c>
      <c r="E717" s="4" t="s">
        <v>54</v>
      </c>
      <c r="F717" s="4" t="s">
        <v>55</v>
      </c>
      <c r="G717" s="4" t="s">
        <v>35</v>
      </c>
      <c r="H717" s="4" t="s">
        <v>45</v>
      </c>
      <c r="I717" s="6">
        <v>2</v>
      </c>
      <c r="J717" s="6">
        <v>9174</v>
      </c>
      <c r="K717" s="6">
        <v>7494.93</v>
      </c>
      <c r="L717" s="6">
        <v>1679.07</v>
      </c>
      <c r="M717" s="11">
        <f>Table13[[#This Row],[Profit]]/Table13[[#This Row],[Sales]]</f>
        <v>0.18302485284499673</v>
      </c>
      <c r="N717" s="6" t="str">
        <f>TEXT(Table13[[#This Row],[Order Date]],"mmm")</f>
        <v>Mar</v>
      </c>
      <c r="O717" s="6">
        <f>YEAR(Table13[[#This Row],[Order Date]])</f>
        <v>2024</v>
      </c>
    </row>
    <row r="718" spans="1:15" x14ac:dyDescent="0.3">
      <c r="A718" s="4" t="s">
        <v>1305</v>
      </c>
      <c r="B718" s="5">
        <v>45643</v>
      </c>
      <c r="C718" s="4" t="s">
        <v>52</v>
      </c>
      <c r="D718" s="4" t="s">
        <v>746</v>
      </c>
      <c r="E718" s="4" t="s">
        <v>15</v>
      </c>
      <c r="F718" s="4" t="s">
        <v>90</v>
      </c>
      <c r="G718" s="4" t="s">
        <v>17</v>
      </c>
      <c r="H718" s="4" t="s">
        <v>31</v>
      </c>
      <c r="I718" s="6">
        <v>9</v>
      </c>
      <c r="J718" s="6">
        <v>25731</v>
      </c>
      <c r="K718" s="6">
        <v>18884.28</v>
      </c>
      <c r="L718" s="6">
        <v>6846.72</v>
      </c>
      <c r="M718" s="11">
        <f>Table13[[#This Row],[Profit]]/Table13[[#This Row],[Sales]]</f>
        <v>0.26608837588900547</v>
      </c>
      <c r="N718" s="6" t="str">
        <f>TEXT(Table13[[#This Row],[Order Date]],"mmm")</f>
        <v>Dec</v>
      </c>
      <c r="O718" s="6">
        <f>YEAR(Table13[[#This Row],[Order Date]])</f>
        <v>2024</v>
      </c>
    </row>
    <row r="719" spans="1:15" x14ac:dyDescent="0.3">
      <c r="A719" s="4" t="s">
        <v>1306</v>
      </c>
      <c r="B719" s="5">
        <v>45593</v>
      </c>
      <c r="C719" s="4" t="s">
        <v>1307</v>
      </c>
      <c r="D719" s="4" t="s">
        <v>743</v>
      </c>
      <c r="E719" s="4" t="s">
        <v>22</v>
      </c>
      <c r="F719" s="4" t="s">
        <v>67</v>
      </c>
      <c r="G719" s="4" t="s">
        <v>35</v>
      </c>
      <c r="H719" s="4" t="s">
        <v>45</v>
      </c>
      <c r="I719" s="6">
        <v>8</v>
      </c>
      <c r="J719" s="6">
        <v>24120</v>
      </c>
      <c r="K719" s="6">
        <v>16312.47</v>
      </c>
      <c r="L719" s="6">
        <v>7807.53</v>
      </c>
      <c r="M719" s="11">
        <f>Table13[[#This Row],[Profit]]/Table13[[#This Row],[Sales]]</f>
        <v>0.32369527363184081</v>
      </c>
      <c r="N719" s="6" t="str">
        <f>TEXT(Table13[[#This Row],[Order Date]],"mmm")</f>
        <v>Oct</v>
      </c>
      <c r="O719" s="6">
        <f>YEAR(Table13[[#This Row],[Order Date]])</f>
        <v>2024</v>
      </c>
    </row>
    <row r="720" spans="1:15" x14ac:dyDescent="0.3">
      <c r="A720" s="4" t="s">
        <v>1308</v>
      </c>
      <c r="B720" s="5">
        <v>45936</v>
      </c>
      <c r="C720" s="4" t="s">
        <v>1001</v>
      </c>
      <c r="D720" s="4" t="s">
        <v>1309</v>
      </c>
      <c r="E720" s="4" t="s">
        <v>15</v>
      </c>
      <c r="F720" s="4" t="s">
        <v>90</v>
      </c>
      <c r="G720" s="4" t="s">
        <v>17</v>
      </c>
      <c r="H720" s="4" t="s">
        <v>72</v>
      </c>
      <c r="I720" s="6">
        <v>5</v>
      </c>
      <c r="J720" s="6">
        <v>24585</v>
      </c>
      <c r="K720" s="6">
        <v>15442.65</v>
      </c>
      <c r="L720" s="6">
        <v>9142.35</v>
      </c>
      <c r="M720" s="11">
        <f>Table13[[#This Row],[Profit]]/Table13[[#This Row],[Sales]]</f>
        <v>0.37186699206833435</v>
      </c>
      <c r="N720" s="6" t="str">
        <f>TEXT(Table13[[#This Row],[Order Date]],"mmm")</f>
        <v>Oct</v>
      </c>
      <c r="O720" s="6">
        <f>YEAR(Table13[[#This Row],[Order Date]])</f>
        <v>2025</v>
      </c>
    </row>
    <row r="721" spans="1:15" x14ac:dyDescent="0.3">
      <c r="A721" s="4" t="s">
        <v>1310</v>
      </c>
      <c r="B721" s="5">
        <v>45376</v>
      </c>
      <c r="C721" s="4" t="s">
        <v>239</v>
      </c>
      <c r="D721" s="4" t="s">
        <v>696</v>
      </c>
      <c r="E721" s="4" t="s">
        <v>29</v>
      </c>
      <c r="F721" s="4" t="s">
        <v>30</v>
      </c>
      <c r="G721" s="4" t="s">
        <v>24</v>
      </c>
      <c r="H721" s="4" t="s">
        <v>25</v>
      </c>
      <c r="I721" s="6">
        <v>5</v>
      </c>
      <c r="J721" s="6">
        <v>2615</v>
      </c>
      <c r="K721" s="6">
        <v>1663.26</v>
      </c>
      <c r="L721" s="6">
        <v>951.74</v>
      </c>
      <c r="M721" s="11">
        <f>Table13[[#This Row],[Profit]]/Table13[[#This Row],[Sales]]</f>
        <v>0.36395411089866159</v>
      </c>
      <c r="N721" s="6" t="str">
        <f>TEXT(Table13[[#This Row],[Order Date]],"mmm")</f>
        <v>Mar</v>
      </c>
      <c r="O721" s="6">
        <f>YEAR(Table13[[#This Row],[Order Date]])</f>
        <v>2024</v>
      </c>
    </row>
    <row r="722" spans="1:15" x14ac:dyDescent="0.3">
      <c r="A722" s="4" t="s">
        <v>1311</v>
      </c>
      <c r="B722" s="5">
        <v>45555</v>
      </c>
      <c r="C722" s="4" t="s">
        <v>118</v>
      </c>
      <c r="D722" s="4" t="s">
        <v>987</v>
      </c>
      <c r="E722" s="4" t="s">
        <v>15</v>
      </c>
      <c r="F722" s="4" t="s">
        <v>63</v>
      </c>
      <c r="G722" s="4" t="s">
        <v>40</v>
      </c>
      <c r="H722" s="4" t="s">
        <v>99</v>
      </c>
      <c r="I722" s="6">
        <v>3</v>
      </c>
      <c r="J722" s="6">
        <v>7803</v>
      </c>
      <c r="K722" s="6">
        <v>4935.91</v>
      </c>
      <c r="L722" s="6">
        <v>2867.09</v>
      </c>
      <c r="M722" s="11">
        <f>Table13[[#This Row],[Profit]]/Table13[[#This Row],[Sales]]</f>
        <v>0.36743432013328209</v>
      </c>
      <c r="N722" s="6" t="str">
        <f>TEXT(Table13[[#This Row],[Order Date]],"mmm")</f>
        <v>Sep</v>
      </c>
      <c r="O722" s="6">
        <f>YEAR(Table13[[#This Row],[Order Date]])</f>
        <v>2024</v>
      </c>
    </row>
    <row r="723" spans="1:15" x14ac:dyDescent="0.3">
      <c r="A723" s="4" t="s">
        <v>1312</v>
      </c>
      <c r="B723" s="5">
        <v>45471</v>
      </c>
      <c r="C723" s="4" t="s">
        <v>940</v>
      </c>
      <c r="D723" s="4" t="s">
        <v>508</v>
      </c>
      <c r="E723" s="4" t="s">
        <v>29</v>
      </c>
      <c r="F723" s="4" t="s">
        <v>30</v>
      </c>
      <c r="G723" s="4" t="s">
        <v>17</v>
      </c>
      <c r="H723" s="4" t="s">
        <v>18</v>
      </c>
      <c r="I723" s="6">
        <v>3</v>
      </c>
      <c r="J723" s="6">
        <v>11874</v>
      </c>
      <c r="K723" s="6">
        <v>7847.88</v>
      </c>
      <c r="L723" s="6">
        <v>4026.12</v>
      </c>
      <c r="M723" s="11">
        <f>Table13[[#This Row],[Profit]]/Table13[[#This Row],[Sales]]</f>
        <v>0.33907023749368365</v>
      </c>
      <c r="N723" s="6" t="str">
        <f>TEXT(Table13[[#This Row],[Order Date]],"mmm")</f>
        <v>Jun</v>
      </c>
      <c r="O723" s="6">
        <f>YEAR(Table13[[#This Row],[Order Date]])</f>
        <v>2024</v>
      </c>
    </row>
    <row r="724" spans="1:15" x14ac:dyDescent="0.3">
      <c r="A724" s="4" t="s">
        <v>1313</v>
      </c>
      <c r="B724" s="5">
        <v>45440</v>
      </c>
      <c r="C724" s="4" t="s">
        <v>251</v>
      </c>
      <c r="D724" s="4" t="s">
        <v>775</v>
      </c>
      <c r="E724" s="4" t="s">
        <v>22</v>
      </c>
      <c r="F724" s="4" t="s">
        <v>23</v>
      </c>
      <c r="G724" s="4" t="s">
        <v>35</v>
      </c>
      <c r="H724" s="4" t="s">
        <v>45</v>
      </c>
      <c r="I724" s="6">
        <v>1</v>
      </c>
      <c r="J724" s="6">
        <v>3108</v>
      </c>
      <c r="K724" s="6">
        <v>2626.95</v>
      </c>
      <c r="L724" s="6">
        <v>481.05</v>
      </c>
      <c r="M724" s="11">
        <f>Table13[[#This Row],[Profit]]/Table13[[#This Row],[Sales]]</f>
        <v>0.15477799227799227</v>
      </c>
      <c r="N724" s="6" t="str">
        <f>TEXT(Table13[[#This Row],[Order Date]],"mmm")</f>
        <v>May</v>
      </c>
      <c r="O724" s="6">
        <f>YEAR(Table13[[#This Row],[Order Date]])</f>
        <v>2024</v>
      </c>
    </row>
    <row r="725" spans="1:15" x14ac:dyDescent="0.3">
      <c r="A725" s="4" t="s">
        <v>1314</v>
      </c>
      <c r="B725" s="5">
        <v>45645</v>
      </c>
      <c r="C725" s="4" t="s">
        <v>771</v>
      </c>
      <c r="D725" s="4" t="s">
        <v>385</v>
      </c>
      <c r="E725" s="4" t="s">
        <v>22</v>
      </c>
      <c r="F725" s="4" t="s">
        <v>67</v>
      </c>
      <c r="G725" s="4" t="s">
        <v>40</v>
      </c>
      <c r="H725" s="4" t="s">
        <v>56</v>
      </c>
      <c r="I725" s="6">
        <v>8</v>
      </c>
      <c r="J725" s="6">
        <v>13360</v>
      </c>
      <c r="K725" s="6">
        <v>8193.11</v>
      </c>
      <c r="L725" s="6">
        <v>5166.8900000000003</v>
      </c>
      <c r="M725" s="11">
        <f>Table13[[#This Row],[Profit]]/Table13[[#This Row],[Sales]]</f>
        <v>0.38674326347305393</v>
      </c>
      <c r="N725" s="6" t="str">
        <f>TEXT(Table13[[#This Row],[Order Date]],"mmm")</f>
        <v>Dec</v>
      </c>
      <c r="O725" s="6">
        <f>YEAR(Table13[[#This Row],[Order Date]])</f>
        <v>2024</v>
      </c>
    </row>
    <row r="726" spans="1:15" x14ac:dyDescent="0.3">
      <c r="A726" s="4" t="s">
        <v>1315</v>
      </c>
      <c r="B726" s="5">
        <v>45779</v>
      </c>
      <c r="C726" s="4" t="s">
        <v>92</v>
      </c>
      <c r="D726" s="4" t="s">
        <v>387</v>
      </c>
      <c r="E726" s="4" t="s">
        <v>15</v>
      </c>
      <c r="F726" s="4" t="s">
        <v>16</v>
      </c>
      <c r="G726" s="4" t="s">
        <v>24</v>
      </c>
      <c r="H726" s="4" t="s">
        <v>166</v>
      </c>
      <c r="I726" s="6">
        <v>8</v>
      </c>
      <c r="J726" s="6">
        <v>28528</v>
      </c>
      <c r="K726" s="6">
        <v>19766.18</v>
      </c>
      <c r="L726" s="6">
        <v>8761.82</v>
      </c>
      <c r="M726" s="11">
        <f>Table13[[#This Row],[Profit]]/Table13[[#This Row],[Sales]]</f>
        <v>0.30713053841839594</v>
      </c>
      <c r="N726" s="6" t="str">
        <f>TEXT(Table13[[#This Row],[Order Date]],"mmm")</f>
        <v>May</v>
      </c>
      <c r="O726" s="6">
        <f>YEAR(Table13[[#This Row],[Order Date]])</f>
        <v>2025</v>
      </c>
    </row>
    <row r="727" spans="1:15" x14ac:dyDescent="0.3">
      <c r="A727" s="4" t="s">
        <v>1316</v>
      </c>
      <c r="B727" s="5">
        <v>45835</v>
      </c>
      <c r="C727" s="4" t="s">
        <v>176</v>
      </c>
      <c r="D727" s="4" t="s">
        <v>249</v>
      </c>
      <c r="E727" s="4" t="s">
        <v>22</v>
      </c>
      <c r="F727" s="4" t="s">
        <v>79</v>
      </c>
      <c r="G727" s="4" t="s">
        <v>17</v>
      </c>
      <c r="H727" s="4" t="s">
        <v>18</v>
      </c>
      <c r="I727" s="6">
        <v>7</v>
      </c>
      <c r="J727" s="6">
        <v>29309</v>
      </c>
      <c r="K727" s="6">
        <v>18429.13</v>
      </c>
      <c r="L727" s="6">
        <v>10879.87</v>
      </c>
      <c r="M727" s="11">
        <f>Table13[[#This Row],[Profit]]/Table13[[#This Row],[Sales]]</f>
        <v>0.37121259681326557</v>
      </c>
      <c r="N727" s="6" t="str">
        <f>TEXT(Table13[[#This Row],[Order Date]],"mmm")</f>
        <v>Jun</v>
      </c>
      <c r="O727" s="6">
        <f>YEAR(Table13[[#This Row],[Order Date]])</f>
        <v>2025</v>
      </c>
    </row>
    <row r="728" spans="1:15" x14ac:dyDescent="0.3">
      <c r="A728" s="4" t="s">
        <v>1317</v>
      </c>
      <c r="B728" s="5">
        <v>45334</v>
      </c>
      <c r="C728" s="4" t="s">
        <v>1033</v>
      </c>
      <c r="D728" s="4" t="s">
        <v>610</v>
      </c>
      <c r="E728" s="4" t="s">
        <v>54</v>
      </c>
      <c r="F728" s="4" t="s">
        <v>55</v>
      </c>
      <c r="G728" s="4" t="s">
        <v>35</v>
      </c>
      <c r="H728" s="4" t="s">
        <v>36</v>
      </c>
      <c r="I728" s="6">
        <v>6</v>
      </c>
      <c r="J728" s="6">
        <v>27858</v>
      </c>
      <c r="K728" s="6">
        <v>21028.97</v>
      </c>
      <c r="L728" s="6">
        <v>6829.03</v>
      </c>
      <c r="M728" s="11">
        <f>Table13[[#This Row],[Profit]]/Table13[[#This Row],[Sales]]</f>
        <v>0.24513712398592863</v>
      </c>
      <c r="N728" s="6" t="str">
        <f>TEXT(Table13[[#This Row],[Order Date]],"mmm")</f>
        <v>Feb</v>
      </c>
      <c r="O728" s="6">
        <f>YEAR(Table13[[#This Row],[Order Date]])</f>
        <v>2024</v>
      </c>
    </row>
    <row r="729" spans="1:15" x14ac:dyDescent="0.3">
      <c r="A729" s="4" t="s">
        <v>1318</v>
      </c>
      <c r="B729" s="5">
        <v>45392</v>
      </c>
      <c r="C729" s="4" t="s">
        <v>422</v>
      </c>
      <c r="D729" s="4" t="s">
        <v>221</v>
      </c>
      <c r="E729" s="4" t="s">
        <v>54</v>
      </c>
      <c r="F729" s="4" t="s">
        <v>55</v>
      </c>
      <c r="G729" s="4" t="s">
        <v>17</v>
      </c>
      <c r="H729" s="4" t="s">
        <v>72</v>
      </c>
      <c r="I729" s="6">
        <v>5</v>
      </c>
      <c r="J729" s="6">
        <v>15220</v>
      </c>
      <c r="K729" s="6">
        <v>9605.31</v>
      </c>
      <c r="L729" s="6">
        <v>5614.69</v>
      </c>
      <c r="M729" s="11">
        <f>Table13[[#This Row],[Profit]]/Table13[[#This Row],[Sales]]</f>
        <v>0.36890210249671485</v>
      </c>
      <c r="N729" s="6" t="str">
        <f>TEXT(Table13[[#This Row],[Order Date]],"mmm")</f>
        <v>Apr</v>
      </c>
      <c r="O729" s="6">
        <f>YEAR(Table13[[#This Row],[Order Date]])</f>
        <v>2024</v>
      </c>
    </row>
    <row r="730" spans="1:15" x14ac:dyDescent="0.3">
      <c r="A730" s="4" t="s">
        <v>1319</v>
      </c>
      <c r="B730" s="5">
        <v>45985</v>
      </c>
      <c r="C730" s="4" t="s">
        <v>361</v>
      </c>
      <c r="D730" s="4" t="s">
        <v>127</v>
      </c>
      <c r="E730" s="4" t="s">
        <v>22</v>
      </c>
      <c r="F730" s="4" t="s">
        <v>67</v>
      </c>
      <c r="G730" s="4" t="s">
        <v>17</v>
      </c>
      <c r="H730" s="4" t="s">
        <v>31</v>
      </c>
      <c r="I730" s="6">
        <v>4</v>
      </c>
      <c r="J730" s="6">
        <v>7584</v>
      </c>
      <c r="K730" s="6">
        <v>5354.2</v>
      </c>
      <c r="L730" s="6">
        <v>2229.8000000000002</v>
      </c>
      <c r="M730" s="11">
        <f>Table13[[#This Row],[Profit]]/Table13[[#This Row],[Sales]]</f>
        <v>0.29401371308016883</v>
      </c>
      <c r="N730" s="6" t="str">
        <f>TEXT(Table13[[#This Row],[Order Date]],"mmm")</f>
        <v>Nov</v>
      </c>
      <c r="O730" s="6">
        <f>YEAR(Table13[[#This Row],[Order Date]])</f>
        <v>2025</v>
      </c>
    </row>
    <row r="731" spans="1:15" x14ac:dyDescent="0.3">
      <c r="A731" s="4" t="s">
        <v>1320</v>
      </c>
      <c r="B731" s="5">
        <v>45829</v>
      </c>
      <c r="C731" s="4" t="s">
        <v>316</v>
      </c>
      <c r="D731" s="4" t="s">
        <v>639</v>
      </c>
      <c r="E731" s="4" t="s">
        <v>15</v>
      </c>
      <c r="F731" s="4" t="s">
        <v>90</v>
      </c>
      <c r="G731" s="4" t="s">
        <v>24</v>
      </c>
      <c r="H731" s="4" t="s">
        <v>25</v>
      </c>
      <c r="I731" s="6">
        <v>2</v>
      </c>
      <c r="J731" s="6">
        <v>794</v>
      </c>
      <c r="K731" s="6">
        <v>534.66</v>
      </c>
      <c r="L731" s="6">
        <v>259.33999999999997</v>
      </c>
      <c r="M731" s="11">
        <f>Table13[[#This Row],[Profit]]/Table13[[#This Row],[Sales]]</f>
        <v>0.32662468513853898</v>
      </c>
      <c r="N731" s="6" t="str">
        <f>TEXT(Table13[[#This Row],[Order Date]],"mmm")</f>
        <v>Jun</v>
      </c>
      <c r="O731" s="6">
        <f>YEAR(Table13[[#This Row],[Order Date]])</f>
        <v>2025</v>
      </c>
    </row>
    <row r="732" spans="1:15" x14ac:dyDescent="0.3">
      <c r="A732" s="4" t="s">
        <v>1321</v>
      </c>
      <c r="B732" s="5">
        <v>45316</v>
      </c>
      <c r="C732" s="4" t="s">
        <v>152</v>
      </c>
      <c r="D732" s="4" t="s">
        <v>130</v>
      </c>
      <c r="E732" s="4" t="s">
        <v>54</v>
      </c>
      <c r="F732" s="4" t="s">
        <v>142</v>
      </c>
      <c r="G732" s="4" t="s">
        <v>17</v>
      </c>
      <c r="H732" s="4" t="s">
        <v>18</v>
      </c>
      <c r="I732" s="6">
        <v>5</v>
      </c>
      <c r="J732" s="6">
        <v>11815</v>
      </c>
      <c r="K732" s="6">
        <v>7182.62</v>
      </c>
      <c r="L732" s="6">
        <v>4632.38</v>
      </c>
      <c r="M732" s="11">
        <f>Table13[[#This Row],[Profit]]/Table13[[#This Row],[Sales]]</f>
        <v>0.39207617435463393</v>
      </c>
      <c r="N732" s="6" t="str">
        <f>TEXT(Table13[[#This Row],[Order Date]],"mmm")</f>
        <v>Jan</v>
      </c>
      <c r="O732" s="6">
        <f>YEAR(Table13[[#This Row],[Order Date]])</f>
        <v>2024</v>
      </c>
    </row>
    <row r="733" spans="1:15" x14ac:dyDescent="0.3">
      <c r="A733" s="4" t="s">
        <v>1322</v>
      </c>
      <c r="B733" s="5">
        <v>45911</v>
      </c>
      <c r="C733" s="4" t="s">
        <v>451</v>
      </c>
      <c r="D733" s="4" t="s">
        <v>1063</v>
      </c>
      <c r="E733" s="4" t="s">
        <v>29</v>
      </c>
      <c r="F733" s="4" t="s">
        <v>30</v>
      </c>
      <c r="G733" s="4" t="s">
        <v>17</v>
      </c>
      <c r="H733" s="4" t="s">
        <v>31</v>
      </c>
      <c r="I733" s="6">
        <v>2</v>
      </c>
      <c r="J733" s="6">
        <v>2564</v>
      </c>
      <c r="K733" s="6">
        <v>1476.65</v>
      </c>
      <c r="L733" s="6">
        <v>1087.3499999999999</v>
      </c>
      <c r="M733" s="11">
        <f>Table13[[#This Row],[Profit]]/Table13[[#This Row],[Sales]]</f>
        <v>0.42408346333853353</v>
      </c>
      <c r="N733" s="6" t="str">
        <f>TEXT(Table13[[#This Row],[Order Date]],"mmm")</f>
        <v>Sep</v>
      </c>
      <c r="O733" s="6">
        <f>YEAR(Table13[[#This Row],[Order Date]])</f>
        <v>2025</v>
      </c>
    </row>
    <row r="734" spans="1:15" x14ac:dyDescent="0.3">
      <c r="A734" s="4" t="s">
        <v>1323</v>
      </c>
      <c r="B734" s="5">
        <v>45968</v>
      </c>
      <c r="C734" s="4" t="s">
        <v>295</v>
      </c>
      <c r="D734" s="4" t="s">
        <v>1233</v>
      </c>
      <c r="E734" s="4" t="s">
        <v>29</v>
      </c>
      <c r="F734" s="4" t="s">
        <v>102</v>
      </c>
      <c r="G734" s="4" t="s">
        <v>17</v>
      </c>
      <c r="H734" s="4" t="s">
        <v>18</v>
      </c>
      <c r="I734" s="6">
        <v>3</v>
      </c>
      <c r="J734" s="6">
        <v>7125</v>
      </c>
      <c r="K734" s="6">
        <v>4548.3900000000003</v>
      </c>
      <c r="L734" s="6">
        <v>2576.61</v>
      </c>
      <c r="M734" s="11">
        <f>Table13[[#This Row],[Profit]]/Table13[[#This Row],[Sales]]</f>
        <v>0.36162947368421056</v>
      </c>
      <c r="N734" s="6" t="str">
        <f>TEXT(Table13[[#This Row],[Order Date]],"mmm")</f>
        <v>Nov</v>
      </c>
      <c r="O734" s="6">
        <f>YEAR(Table13[[#This Row],[Order Date]])</f>
        <v>2025</v>
      </c>
    </row>
    <row r="735" spans="1:15" x14ac:dyDescent="0.3">
      <c r="A735" s="4" t="s">
        <v>1324</v>
      </c>
      <c r="B735" s="5">
        <v>45367</v>
      </c>
      <c r="C735" s="4" t="s">
        <v>1211</v>
      </c>
      <c r="D735" s="4" t="s">
        <v>478</v>
      </c>
      <c r="E735" s="4" t="s">
        <v>54</v>
      </c>
      <c r="F735" s="4" t="s">
        <v>55</v>
      </c>
      <c r="G735" s="4" t="s">
        <v>17</v>
      </c>
      <c r="H735" s="4" t="s">
        <v>18</v>
      </c>
      <c r="I735" s="6">
        <v>6</v>
      </c>
      <c r="J735" s="6">
        <v>14448</v>
      </c>
      <c r="K735" s="6">
        <v>8648.43</v>
      </c>
      <c r="L735" s="6">
        <v>5799.57</v>
      </c>
      <c r="M735" s="11">
        <f>Table13[[#This Row],[Profit]]/Table13[[#This Row],[Sales]]</f>
        <v>0.40140988372093023</v>
      </c>
      <c r="N735" s="6" t="str">
        <f>TEXT(Table13[[#This Row],[Order Date]],"mmm")</f>
        <v>Mar</v>
      </c>
      <c r="O735" s="6">
        <f>YEAR(Table13[[#This Row],[Order Date]])</f>
        <v>2024</v>
      </c>
    </row>
    <row r="736" spans="1:15" x14ac:dyDescent="0.3">
      <c r="A736" s="4" t="s">
        <v>1325</v>
      </c>
      <c r="B736" s="5">
        <v>45563</v>
      </c>
      <c r="C736" s="4" t="s">
        <v>710</v>
      </c>
      <c r="D736" s="4" t="s">
        <v>347</v>
      </c>
      <c r="E736" s="4" t="s">
        <v>22</v>
      </c>
      <c r="F736" s="4" t="s">
        <v>67</v>
      </c>
      <c r="G736" s="4" t="s">
        <v>40</v>
      </c>
      <c r="H736" s="4" t="s">
        <v>41</v>
      </c>
      <c r="I736" s="6">
        <v>1</v>
      </c>
      <c r="J736" s="6">
        <v>2415</v>
      </c>
      <c r="K736" s="6">
        <v>2020.59</v>
      </c>
      <c r="L736" s="6">
        <v>394.41</v>
      </c>
      <c r="M736" s="11">
        <f>Table13[[#This Row],[Profit]]/Table13[[#This Row],[Sales]]</f>
        <v>0.16331677018633542</v>
      </c>
      <c r="N736" s="6" t="str">
        <f>TEXT(Table13[[#This Row],[Order Date]],"mmm")</f>
        <v>Sep</v>
      </c>
      <c r="O736" s="6">
        <f>YEAR(Table13[[#This Row],[Order Date]])</f>
        <v>2024</v>
      </c>
    </row>
    <row r="737" spans="1:15" x14ac:dyDescent="0.3">
      <c r="A737" s="4" t="s">
        <v>1326</v>
      </c>
      <c r="B737" s="5">
        <v>45795</v>
      </c>
      <c r="C737" s="4" t="s">
        <v>113</v>
      </c>
      <c r="D737" s="4" t="s">
        <v>520</v>
      </c>
      <c r="E737" s="4" t="s">
        <v>15</v>
      </c>
      <c r="F737" s="4" t="s">
        <v>63</v>
      </c>
      <c r="G737" s="4" t="s">
        <v>40</v>
      </c>
      <c r="H737" s="4" t="s">
        <v>56</v>
      </c>
      <c r="I737" s="6">
        <v>10</v>
      </c>
      <c r="J737" s="6">
        <v>35160</v>
      </c>
      <c r="K737" s="6">
        <v>21220.21</v>
      </c>
      <c r="L737" s="6">
        <v>13939.79</v>
      </c>
      <c r="M737" s="11">
        <f>Table13[[#This Row],[Profit]]/Table13[[#This Row],[Sales]]</f>
        <v>0.39646729237770195</v>
      </c>
      <c r="N737" s="6" t="str">
        <f>TEXT(Table13[[#This Row],[Order Date]],"mmm")</f>
        <v>May</v>
      </c>
      <c r="O737" s="6">
        <f>YEAR(Table13[[#This Row],[Order Date]])</f>
        <v>2025</v>
      </c>
    </row>
    <row r="738" spans="1:15" x14ac:dyDescent="0.3">
      <c r="A738" s="4" t="s">
        <v>1327</v>
      </c>
      <c r="B738" s="5">
        <v>45397</v>
      </c>
      <c r="C738" s="4" t="s">
        <v>1328</v>
      </c>
      <c r="D738" s="4" t="s">
        <v>681</v>
      </c>
      <c r="E738" s="4" t="s">
        <v>22</v>
      </c>
      <c r="F738" s="4" t="s">
        <v>23</v>
      </c>
      <c r="G738" s="4" t="s">
        <v>17</v>
      </c>
      <c r="H738" s="4" t="s">
        <v>72</v>
      </c>
      <c r="I738" s="6">
        <v>2</v>
      </c>
      <c r="J738" s="6">
        <v>7834</v>
      </c>
      <c r="K738" s="6">
        <v>5990.03</v>
      </c>
      <c r="L738" s="6">
        <v>1843.97</v>
      </c>
      <c r="M738" s="11">
        <f>Table13[[#This Row],[Profit]]/Table13[[#This Row],[Sales]]</f>
        <v>0.23538039315802911</v>
      </c>
      <c r="N738" s="6" t="str">
        <f>TEXT(Table13[[#This Row],[Order Date]],"mmm")</f>
        <v>Apr</v>
      </c>
      <c r="O738" s="6">
        <f>YEAR(Table13[[#This Row],[Order Date]])</f>
        <v>2024</v>
      </c>
    </row>
    <row r="739" spans="1:15" x14ac:dyDescent="0.3">
      <c r="A739" s="4" t="s">
        <v>1329</v>
      </c>
      <c r="B739" s="5">
        <v>45801</v>
      </c>
      <c r="C739" s="4" t="s">
        <v>157</v>
      </c>
      <c r="D739" s="4" t="s">
        <v>322</v>
      </c>
      <c r="E739" s="4" t="s">
        <v>15</v>
      </c>
      <c r="F739" s="4" t="s">
        <v>90</v>
      </c>
      <c r="G739" s="4" t="s">
        <v>17</v>
      </c>
      <c r="H739" s="4" t="s">
        <v>18</v>
      </c>
      <c r="I739" s="6">
        <v>5</v>
      </c>
      <c r="J739" s="6">
        <v>19760</v>
      </c>
      <c r="K739" s="6">
        <v>10979.24</v>
      </c>
      <c r="L739" s="6">
        <v>8780.76</v>
      </c>
      <c r="M739" s="11">
        <f>Table13[[#This Row],[Profit]]/Table13[[#This Row],[Sales]]</f>
        <v>0.44437044534412956</v>
      </c>
      <c r="N739" s="6" t="str">
        <f>TEXT(Table13[[#This Row],[Order Date]],"mmm")</f>
        <v>May</v>
      </c>
      <c r="O739" s="6">
        <f>YEAR(Table13[[#This Row],[Order Date]])</f>
        <v>2025</v>
      </c>
    </row>
    <row r="740" spans="1:15" x14ac:dyDescent="0.3">
      <c r="A740" s="4" t="s">
        <v>1330</v>
      </c>
      <c r="B740" s="5">
        <v>45692</v>
      </c>
      <c r="C740" s="4" t="s">
        <v>748</v>
      </c>
      <c r="D740" s="4" t="s">
        <v>338</v>
      </c>
      <c r="E740" s="4" t="s">
        <v>15</v>
      </c>
      <c r="F740" s="4" t="s">
        <v>90</v>
      </c>
      <c r="G740" s="4" t="s">
        <v>35</v>
      </c>
      <c r="H740" s="4" t="s">
        <v>36</v>
      </c>
      <c r="I740" s="6">
        <v>5</v>
      </c>
      <c r="J740" s="6">
        <v>7705</v>
      </c>
      <c r="K740" s="6">
        <v>5855.93</v>
      </c>
      <c r="L740" s="6">
        <v>1849.07</v>
      </c>
      <c r="M740" s="11">
        <f>Table13[[#This Row],[Profit]]/Table13[[#This Row],[Sales]]</f>
        <v>0.23998312783906553</v>
      </c>
      <c r="N740" s="6" t="str">
        <f>TEXT(Table13[[#This Row],[Order Date]],"mmm")</f>
        <v>Feb</v>
      </c>
      <c r="O740" s="6">
        <f>YEAR(Table13[[#This Row],[Order Date]])</f>
        <v>2025</v>
      </c>
    </row>
    <row r="741" spans="1:15" x14ac:dyDescent="0.3">
      <c r="A741" s="4" t="s">
        <v>1331</v>
      </c>
      <c r="B741" s="5">
        <v>45295</v>
      </c>
      <c r="C741" s="4" t="s">
        <v>334</v>
      </c>
      <c r="D741" s="4" t="s">
        <v>977</v>
      </c>
      <c r="E741" s="4" t="s">
        <v>22</v>
      </c>
      <c r="F741" s="4" t="s">
        <v>67</v>
      </c>
      <c r="G741" s="4" t="s">
        <v>35</v>
      </c>
      <c r="H741" s="4" t="s">
        <v>36</v>
      </c>
      <c r="I741" s="6">
        <v>7</v>
      </c>
      <c r="J741" s="6">
        <v>6118</v>
      </c>
      <c r="K741" s="6">
        <v>4356.25</v>
      </c>
      <c r="L741" s="6">
        <v>1761.75</v>
      </c>
      <c r="M741" s="11">
        <f>Table13[[#This Row],[Profit]]/Table13[[#This Row],[Sales]]</f>
        <v>0.28796175220660347</v>
      </c>
      <c r="N741" s="6" t="str">
        <f>TEXT(Table13[[#This Row],[Order Date]],"mmm")</f>
        <v>Jan</v>
      </c>
      <c r="O741" s="6">
        <f>YEAR(Table13[[#This Row],[Order Date]])</f>
        <v>2024</v>
      </c>
    </row>
    <row r="742" spans="1:15" x14ac:dyDescent="0.3">
      <c r="A742" s="4" t="s">
        <v>1332</v>
      </c>
      <c r="B742" s="5">
        <v>45702</v>
      </c>
      <c r="C742" s="4" t="s">
        <v>58</v>
      </c>
      <c r="D742" s="4" t="s">
        <v>439</v>
      </c>
      <c r="E742" s="4" t="s">
        <v>15</v>
      </c>
      <c r="F742" s="4" t="s">
        <v>90</v>
      </c>
      <c r="G742" s="4" t="s">
        <v>35</v>
      </c>
      <c r="H742" s="4" t="s">
        <v>45</v>
      </c>
      <c r="I742" s="6">
        <v>6</v>
      </c>
      <c r="J742" s="6">
        <v>18186</v>
      </c>
      <c r="K742" s="6">
        <v>13722.26</v>
      </c>
      <c r="L742" s="6">
        <v>4463.74</v>
      </c>
      <c r="M742" s="11">
        <f>Table13[[#This Row],[Profit]]/Table13[[#This Row],[Sales]]</f>
        <v>0.24544924667326515</v>
      </c>
      <c r="N742" s="6" t="str">
        <f>TEXT(Table13[[#This Row],[Order Date]],"mmm")</f>
        <v>Feb</v>
      </c>
      <c r="O742" s="6">
        <f>YEAR(Table13[[#This Row],[Order Date]])</f>
        <v>2025</v>
      </c>
    </row>
    <row r="743" spans="1:15" x14ac:dyDescent="0.3">
      <c r="A743" s="4" t="s">
        <v>1333</v>
      </c>
      <c r="B743" s="5">
        <v>45588</v>
      </c>
      <c r="C743" s="4" t="s">
        <v>1232</v>
      </c>
      <c r="D743" s="4" t="s">
        <v>1334</v>
      </c>
      <c r="E743" s="4" t="s">
        <v>54</v>
      </c>
      <c r="F743" s="4" t="s">
        <v>71</v>
      </c>
      <c r="G743" s="4" t="s">
        <v>40</v>
      </c>
      <c r="H743" s="4" t="s">
        <v>41</v>
      </c>
      <c r="I743" s="6">
        <v>2</v>
      </c>
      <c r="J743" s="6">
        <v>8130</v>
      </c>
      <c r="K743" s="6">
        <v>6326.25</v>
      </c>
      <c r="L743" s="6">
        <v>1803.75</v>
      </c>
      <c r="M743" s="11">
        <f>Table13[[#This Row],[Profit]]/Table13[[#This Row],[Sales]]</f>
        <v>0.22186346863468634</v>
      </c>
      <c r="N743" s="6" t="str">
        <f>TEXT(Table13[[#This Row],[Order Date]],"mmm")</f>
        <v>Oct</v>
      </c>
      <c r="O743" s="6">
        <f>YEAR(Table13[[#This Row],[Order Date]])</f>
        <v>2024</v>
      </c>
    </row>
    <row r="744" spans="1:15" x14ac:dyDescent="0.3">
      <c r="A744" s="4" t="s">
        <v>1335</v>
      </c>
      <c r="B744" s="5">
        <v>45401</v>
      </c>
      <c r="C744" s="4" t="s">
        <v>371</v>
      </c>
      <c r="D744" s="4" t="s">
        <v>124</v>
      </c>
      <c r="E744" s="4" t="s">
        <v>15</v>
      </c>
      <c r="F744" s="4" t="s">
        <v>63</v>
      </c>
      <c r="G744" s="4" t="s">
        <v>17</v>
      </c>
      <c r="H744" s="4" t="s">
        <v>31</v>
      </c>
      <c r="I744" s="6">
        <v>4</v>
      </c>
      <c r="J744" s="6">
        <v>10992</v>
      </c>
      <c r="K744" s="6">
        <v>8340.34</v>
      </c>
      <c r="L744" s="6">
        <v>2651.66</v>
      </c>
      <c r="M744" s="11">
        <f>Table13[[#This Row],[Profit]]/Table13[[#This Row],[Sales]]</f>
        <v>0.24123544395924307</v>
      </c>
      <c r="N744" s="6" t="str">
        <f>TEXT(Table13[[#This Row],[Order Date]],"mmm")</f>
        <v>Apr</v>
      </c>
      <c r="O744" s="6">
        <f>YEAR(Table13[[#This Row],[Order Date]])</f>
        <v>2024</v>
      </c>
    </row>
    <row r="745" spans="1:15" x14ac:dyDescent="0.3">
      <c r="A745" s="4" t="s">
        <v>1336</v>
      </c>
      <c r="B745" s="5">
        <v>45317</v>
      </c>
      <c r="C745" s="4" t="s">
        <v>1337</v>
      </c>
      <c r="D745" s="4" t="s">
        <v>762</v>
      </c>
      <c r="E745" s="4" t="s">
        <v>15</v>
      </c>
      <c r="F745" s="4" t="s">
        <v>90</v>
      </c>
      <c r="G745" s="4" t="s">
        <v>35</v>
      </c>
      <c r="H745" s="4" t="s">
        <v>80</v>
      </c>
      <c r="I745" s="6">
        <v>4</v>
      </c>
      <c r="J745" s="6">
        <v>5784</v>
      </c>
      <c r="K745" s="6">
        <v>3243.14</v>
      </c>
      <c r="L745" s="6">
        <v>2540.86</v>
      </c>
      <c r="M745" s="11">
        <f>Table13[[#This Row],[Profit]]/Table13[[#This Row],[Sales]]</f>
        <v>0.4392911479944675</v>
      </c>
      <c r="N745" s="6" t="str">
        <f>TEXT(Table13[[#This Row],[Order Date]],"mmm")</f>
        <v>Jan</v>
      </c>
      <c r="O745" s="6">
        <f>YEAR(Table13[[#This Row],[Order Date]])</f>
        <v>2024</v>
      </c>
    </row>
    <row r="746" spans="1:15" x14ac:dyDescent="0.3">
      <c r="A746" s="4" t="s">
        <v>1338</v>
      </c>
      <c r="B746" s="5">
        <v>45752</v>
      </c>
      <c r="C746" s="4" t="s">
        <v>688</v>
      </c>
      <c r="D746" s="4" t="s">
        <v>319</v>
      </c>
      <c r="E746" s="4" t="s">
        <v>22</v>
      </c>
      <c r="F746" s="4" t="s">
        <v>23</v>
      </c>
      <c r="G746" s="4" t="s">
        <v>35</v>
      </c>
      <c r="H746" s="4" t="s">
        <v>45</v>
      </c>
      <c r="I746" s="6">
        <v>5</v>
      </c>
      <c r="J746" s="6">
        <v>21965</v>
      </c>
      <c r="K746" s="6">
        <v>15599.15</v>
      </c>
      <c r="L746" s="6">
        <v>6365.85</v>
      </c>
      <c r="M746" s="11">
        <f>Table13[[#This Row],[Profit]]/Table13[[#This Row],[Sales]]</f>
        <v>0.2898178921010699</v>
      </c>
      <c r="N746" s="6" t="str">
        <f>TEXT(Table13[[#This Row],[Order Date]],"mmm")</f>
        <v>Apr</v>
      </c>
      <c r="O746" s="6">
        <f>YEAR(Table13[[#This Row],[Order Date]])</f>
        <v>2025</v>
      </c>
    </row>
    <row r="747" spans="1:15" x14ac:dyDescent="0.3">
      <c r="A747" s="4" t="s">
        <v>1339</v>
      </c>
      <c r="B747" s="5">
        <v>45961</v>
      </c>
      <c r="C747" s="4" t="s">
        <v>826</v>
      </c>
      <c r="D747" s="4" t="s">
        <v>138</v>
      </c>
      <c r="E747" s="4" t="s">
        <v>54</v>
      </c>
      <c r="F747" s="4" t="s">
        <v>142</v>
      </c>
      <c r="G747" s="4" t="s">
        <v>40</v>
      </c>
      <c r="H747" s="4" t="s">
        <v>41</v>
      </c>
      <c r="I747" s="6">
        <v>1</v>
      </c>
      <c r="J747" s="6">
        <v>3621</v>
      </c>
      <c r="K747" s="6">
        <v>2119.94</v>
      </c>
      <c r="L747" s="6">
        <v>1501.06</v>
      </c>
      <c r="M747" s="11">
        <f>Table13[[#This Row],[Profit]]/Table13[[#This Row],[Sales]]</f>
        <v>0.41454294393813862</v>
      </c>
      <c r="N747" s="6" t="str">
        <f>TEXT(Table13[[#This Row],[Order Date]],"mmm")</f>
        <v>Oct</v>
      </c>
      <c r="O747" s="6">
        <f>YEAR(Table13[[#This Row],[Order Date]])</f>
        <v>2025</v>
      </c>
    </row>
    <row r="748" spans="1:15" x14ac:dyDescent="0.3">
      <c r="A748" s="4" t="s">
        <v>1340</v>
      </c>
      <c r="B748" s="5">
        <v>45436</v>
      </c>
      <c r="C748" s="4" t="s">
        <v>904</v>
      </c>
      <c r="D748" s="4" t="s">
        <v>453</v>
      </c>
      <c r="E748" s="4" t="s">
        <v>29</v>
      </c>
      <c r="F748" s="4" t="s">
        <v>30</v>
      </c>
      <c r="G748" s="4" t="s">
        <v>17</v>
      </c>
      <c r="H748" s="4" t="s">
        <v>72</v>
      </c>
      <c r="I748" s="6">
        <v>4</v>
      </c>
      <c r="J748" s="6">
        <v>3560</v>
      </c>
      <c r="K748" s="6">
        <v>1997.39</v>
      </c>
      <c r="L748" s="6">
        <v>1562.61</v>
      </c>
      <c r="M748" s="11">
        <f>Table13[[#This Row],[Profit]]/Table13[[#This Row],[Sales]]</f>
        <v>0.43893539325842695</v>
      </c>
      <c r="N748" s="6" t="str">
        <f>TEXT(Table13[[#This Row],[Order Date]],"mmm")</f>
        <v>May</v>
      </c>
      <c r="O748" s="6">
        <f>YEAR(Table13[[#This Row],[Order Date]])</f>
        <v>2024</v>
      </c>
    </row>
    <row r="749" spans="1:15" x14ac:dyDescent="0.3">
      <c r="A749" s="4" t="s">
        <v>1341</v>
      </c>
      <c r="B749" s="5">
        <v>45939</v>
      </c>
      <c r="C749" s="4" t="s">
        <v>374</v>
      </c>
      <c r="D749" s="4" t="s">
        <v>656</v>
      </c>
      <c r="E749" s="4" t="s">
        <v>22</v>
      </c>
      <c r="F749" s="4" t="s">
        <v>79</v>
      </c>
      <c r="G749" s="4" t="s">
        <v>24</v>
      </c>
      <c r="H749" s="4" t="s">
        <v>25</v>
      </c>
      <c r="I749" s="6">
        <v>4</v>
      </c>
      <c r="J749" s="6">
        <v>5476</v>
      </c>
      <c r="K749" s="6">
        <v>3035.4</v>
      </c>
      <c r="L749" s="6">
        <v>2440.6</v>
      </c>
      <c r="M749" s="11">
        <f>Table13[[#This Row],[Profit]]/Table13[[#This Row],[Sales]]</f>
        <v>0.44569028487947404</v>
      </c>
      <c r="N749" s="6" t="str">
        <f>TEXT(Table13[[#This Row],[Order Date]],"mmm")</f>
        <v>Oct</v>
      </c>
      <c r="O749" s="6">
        <f>YEAR(Table13[[#This Row],[Order Date]])</f>
        <v>2025</v>
      </c>
    </row>
    <row r="750" spans="1:15" x14ac:dyDescent="0.3">
      <c r="A750" s="4" t="s">
        <v>1342</v>
      </c>
      <c r="B750" s="5">
        <v>45400</v>
      </c>
      <c r="C750" s="4" t="s">
        <v>77</v>
      </c>
      <c r="D750" s="4" t="s">
        <v>375</v>
      </c>
      <c r="E750" s="4" t="s">
        <v>15</v>
      </c>
      <c r="F750" s="4" t="s">
        <v>63</v>
      </c>
      <c r="G750" s="4" t="s">
        <v>17</v>
      </c>
      <c r="H750" s="4" t="s">
        <v>72</v>
      </c>
      <c r="I750" s="6">
        <v>3</v>
      </c>
      <c r="J750" s="6">
        <v>2469</v>
      </c>
      <c r="K750" s="6">
        <v>1963.69</v>
      </c>
      <c r="L750" s="6">
        <v>505.31</v>
      </c>
      <c r="M750" s="11">
        <f>Table13[[#This Row],[Profit]]/Table13[[#This Row],[Sales]]</f>
        <v>0.20466180639935197</v>
      </c>
      <c r="N750" s="6" t="str">
        <f>TEXT(Table13[[#This Row],[Order Date]],"mmm")</f>
        <v>Apr</v>
      </c>
      <c r="O750" s="6">
        <f>YEAR(Table13[[#This Row],[Order Date]])</f>
        <v>2024</v>
      </c>
    </row>
    <row r="751" spans="1:15" x14ac:dyDescent="0.3">
      <c r="A751" s="4" t="s">
        <v>1343</v>
      </c>
      <c r="B751" s="5">
        <v>45986</v>
      </c>
      <c r="C751" s="4" t="s">
        <v>636</v>
      </c>
      <c r="D751" s="4" t="s">
        <v>1180</v>
      </c>
      <c r="E751" s="4" t="s">
        <v>29</v>
      </c>
      <c r="F751" s="4" t="s">
        <v>102</v>
      </c>
      <c r="G751" s="4" t="s">
        <v>40</v>
      </c>
      <c r="H751" s="4" t="s">
        <v>56</v>
      </c>
      <c r="I751" s="6">
        <v>7</v>
      </c>
      <c r="J751" s="6">
        <v>21441</v>
      </c>
      <c r="K751" s="6">
        <v>17012.5</v>
      </c>
      <c r="L751" s="6">
        <v>4428.5</v>
      </c>
      <c r="M751" s="11">
        <f>Table13[[#This Row],[Profit]]/Table13[[#This Row],[Sales]]</f>
        <v>0.2065435380812462</v>
      </c>
      <c r="N751" s="6" t="str">
        <f>TEXT(Table13[[#This Row],[Order Date]],"mmm")</f>
        <v>Nov</v>
      </c>
      <c r="O751" s="6">
        <f>YEAR(Table13[[#This Row],[Order Date]])</f>
        <v>2025</v>
      </c>
    </row>
    <row r="752" spans="1:15" x14ac:dyDescent="0.3">
      <c r="A752" s="4" t="s">
        <v>1344</v>
      </c>
      <c r="B752" s="5">
        <v>45510</v>
      </c>
      <c r="C752" s="4" t="s">
        <v>446</v>
      </c>
      <c r="D752" s="4" t="s">
        <v>466</v>
      </c>
      <c r="E752" s="4" t="s">
        <v>15</v>
      </c>
      <c r="F752" s="4" t="s">
        <v>90</v>
      </c>
      <c r="G752" s="4" t="s">
        <v>17</v>
      </c>
      <c r="H752" s="4" t="s">
        <v>72</v>
      </c>
      <c r="I752" s="6">
        <v>9</v>
      </c>
      <c r="J752" s="6">
        <v>12825</v>
      </c>
      <c r="K752" s="6">
        <v>8291.07</v>
      </c>
      <c r="L752" s="6">
        <v>4533.93</v>
      </c>
      <c r="M752" s="11">
        <f>Table13[[#This Row],[Profit]]/Table13[[#This Row],[Sales]]</f>
        <v>0.35352280701754391</v>
      </c>
      <c r="N752" s="6" t="str">
        <f>TEXT(Table13[[#This Row],[Order Date]],"mmm")</f>
        <v>Aug</v>
      </c>
      <c r="O752" s="6">
        <f>YEAR(Table13[[#This Row],[Order Date]])</f>
        <v>2024</v>
      </c>
    </row>
    <row r="753" spans="1:15" x14ac:dyDescent="0.3">
      <c r="A753" s="4" t="s">
        <v>1345</v>
      </c>
      <c r="B753" s="5">
        <v>45464</v>
      </c>
      <c r="C753" s="4" t="s">
        <v>906</v>
      </c>
      <c r="D753" s="4" t="s">
        <v>399</v>
      </c>
      <c r="E753" s="4" t="s">
        <v>54</v>
      </c>
      <c r="F753" s="4" t="s">
        <v>142</v>
      </c>
      <c r="G753" s="4" t="s">
        <v>24</v>
      </c>
      <c r="H753" s="4" t="s">
        <v>50</v>
      </c>
      <c r="I753" s="6">
        <v>5</v>
      </c>
      <c r="J753" s="6">
        <v>7285</v>
      </c>
      <c r="K753" s="6">
        <v>5662.38</v>
      </c>
      <c r="L753" s="6">
        <v>1622.62</v>
      </c>
      <c r="M753" s="11">
        <f>Table13[[#This Row],[Profit]]/Table13[[#This Row],[Sales]]</f>
        <v>0.22273438572409057</v>
      </c>
      <c r="N753" s="6" t="str">
        <f>TEXT(Table13[[#This Row],[Order Date]],"mmm")</f>
        <v>Jun</v>
      </c>
      <c r="O753" s="6">
        <f>YEAR(Table13[[#This Row],[Order Date]])</f>
        <v>2024</v>
      </c>
    </row>
    <row r="754" spans="1:15" x14ac:dyDescent="0.3">
      <c r="A754" s="4" t="s">
        <v>1346</v>
      </c>
      <c r="B754" s="5">
        <v>45939</v>
      </c>
      <c r="C754" s="4" t="s">
        <v>718</v>
      </c>
      <c r="D754" s="4" t="s">
        <v>296</v>
      </c>
      <c r="E754" s="4" t="s">
        <v>29</v>
      </c>
      <c r="F754" s="4" t="s">
        <v>49</v>
      </c>
      <c r="G754" s="4" t="s">
        <v>40</v>
      </c>
      <c r="H754" s="4" t="s">
        <v>56</v>
      </c>
      <c r="I754" s="6">
        <v>10</v>
      </c>
      <c r="J754" s="6">
        <v>6330</v>
      </c>
      <c r="K754" s="6">
        <v>3734.77</v>
      </c>
      <c r="L754" s="6">
        <v>2595.23</v>
      </c>
      <c r="M754" s="11">
        <f>Table13[[#This Row],[Profit]]/Table13[[#This Row],[Sales]]</f>
        <v>0.40998894154818327</v>
      </c>
      <c r="N754" s="6" t="str">
        <f>TEXT(Table13[[#This Row],[Order Date]],"mmm")</f>
        <v>Oct</v>
      </c>
      <c r="O754" s="6">
        <f>YEAR(Table13[[#This Row],[Order Date]])</f>
        <v>2025</v>
      </c>
    </row>
    <row r="755" spans="1:15" x14ac:dyDescent="0.3">
      <c r="A755" s="4" t="s">
        <v>1347</v>
      </c>
      <c r="B755" s="5">
        <v>45383</v>
      </c>
      <c r="C755" s="4" t="s">
        <v>810</v>
      </c>
      <c r="D755" s="4" t="s">
        <v>626</v>
      </c>
      <c r="E755" s="4" t="s">
        <v>15</v>
      </c>
      <c r="F755" s="4" t="s">
        <v>63</v>
      </c>
      <c r="G755" s="4" t="s">
        <v>24</v>
      </c>
      <c r="H755" s="4" t="s">
        <v>50</v>
      </c>
      <c r="I755" s="6">
        <v>1</v>
      </c>
      <c r="J755" s="6">
        <v>359</v>
      </c>
      <c r="K755" s="6">
        <v>216.77</v>
      </c>
      <c r="L755" s="6">
        <v>142.22999999999999</v>
      </c>
      <c r="M755" s="11">
        <f>Table13[[#This Row],[Profit]]/Table13[[#This Row],[Sales]]</f>
        <v>0.39618384401114204</v>
      </c>
      <c r="N755" s="6" t="str">
        <f>TEXT(Table13[[#This Row],[Order Date]],"mmm")</f>
        <v>Apr</v>
      </c>
      <c r="O755" s="6">
        <f>YEAR(Table13[[#This Row],[Order Date]])</f>
        <v>2024</v>
      </c>
    </row>
    <row r="756" spans="1:15" x14ac:dyDescent="0.3">
      <c r="A756" s="4" t="s">
        <v>1348</v>
      </c>
      <c r="B756" s="5">
        <v>45827</v>
      </c>
      <c r="C756" s="4" t="s">
        <v>290</v>
      </c>
      <c r="D756" s="4" t="s">
        <v>428</v>
      </c>
      <c r="E756" s="4" t="s">
        <v>22</v>
      </c>
      <c r="F756" s="4" t="s">
        <v>79</v>
      </c>
      <c r="G756" s="4" t="s">
        <v>24</v>
      </c>
      <c r="H756" s="4" t="s">
        <v>166</v>
      </c>
      <c r="I756" s="6">
        <v>4</v>
      </c>
      <c r="J756" s="6">
        <v>5888</v>
      </c>
      <c r="K756" s="6">
        <v>4368.59</v>
      </c>
      <c r="L756" s="6">
        <v>1519.41</v>
      </c>
      <c r="M756" s="11">
        <f>Table13[[#This Row],[Profit]]/Table13[[#This Row],[Sales]]</f>
        <v>0.25805197010869568</v>
      </c>
      <c r="N756" s="6" t="str">
        <f>TEXT(Table13[[#This Row],[Order Date]],"mmm")</f>
        <v>Jun</v>
      </c>
      <c r="O756" s="6">
        <f>YEAR(Table13[[#This Row],[Order Date]])</f>
        <v>2025</v>
      </c>
    </row>
    <row r="757" spans="1:15" x14ac:dyDescent="0.3">
      <c r="A757" s="4" t="s">
        <v>1349</v>
      </c>
      <c r="B757" s="5">
        <v>45918</v>
      </c>
      <c r="C757" s="4" t="s">
        <v>890</v>
      </c>
      <c r="D757" s="4" t="s">
        <v>1350</v>
      </c>
      <c r="E757" s="4" t="s">
        <v>29</v>
      </c>
      <c r="F757" s="4" t="s">
        <v>102</v>
      </c>
      <c r="G757" s="4" t="s">
        <v>17</v>
      </c>
      <c r="H757" s="4" t="s">
        <v>72</v>
      </c>
      <c r="I757" s="6">
        <v>1</v>
      </c>
      <c r="J757" s="6">
        <v>1774</v>
      </c>
      <c r="K757" s="6">
        <v>1357.39</v>
      </c>
      <c r="L757" s="6">
        <v>416.61</v>
      </c>
      <c r="M757" s="11">
        <f>Table13[[#This Row],[Profit]]/Table13[[#This Row],[Sales]]</f>
        <v>0.23484216459977453</v>
      </c>
      <c r="N757" s="6" t="str">
        <f>TEXT(Table13[[#This Row],[Order Date]],"mmm")</f>
        <v>Sep</v>
      </c>
      <c r="O757" s="6">
        <f>YEAR(Table13[[#This Row],[Order Date]])</f>
        <v>2025</v>
      </c>
    </row>
    <row r="758" spans="1:15" x14ac:dyDescent="0.3">
      <c r="A758" s="4" t="s">
        <v>1351</v>
      </c>
      <c r="B758" s="5">
        <v>45834</v>
      </c>
      <c r="C758" s="4" t="s">
        <v>993</v>
      </c>
      <c r="D758" s="4" t="s">
        <v>459</v>
      </c>
      <c r="E758" s="4" t="s">
        <v>54</v>
      </c>
      <c r="F758" s="4" t="s">
        <v>55</v>
      </c>
      <c r="G758" s="4" t="s">
        <v>24</v>
      </c>
      <c r="H758" s="4" t="s">
        <v>25</v>
      </c>
      <c r="I758" s="6">
        <v>9</v>
      </c>
      <c r="J758" s="6">
        <v>20070</v>
      </c>
      <c r="K758" s="6">
        <v>12193.95</v>
      </c>
      <c r="L758" s="6">
        <v>7876.05</v>
      </c>
      <c r="M758" s="11">
        <f>Table13[[#This Row],[Profit]]/Table13[[#This Row],[Sales]]</f>
        <v>0.39242899850523172</v>
      </c>
      <c r="N758" s="6" t="str">
        <f>TEXT(Table13[[#This Row],[Order Date]],"mmm")</f>
        <v>Jun</v>
      </c>
      <c r="O758" s="6">
        <f>YEAR(Table13[[#This Row],[Order Date]])</f>
        <v>2025</v>
      </c>
    </row>
    <row r="759" spans="1:15" x14ac:dyDescent="0.3">
      <c r="A759" s="4" t="s">
        <v>1352</v>
      </c>
      <c r="B759" s="5">
        <v>45407</v>
      </c>
      <c r="C759" s="4" t="s">
        <v>157</v>
      </c>
      <c r="D759" s="4" t="s">
        <v>108</v>
      </c>
      <c r="E759" s="4" t="s">
        <v>29</v>
      </c>
      <c r="F759" s="4" t="s">
        <v>49</v>
      </c>
      <c r="G759" s="4" t="s">
        <v>17</v>
      </c>
      <c r="H759" s="4" t="s">
        <v>31</v>
      </c>
      <c r="I759" s="6">
        <v>4</v>
      </c>
      <c r="J759" s="6">
        <v>10256</v>
      </c>
      <c r="K759" s="6">
        <v>5804.08</v>
      </c>
      <c r="L759" s="6">
        <v>4451.92</v>
      </c>
      <c r="M759" s="11">
        <f>Table13[[#This Row],[Profit]]/Table13[[#This Row],[Sales]]</f>
        <v>0.43407956318252733</v>
      </c>
      <c r="N759" s="6" t="str">
        <f>TEXT(Table13[[#This Row],[Order Date]],"mmm")</f>
        <v>Apr</v>
      </c>
      <c r="O759" s="6">
        <f>YEAR(Table13[[#This Row],[Order Date]])</f>
        <v>2024</v>
      </c>
    </row>
    <row r="760" spans="1:15" x14ac:dyDescent="0.3">
      <c r="A760" s="4" t="s">
        <v>1353</v>
      </c>
      <c r="B760" s="5">
        <v>45583</v>
      </c>
      <c r="C760" s="4" t="s">
        <v>149</v>
      </c>
      <c r="D760" s="4" t="s">
        <v>252</v>
      </c>
      <c r="E760" s="4" t="s">
        <v>22</v>
      </c>
      <c r="F760" s="4" t="s">
        <v>23</v>
      </c>
      <c r="G760" s="4" t="s">
        <v>24</v>
      </c>
      <c r="H760" s="4" t="s">
        <v>166</v>
      </c>
      <c r="I760" s="6">
        <v>1</v>
      </c>
      <c r="J760" s="6">
        <v>742</v>
      </c>
      <c r="K760" s="6">
        <v>551.65</v>
      </c>
      <c r="L760" s="6">
        <v>190.35</v>
      </c>
      <c r="M760" s="11">
        <f>Table13[[#This Row],[Profit]]/Table13[[#This Row],[Sales]]</f>
        <v>0.25653638814016172</v>
      </c>
      <c r="N760" s="6" t="str">
        <f>TEXT(Table13[[#This Row],[Order Date]],"mmm")</f>
        <v>Oct</v>
      </c>
      <c r="O760" s="6">
        <f>YEAR(Table13[[#This Row],[Order Date]])</f>
        <v>2024</v>
      </c>
    </row>
    <row r="761" spans="1:15" x14ac:dyDescent="0.3">
      <c r="A761" s="4" t="s">
        <v>1354</v>
      </c>
      <c r="B761" s="5">
        <v>45345</v>
      </c>
      <c r="C761" s="4" t="s">
        <v>140</v>
      </c>
      <c r="D761" s="4" t="s">
        <v>1334</v>
      </c>
      <c r="E761" s="4" t="s">
        <v>54</v>
      </c>
      <c r="F761" s="4" t="s">
        <v>55</v>
      </c>
      <c r="G761" s="4" t="s">
        <v>17</v>
      </c>
      <c r="H761" s="4" t="s">
        <v>72</v>
      </c>
      <c r="I761" s="6">
        <v>8</v>
      </c>
      <c r="J761" s="6">
        <v>5232</v>
      </c>
      <c r="K761" s="6">
        <v>3041.5</v>
      </c>
      <c r="L761" s="6">
        <v>2190.5</v>
      </c>
      <c r="M761" s="11">
        <f>Table13[[#This Row],[Profit]]/Table13[[#This Row],[Sales]]</f>
        <v>0.41867354740061163</v>
      </c>
      <c r="N761" s="6" t="str">
        <f>TEXT(Table13[[#This Row],[Order Date]],"mmm")</f>
        <v>Feb</v>
      </c>
      <c r="O761" s="6">
        <f>YEAR(Table13[[#This Row],[Order Date]])</f>
        <v>2024</v>
      </c>
    </row>
    <row r="762" spans="1:15" x14ac:dyDescent="0.3">
      <c r="A762" s="4" t="s">
        <v>1355</v>
      </c>
      <c r="B762" s="5">
        <v>45532</v>
      </c>
      <c r="C762" s="4" t="s">
        <v>500</v>
      </c>
      <c r="D762" s="4" t="s">
        <v>1309</v>
      </c>
      <c r="E762" s="4" t="s">
        <v>29</v>
      </c>
      <c r="F762" s="4" t="s">
        <v>102</v>
      </c>
      <c r="G762" s="4" t="s">
        <v>35</v>
      </c>
      <c r="H762" s="4" t="s">
        <v>80</v>
      </c>
      <c r="I762" s="6">
        <v>9</v>
      </c>
      <c r="J762" s="6">
        <v>11250</v>
      </c>
      <c r="K762" s="6">
        <v>6426.65</v>
      </c>
      <c r="L762" s="6">
        <v>4823.3500000000004</v>
      </c>
      <c r="M762" s="11">
        <f>Table13[[#This Row],[Profit]]/Table13[[#This Row],[Sales]]</f>
        <v>0.42874222222222225</v>
      </c>
      <c r="N762" s="6" t="str">
        <f>TEXT(Table13[[#This Row],[Order Date]],"mmm")</f>
        <v>Aug</v>
      </c>
      <c r="O762" s="6">
        <f>YEAR(Table13[[#This Row],[Order Date]])</f>
        <v>2024</v>
      </c>
    </row>
    <row r="763" spans="1:15" x14ac:dyDescent="0.3">
      <c r="A763" s="4" t="s">
        <v>1356</v>
      </c>
      <c r="B763" s="5">
        <v>45625</v>
      </c>
      <c r="C763" s="4" t="s">
        <v>1357</v>
      </c>
      <c r="D763" s="4" t="s">
        <v>417</v>
      </c>
      <c r="E763" s="4" t="s">
        <v>54</v>
      </c>
      <c r="F763" s="4" t="s">
        <v>55</v>
      </c>
      <c r="G763" s="4" t="s">
        <v>40</v>
      </c>
      <c r="H763" s="4" t="s">
        <v>56</v>
      </c>
      <c r="I763" s="6">
        <v>6</v>
      </c>
      <c r="J763" s="6">
        <v>13104</v>
      </c>
      <c r="K763" s="6">
        <v>10269.51</v>
      </c>
      <c r="L763" s="6">
        <v>2834.49</v>
      </c>
      <c r="M763" s="11">
        <f>Table13[[#This Row],[Profit]]/Table13[[#This Row],[Sales]]</f>
        <v>0.2163072344322344</v>
      </c>
      <c r="N763" s="6" t="str">
        <f>TEXT(Table13[[#This Row],[Order Date]],"mmm")</f>
        <v>Nov</v>
      </c>
      <c r="O763" s="6">
        <f>YEAR(Table13[[#This Row],[Order Date]])</f>
        <v>2024</v>
      </c>
    </row>
    <row r="764" spans="1:15" x14ac:dyDescent="0.3">
      <c r="A764" s="4" t="s">
        <v>1358</v>
      </c>
      <c r="B764" s="5">
        <v>45367</v>
      </c>
      <c r="C764" s="4" t="s">
        <v>1055</v>
      </c>
      <c r="D764" s="4" t="s">
        <v>221</v>
      </c>
      <c r="E764" s="4" t="s">
        <v>29</v>
      </c>
      <c r="F764" s="4" t="s">
        <v>30</v>
      </c>
      <c r="G764" s="4" t="s">
        <v>35</v>
      </c>
      <c r="H764" s="4" t="s">
        <v>36</v>
      </c>
      <c r="I764" s="6">
        <v>4</v>
      </c>
      <c r="J764" s="6">
        <v>13504</v>
      </c>
      <c r="K764" s="6">
        <v>11038.3</v>
      </c>
      <c r="L764" s="6">
        <v>2465.6999999999998</v>
      </c>
      <c r="M764" s="11">
        <f>Table13[[#This Row],[Profit]]/Table13[[#This Row],[Sales]]</f>
        <v>0.18259034360189572</v>
      </c>
      <c r="N764" s="6" t="str">
        <f>TEXT(Table13[[#This Row],[Order Date]],"mmm")</f>
        <v>Mar</v>
      </c>
      <c r="O764" s="6">
        <f>YEAR(Table13[[#This Row],[Order Date]])</f>
        <v>2024</v>
      </c>
    </row>
    <row r="765" spans="1:15" x14ac:dyDescent="0.3">
      <c r="A765" s="4" t="s">
        <v>1359</v>
      </c>
      <c r="B765" s="5">
        <v>45757</v>
      </c>
      <c r="C765" s="4" t="s">
        <v>710</v>
      </c>
      <c r="D765" s="4" t="s">
        <v>944</v>
      </c>
      <c r="E765" s="4" t="s">
        <v>22</v>
      </c>
      <c r="F765" s="4" t="s">
        <v>23</v>
      </c>
      <c r="G765" s="4" t="s">
        <v>35</v>
      </c>
      <c r="H765" s="4" t="s">
        <v>36</v>
      </c>
      <c r="I765" s="6">
        <v>3</v>
      </c>
      <c r="J765" s="6">
        <v>6210</v>
      </c>
      <c r="K765" s="6">
        <v>5144.1499999999996</v>
      </c>
      <c r="L765" s="6">
        <v>1065.8499999999999</v>
      </c>
      <c r="M765" s="11">
        <f>Table13[[#This Row],[Profit]]/Table13[[#This Row],[Sales]]</f>
        <v>0.171634460547504</v>
      </c>
      <c r="N765" s="6" t="str">
        <f>TEXT(Table13[[#This Row],[Order Date]],"mmm")</f>
        <v>Apr</v>
      </c>
      <c r="O765" s="6">
        <f>YEAR(Table13[[#This Row],[Order Date]])</f>
        <v>2025</v>
      </c>
    </row>
    <row r="766" spans="1:15" x14ac:dyDescent="0.3">
      <c r="A766" s="4" t="s">
        <v>1360</v>
      </c>
      <c r="B766" s="5">
        <v>45499</v>
      </c>
      <c r="C766" s="4" t="s">
        <v>195</v>
      </c>
      <c r="D766" s="4" t="s">
        <v>1361</v>
      </c>
      <c r="E766" s="4" t="s">
        <v>54</v>
      </c>
      <c r="F766" s="4" t="s">
        <v>142</v>
      </c>
      <c r="G766" s="4" t="s">
        <v>35</v>
      </c>
      <c r="H766" s="4" t="s">
        <v>80</v>
      </c>
      <c r="I766" s="6">
        <v>4</v>
      </c>
      <c r="J766" s="6">
        <v>12948</v>
      </c>
      <c r="K766" s="6">
        <v>10910.85</v>
      </c>
      <c r="L766" s="6">
        <v>2037.15</v>
      </c>
      <c r="M766" s="11">
        <f>Table13[[#This Row],[Profit]]/Table13[[#This Row],[Sales]]</f>
        <v>0.15733317886932346</v>
      </c>
      <c r="N766" s="6" t="str">
        <f>TEXT(Table13[[#This Row],[Order Date]],"mmm")</f>
        <v>Jul</v>
      </c>
      <c r="O766" s="6">
        <f>YEAR(Table13[[#This Row],[Order Date]])</f>
        <v>2024</v>
      </c>
    </row>
    <row r="767" spans="1:15" x14ac:dyDescent="0.3">
      <c r="A767" s="4" t="s">
        <v>1362</v>
      </c>
      <c r="B767" s="5">
        <v>45768</v>
      </c>
      <c r="C767" s="4" t="s">
        <v>516</v>
      </c>
      <c r="D767" s="4" t="s">
        <v>223</v>
      </c>
      <c r="E767" s="4" t="s">
        <v>15</v>
      </c>
      <c r="F767" s="4" t="s">
        <v>90</v>
      </c>
      <c r="G767" s="4" t="s">
        <v>17</v>
      </c>
      <c r="H767" s="4" t="s">
        <v>72</v>
      </c>
      <c r="I767" s="6">
        <v>1</v>
      </c>
      <c r="J767" s="6">
        <v>2598</v>
      </c>
      <c r="K767" s="6">
        <v>1535.29</v>
      </c>
      <c r="L767" s="6">
        <v>1062.71</v>
      </c>
      <c r="M767" s="11">
        <f>Table13[[#This Row],[Profit]]/Table13[[#This Row],[Sales]]</f>
        <v>0.40904926866820635</v>
      </c>
      <c r="N767" s="6" t="str">
        <f>TEXT(Table13[[#This Row],[Order Date]],"mmm")</f>
        <v>Apr</v>
      </c>
      <c r="O767" s="6">
        <f>YEAR(Table13[[#This Row],[Order Date]])</f>
        <v>2025</v>
      </c>
    </row>
    <row r="768" spans="1:15" x14ac:dyDescent="0.3">
      <c r="A768" s="4" t="s">
        <v>1363</v>
      </c>
      <c r="B768" s="5">
        <v>45945</v>
      </c>
      <c r="C768" s="4" t="s">
        <v>1364</v>
      </c>
      <c r="D768" s="4" t="s">
        <v>311</v>
      </c>
      <c r="E768" s="4" t="s">
        <v>29</v>
      </c>
      <c r="F768" s="4" t="s">
        <v>49</v>
      </c>
      <c r="G768" s="4" t="s">
        <v>40</v>
      </c>
      <c r="H768" s="4" t="s">
        <v>56</v>
      </c>
      <c r="I768" s="6">
        <v>5</v>
      </c>
      <c r="J768" s="6">
        <v>7920</v>
      </c>
      <c r="K768" s="6">
        <v>6231.96</v>
      </c>
      <c r="L768" s="6">
        <v>1688.04</v>
      </c>
      <c r="M768" s="11">
        <f>Table13[[#This Row],[Profit]]/Table13[[#This Row],[Sales]]</f>
        <v>0.21313636363636362</v>
      </c>
      <c r="N768" s="6" t="str">
        <f>TEXT(Table13[[#This Row],[Order Date]],"mmm")</f>
        <v>Oct</v>
      </c>
      <c r="O768" s="6">
        <f>YEAR(Table13[[#This Row],[Order Date]])</f>
        <v>2025</v>
      </c>
    </row>
    <row r="769" spans="1:15" x14ac:dyDescent="0.3">
      <c r="A769" s="4" t="s">
        <v>1365</v>
      </c>
      <c r="B769" s="5">
        <v>45513</v>
      </c>
      <c r="C769" s="4" t="s">
        <v>1001</v>
      </c>
      <c r="D769" s="4" t="s">
        <v>1282</v>
      </c>
      <c r="E769" s="4" t="s">
        <v>29</v>
      </c>
      <c r="F769" s="4" t="s">
        <v>102</v>
      </c>
      <c r="G769" s="4" t="s">
        <v>35</v>
      </c>
      <c r="H769" s="4" t="s">
        <v>36</v>
      </c>
      <c r="I769" s="6">
        <v>9</v>
      </c>
      <c r="J769" s="6">
        <v>38763</v>
      </c>
      <c r="K769" s="6">
        <v>31346.080000000002</v>
      </c>
      <c r="L769" s="6">
        <v>7416.92</v>
      </c>
      <c r="M769" s="11">
        <f>Table13[[#This Row],[Profit]]/Table13[[#This Row],[Sales]]</f>
        <v>0.19134019554730025</v>
      </c>
      <c r="N769" s="6" t="str">
        <f>TEXT(Table13[[#This Row],[Order Date]],"mmm")</f>
        <v>Aug</v>
      </c>
      <c r="O769" s="6">
        <f>YEAR(Table13[[#This Row],[Order Date]])</f>
        <v>2024</v>
      </c>
    </row>
    <row r="770" spans="1:15" x14ac:dyDescent="0.3">
      <c r="A770" s="4" t="s">
        <v>1366</v>
      </c>
      <c r="B770" s="5">
        <v>45736</v>
      </c>
      <c r="C770" s="4" t="s">
        <v>379</v>
      </c>
      <c r="D770" s="4" t="s">
        <v>749</v>
      </c>
      <c r="E770" s="4" t="s">
        <v>54</v>
      </c>
      <c r="F770" s="4" t="s">
        <v>142</v>
      </c>
      <c r="G770" s="4" t="s">
        <v>17</v>
      </c>
      <c r="H770" s="4" t="s">
        <v>18</v>
      </c>
      <c r="I770" s="6">
        <v>7</v>
      </c>
      <c r="J770" s="6">
        <v>16240</v>
      </c>
      <c r="K770" s="6">
        <v>10139.43</v>
      </c>
      <c r="L770" s="6">
        <v>6100.57</v>
      </c>
      <c r="M770" s="11">
        <f>Table13[[#This Row],[Profit]]/Table13[[#This Row],[Sales]]</f>
        <v>0.37565086206896547</v>
      </c>
      <c r="N770" s="6" t="str">
        <f>TEXT(Table13[[#This Row],[Order Date]],"mmm")</f>
        <v>Mar</v>
      </c>
      <c r="O770" s="6">
        <f>YEAR(Table13[[#This Row],[Order Date]])</f>
        <v>2025</v>
      </c>
    </row>
    <row r="771" spans="1:15" x14ac:dyDescent="0.3">
      <c r="A771" s="4" t="s">
        <v>1367</v>
      </c>
      <c r="B771" s="5">
        <v>45773</v>
      </c>
      <c r="C771" s="4" t="s">
        <v>1193</v>
      </c>
      <c r="D771" s="4" t="s">
        <v>1153</v>
      </c>
      <c r="E771" s="4" t="s">
        <v>29</v>
      </c>
      <c r="F771" s="4" t="s">
        <v>30</v>
      </c>
      <c r="G771" s="4" t="s">
        <v>24</v>
      </c>
      <c r="H771" s="4" t="s">
        <v>25</v>
      </c>
      <c r="I771" s="6">
        <v>7</v>
      </c>
      <c r="J771" s="6">
        <v>4634</v>
      </c>
      <c r="K771" s="6">
        <v>2604.39</v>
      </c>
      <c r="L771" s="6">
        <v>2029.61</v>
      </c>
      <c r="M771" s="11">
        <f>Table13[[#This Row],[Profit]]/Table13[[#This Row],[Sales]]</f>
        <v>0.43798230470435906</v>
      </c>
      <c r="N771" s="6" t="str">
        <f>TEXT(Table13[[#This Row],[Order Date]],"mmm")</f>
        <v>Apr</v>
      </c>
      <c r="O771" s="6">
        <f>YEAR(Table13[[#This Row],[Order Date]])</f>
        <v>2025</v>
      </c>
    </row>
    <row r="772" spans="1:15" x14ac:dyDescent="0.3">
      <c r="A772" s="4" t="s">
        <v>1368</v>
      </c>
      <c r="B772" s="5">
        <v>45538</v>
      </c>
      <c r="C772" s="4" t="s">
        <v>821</v>
      </c>
      <c r="D772" s="4" t="s">
        <v>612</v>
      </c>
      <c r="E772" s="4" t="s">
        <v>22</v>
      </c>
      <c r="F772" s="4" t="s">
        <v>79</v>
      </c>
      <c r="G772" s="4" t="s">
        <v>35</v>
      </c>
      <c r="H772" s="4" t="s">
        <v>36</v>
      </c>
      <c r="I772" s="6">
        <v>8</v>
      </c>
      <c r="J772" s="6">
        <v>8816</v>
      </c>
      <c r="K772" s="6">
        <v>6045.42</v>
      </c>
      <c r="L772" s="6">
        <v>2770.58</v>
      </c>
      <c r="M772" s="11">
        <f>Table13[[#This Row],[Profit]]/Table13[[#This Row],[Sales]]</f>
        <v>0.31426724137931034</v>
      </c>
      <c r="N772" s="6" t="str">
        <f>TEXT(Table13[[#This Row],[Order Date]],"mmm")</f>
        <v>Sep</v>
      </c>
      <c r="O772" s="6">
        <f>YEAR(Table13[[#This Row],[Order Date]])</f>
        <v>2024</v>
      </c>
    </row>
    <row r="773" spans="1:15" x14ac:dyDescent="0.3">
      <c r="A773" s="4" t="s">
        <v>1369</v>
      </c>
      <c r="B773" s="5">
        <v>45594</v>
      </c>
      <c r="C773" s="4" t="s">
        <v>1337</v>
      </c>
      <c r="D773" s="4" t="s">
        <v>439</v>
      </c>
      <c r="E773" s="4" t="s">
        <v>15</v>
      </c>
      <c r="F773" s="4" t="s">
        <v>90</v>
      </c>
      <c r="G773" s="4" t="s">
        <v>17</v>
      </c>
      <c r="H773" s="4" t="s">
        <v>18</v>
      </c>
      <c r="I773" s="6">
        <v>7</v>
      </c>
      <c r="J773" s="6">
        <v>14595</v>
      </c>
      <c r="K773" s="6">
        <v>8608.33</v>
      </c>
      <c r="L773" s="6">
        <v>5986.67</v>
      </c>
      <c r="M773" s="11">
        <f>Table13[[#This Row],[Profit]]/Table13[[#This Row],[Sales]]</f>
        <v>0.41018636519355944</v>
      </c>
      <c r="N773" s="6" t="str">
        <f>TEXT(Table13[[#This Row],[Order Date]],"mmm")</f>
        <v>Oct</v>
      </c>
      <c r="O773" s="6">
        <f>YEAR(Table13[[#This Row],[Order Date]])</f>
        <v>2024</v>
      </c>
    </row>
    <row r="774" spans="1:15" x14ac:dyDescent="0.3">
      <c r="A774" s="4" t="s">
        <v>1370</v>
      </c>
      <c r="B774" s="5">
        <v>45876</v>
      </c>
      <c r="C774" s="4" t="s">
        <v>1371</v>
      </c>
      <c r="D774" s="4" t="s">
        <v>1372</v>
      </c>
      <c r="E774" s="4" t="s">
        <v>15</v>
      </c>
      <c r="F774" s="4" t="s">
        <v>63</v>
      </c>
      <c r="G774" s="4" t="s">
        <v>17</v>
      </c>
      <c r="H774" s="4" t="s">
        <v>31</v>
      </c>
      <c r="I774" s="6">
        <v>5</v>
      </c>
      <c r="J774" s="6">
        <v>8125</v>
      </c>
      <c r="K774" s="6">
        <v>6183.05</v>
      </c>
      <c r="L774" s="6">
        <v>1941.95</v>
      </c>
      <c r="M774" s="11">
        <f>Table13[[#This Row],[Profit]]/Table13[[#This Row],[Sales]]</f>
        <v>0.23900923076923078</v>
      </c>
      <c r="N774" s="6" t="str">
        <f>TEXT(Table13[[#This Row],[Order Date]],"mmm")</f>
        <v>Aug</v>
      </c>
      <c r="O774" s="6">
        <f>YEAR(Table13[[#This Row],[Order Date]])</f>
        <v>2025</v>
      </c>
    </row>
    <row r="775" spans="1:15" x14ac:dyDescent="0.3">
      <c r="A775" s="4" t="s">
        <v>1373</v>
      </c>
      <c r="B775" s="5">
        <v>45671</v>
      </c>
      <c r="C775" s="4" t="s">
        <v>579</v>
      </c>
      <c r="D775" s="4" t="s">
        <v>322</v>
      </c>
      <c r="E775" s="4" t="s">
        <v>22</v>
      </c>
      <c r="F775" s="4" t="s">
        <v>67</v>
      </c>
      <c r="G775" s="4" t="s">
        <v>24</v>
      </c>
      <c r="H775" s="4" t="s">
        <v>166</v>
      </c>
      <c r="I775" s="6">
        <v>7</v>
      </c>
      <c r="J775" s="6">
        <v>12705</v>
      </c>
      <c r="K775" s="6">
        <v>9998.2999999999993</v>
      </c>
      <c r="L775" s="6">
        <v>2706.7</v>
      </c>
      <c r="M775" s="11">
        <f>Table13[[#This Row],[Profit]]/Table13[[#This Row],[Sales]]</f>
        <v>0.21304210940574575</v>
      </c>
      <c r="N775" s="6" t="str">
        <f>TEXT(Table13[[#This Row],[Order Date]],"mmm")</f>
        <v>Jan</v>
      </c>
      <c r="O775" s="6">
        <f>YEAR(Table13[[#This Row],[Order Date]])</f>
        <v>2025</v>
      </c>
    </row>
    <row r="776" spans="1:15" x14ac:dyDescent="0.3">
      <c r="A776" s="4" t="s">
        <v>1374</v>
      </c>
      <c r="B776" s="5">
        <v>45728</v>
      </c>
      <c r="C776" s="4" t="s">
        <v>271</v>
      </c>
      <c r="D776" s="4" t="s">
        <v>1375</v>
      </c>
      <c r="E776" s="4" t="s">
        <v>15</v>
      </c>
      <c r="F776" s="4" t="s">
        <v>63</v>
      </c>
      <c r="G776" s="4" t="s">
        <v>17</v>
      </c>
      <c r="H776" s="4" t="s">
        <v>18</v>
      </c>
      <c r="I776" s="6">
        <v>6</v>
      </c>
      <c r="J776" s="6">
        <v>27894</v>
      </c>
      <c r="K776" s="6">
        <v>15615.46</v>
      </c>
      <c r="L776" s="6">
        <v>12278.54</v>
      </c>
      <c r="M776" s="11">
        <f>Table13[[#This Row],[Profit]]/Table13[[#This Row],[Sales]]</f>
        <v>0.44018570301857035</v>
      </c>
      <c r="N776" s="6" t="str">
        <f>TEXT(Table13[[#This Row],[Order Date]],"mmm")</f>
        <v>Mar</v>
      </c>
      <c r="O776" s="6">
        <f>YEAR(Table13[[#This Row],[Order Date]])</f>
        <v>2025</v>
      </c>
    </row>
    <row r="777" spans="1:15" x14ac:dyDescent="0.3">
      <c r="A777" s="4" t="s">
        <v>1376</v>
      </c>
      <c r="B777" s="5">
        <v>45348</v>
      </c>
      <c r="C777" s="4" t="s">
        <v>321</v>
      </c>
      <c r="D777" s="4" t="s">
        <v>160</v>
      </c>
      <c r="E777" s="4" t="s">
        <v>29</v>
      </c>
      <c r="F777" s="4" t="s">
        <v>30</v>
      </c>
      <c r="G777" s="4" t="s">
        <v>24</v>
      </c>
      <c r="H777" s="4" t="s">
        <v>50</v>
      </c>
      <c r="I777" s="6">
        <v>10</v>
      </c>
      <c r="J777" s="6">
        <v>30500</v>
      </c>
      <c r="K777" s="6">
        <v>23507.21</v>
      </c>
      <c r="L777" s="6">
        <v>6992.79</v>
      </c>
      <c r="M777" s="11">
        <f>Table13[[#This Row],[Profit]]/Table13[[#This Row],[Sales]]</f>
        <v>0.22927180327868851</v>
      </c>
      <c r="N777" s="6" t="str">
        <f>TEXT(Table13[[#This Row],[Order Date]],"mmm")</f>
        <v>Feb</v>
      </c>
      <c r="O777" s="6">
        <f>YEAR(Table13[[#This Row],[Order Date]])</f>
        <v>2024</v>
      </c>
    </row>
    <row r="778" spans="1:15" x14ac:dyDescent="0.3">
      <c r="A778" s="4" t="s">
        <v>1377</v>
      </c>
      <c r="B778" s="5">
        <v>45666</v>
      </c>
      <c r="C778" s="4" t="s">
        <v>591</v>
      </c>
      <c r="D778" s="4" t="s">
        <v>1256</v>
      </c>
      <c r="E778" s="4" t="s">
        <v>15</v>
      </c>
      <c r="F778" s="4" t="s">
        <v>16</v>
      </c>
      <c r="G778" s="4" t="s">
        <v>35</v>
      </c>
      <c r="H778" s="4" t="s">
        <v>36</v>
      </c>
      <c r="I778" s="6">
        <v>6</v>
      </c>
      <c r="J778" s="6">
        <v>24672</v>
      </c>
      <c r="K778" s="6">
        <v>18152.18</v>
      </c>
      <c r="L778" s="6">
        <v>6519.82</v>
      </c>
      <c r="M778" s="11">
        <f>Table13[[#This Row],[Profit]]/Table13[[#This Row],[Sales]]</f>
        <v>0.26425988975356679</v>
      </c>
      <c r="N778" s="6" t="str">
        <f>TEXT(Table13[[#This Row],[Order Date]],"mmm")</f>
        <v>Jan</v>
      </c>
      <c r="O778" s="6">
        <f>YEAR(Table13[[#This Row],[Order Date]])</f>
        <v>2025</v>
      </c>
    </row>
    <row r="779" spans="1:15" x14ac:dyDescent="0.3">
      <c r="A779" s="4" t="s">
        <v>1378</v>
      </c>
      <c r="B779" s="5">
        <v>45536</v>
      </c>
      <c r="C779" s="4" t="s">
        <v>214</v>
      </c>
      <c r="D779" s="4" t="s">
        <v>285</v>
      </c>
      <c r="E779" s="4" t="s">
        <v>15</v>
      </c>
      <c r="F779" s="4" t="s">
        <v>90</v>
      </c>
      <c r="G779" s="4" t="s">
        <v>17</v>
      </c>
      <c r="H779" s="4" t="s">
        <v>18</v>
      </c>
      <c r="I779" s="6">
        <v>4</v>
      </c>
      <c r="J779" s="6">
        <v>5732</v>
      </c>
      <c r="K779" s="6">
        <v>4839.96</v>
      </c>
      <c r="L779" s="6">
        <v>892.04</v>
      </c>
      <c r="M779" s="11">
        <f>Table13[[#This Row],[Profit]]/Table13[[#This Row],[Sales]]</f>
        <v>0.15562456385205861</v>
      </c>
      <c r="N779" s="6" t="str">
        <f>TEXT(Table13[[#This Row],[Order Date]],"mmm")</f>
        <v>Sep</v>
      </c>
      <c r="O779" s="6">
        <f>YEAR(Table13[[#This Row],[Order Date]])</f>
        <v>2024</v>
      </c>
    </row>
    <row r="780" spans="1:15" x14ac:dyDescent="0.3">
      <c r="A780" s="4" t="s">
        <v>1379</v>
      </c>
      <c r="B780" s="5">
        <v>45565</v>
      </c>
      <c r="C780" s="4" t="s">
        <v>642</v>
      </c>
      <c r="D780" s="4" t="s">
        <v>111</v>
      </c>
      <c r="E780" s="4" t="s">
        <v>22</v>
      </c>
      <c r="F780" s="4" t="s">
        <v>79</v>
      </c>
      <c r="G780" s="4" t="s">
        <v>17</v>
      </c>
      <c r="H780" s="4" t="s">
        <v>72</v>
      </c>
      <c r="I780" s="6">
        <v>4</v>
      </c>
      <c r="J780" s="6">
        <v>8584</v>
      </c>
      <c r="K780" s="6">
        <v>5546.46</v>
      </c>
      <c r="L780" s="6">
        <v>3037.54</v>
      </c>
      <c r="M780" s="11">
        <f>Table13[[#This Row],[Profit]]/Table13[[#This Row],[Sales]]</f>
        <v>0.3538606710158434</v>
      </c>
      <c r="N780" s="6" t="str">
        <f>TEXT(Table13[[#This Row],[Order Date]],"mmm")</f>
        <v>Sep</v>
      </c>
      <c r="O780" s="6">
        <f>YEAR(Table13[[#This Row],[Order Date]])</f>
        <v>2024</v>
      </c>
    </row>
    <row r="781" spans="1:15" x14ac:dyDescent="0.3">
      <c r="A781" s="4" t="s">
        <v>1380</v>
      </c>
      <c r="B781" s="5">
        <v>45805</v>
      </c>
      <c r="C781" s="4" t="s">
        <v>700</v>
      </c>
      <c r="D781" s="4" t="s">
        <v>327</v>
      </c>
      <c r="E781" s="4" t="s">
        <v>54</v>
      </c>
      <c r="F781" s="4" t="s">
        <v>142</v>
      </c>
      <c r="G781" s="4" t="s">
        <v>24</v>
      </c>
      <c r="H781" s="4" t="s">
        <v>50</v>
      </c>
      <c r="I781" s="6">
        <v>6</v>
      </c>
      <c r="J781" s="6">
        <v>18768</v>
      </c>
      <c r="K781" s="6">
        <v>12869.65</v>
      </c>
      <c r="L781" s="6">
        <v>5898.35</v>
      </c>
      <c r="M781" s="11">
        <f>Table13[[#This Row],[Profit]]/Table13[[#This Row],[Sales]]</f>
        <v>0.31427696078431372</v>
      </c>
      <c r="N781" s="6" t="str">
        <f>TEXT(Table13[[#This Row],[Order Date]],"mmm")</f>
        <v>May</v>
      </c>
      <c r="O781" s="6">
        <f>YEAR(Table13[[#This Row],[Order Date]])</f>
        <v>2025</v>
      </c>
    </row>
    <row r="782" spans="1:15" x14ac:dyDescent="0.3">
      <c r="A782" s="4" t="s">
        <v>1381</v>
      </c>
      <c r="B782" s="5">
        <v>45668</v>
      </c>
      <c r="C782" s="4" t="s">
        <v>1382</v>
      </c>
      <c r="D782" s="4" t="s">
        <v>1145</v>
      </c>
      <c r="E782" s="4" t="s">
        <v>22</v>
      </c>
      <c r="F782" s="4" t="s">
        <v>79</v>
      </c>
      <c r="G782" s="4" t="s">
        <v>35</v>
      </c>
      <c r="H782" s="4" t="s">
        <v>45</v>
      </c>
      <c r="I782" s="6">
        <v>9</v>
      </c>
      <c r="J782" s="6">
        <v>24246</v>
      </c>
      <c r="K782" s="6">
        <v>16622.900000000001</v>
      </c>
      <c r="L782" s="6">
        <v>7623.1</v>
      </c>
      <c r="M782" s="11">
        <f>Table13[[#This Row],[Profit]]/Table13[[#This Row],[Sales]]</f>
        <v>0.31440650004124393</v>
      </c>
      <c r="N782" s="6" t="str">
        <f>TEXT(Table13[[#This Row],[Order Date]],"mmm")</f>
        <v>Jan</v>
      </c>
      <c r="O782" s="6">
        <f>YEAR(Table13[[#This Row],[Order Date]])</f>
        <v>2025</v>
      </c>
    </row>
    <row r="783" spans="1:15" x14ac:dyDescent="0.3">
      <c r="A783" s="4" t="s">
        <v>1383</v>
      </c>
      <c r="B783" s="5">
        <v>45370</v>
      </c>
      <c r="C783" s="4" t="s">
        <v>113</v>
      </c>
      <c r="D783" s="4" t="s">
        <v>121</v>
      </c>
      <c r="E783" s="4" t="s">
        <v>22</v>
      </c>
      <c r="F783" s="4" t="s">
        <v>23</v>
      </c>
      <c r="G783" s="4" t="s">
        <v>24</v>
      </c>
      <c r="H783" s="4" t="s">
        <v>50</v>
      </c>
      <c r="I783" s="6">
        <v>7</v>
      </c>
      <c r="J783" s="6">
        <v>12348</v>
      </c>
      <c r="K783" s="6">
        <v>7859.65</v>
      </c>
      <c r="L783" s="6">
        <v>4488.3500000000004</v>
      </c>
      <c r="M783" s="11">
        <f>Table13[[#This Row],[Profit]]/Table13[[#This Row],[Sales]]</f>
        <v>0.36348801425332039</v>
      </c>
      <c r="N783" s="6" t="str">
        <f>TEXT(Table13[[#This Row],[Order Date]],"mmm")</f>
        <v>Mar</v>
      </c>
      <c r="O783" s="6">
        <f>YEAR(Table13[[#This Row],[Order Date]])</f>
        <v>2024</v>
      </c>
    </row>
    <row r="784" spans="1:15" x14ac:dyDescent="0.3">
      <c r="A784" s="4" t="s">
        <v>1384</v>
      </c>
      <c r="B784" s="5">
        <v>45501</v>
      </c>
      <c r="C784" s="4" t="s">
        <v>848</v>
      </c>
      <c r="D784" s="4" t="s">
        <v>663</v>
      </c>
      <c r="E784" s="4" t="s">
        <v>54</v>
      </c>
      <c r="F784" s="4" t="s">
        <v>142</v>
      </c>
      <c r="G784" s="4" t="s">
        <v>17</v>
      </c>
      <c r="H784" s="4" t="s">
        <v>18</v>
      </c>
      <c r="I784" s="6">
        <v>3</v>
      </c>
      <c r="J784" s="6">
        <v>13095</v>
      </c>
      <c r="K784" s="6">
        <v>7793.48</v>
      </c>
      <c r="L784" s="6">
        <v>5301.52</v>
      </c>
      <c r="M784" s="11">
        <f>Table13[[#This Row],[Profit]]/Table13[[#This Row],[Sales]]</f>
        <v>0.40485070637647963</v>
      </c>
      <c r="N784" s="6" t="str">
        <f>TEXT(Table13[[#This Row],[Order Date]],"mmm")</f>
        <v>Jul</v>
      </c>
      <c r="O784" s="6">
        <f>YEAR(Table13[[#This Row],[Order Date]])</f>
        <v>2024</v>
      </c>
    </row>
    <row r="785" spans="1:15" x14ac:dyDescent="0.3">
      <c r="A785" s="4" t="s">
        <v>1385</v>
      </c>
      <c r="B785" s="5">
        <v>45722</v>
      </c>
      <c r="C785" s="4" t="s">
        <v>500</v>
      </c>
      <c r="D785" s="4" t="s">
        <v>524</v>
      </c>
      <c r="E785" s="4" t="s">
        <v>54</v>
      </c>
      <c r="F785" s="4" t="s">
        <v>55</v>
      </c>
      <c r="G785" s="4" t="s">
        <v>17</v>
      </c>
      <c r="H785" s="4" t="s">
        <v>31</v>
      </c>
      <c r="I785" s="6">
        <v>9</v>
      </c>
      <c r="J785" s="6">
        <v>12429</v>
      </c>
      <c r="K785" s="6">
        <v>8603</v>
      </c>
      <c r="L785" s="6">
        <v>3826</v>
      </c>
      <c r="M785" s="11">
        <f>Table13[[#This Row],[Profit]]/Table13[[#This Row],[Sales]]</f>
        <v>0.30782846568509131</v>
      </c>
      <c r="N785" s="6" t="str">
        <f>TEXT(Table13[[#This Row],[Order Date]],"mmm")</f>
        <v>Mar</v>
      </c>
      <c r="O785" s="6">
        <f>YEAR(Table13[[#This Row],[Order Date]])</f>
        <v>2025</v>
      </c>
    </row>
    <row r="786" spans="1:15" x14ac:dyDescent="0.3">
      <c r="A786" s="4" t="s">
        <v>1386</v>
      </c>
      <c r="B786" s="5">
        <v>45824</v>
      </c>
      <c r="C786" s="4" t="s">
        <v>195</v>
      </c>
      <c r="D786" s="4" t="s">
        <v>428</v>
      </c>
      <c r="E786" s="4" t="s">
        <v>54</v>
      </c>
      <c r="F786" s="4" t="s">
        <v>142</v>
      </c>
      <c r="G786" s="4" t="s">
        <v>24</v>
      </c>
      <c r="H786" s="4" t="s">
        <v>50</v>
      </c>
      <c r="I786" s="6">
        <v>1</v>
      </c>
      <c r="J786" s="6">
        <v>2203</v>
      </c>
      <c r="K786" s="6">
        <v>1763.47</v>
      </c>
      <c r="L786" s="6">
        <v>439.53</v>
      </c>
      <c r="M786" s="11">
        <f>Table13[[#This Row],[Profit]]/Table13[[#This Row],[Sales]]</f>
        <v>0.19951429868361326</v>
      </c>
      <c r="N786" s="6" t="str">
        <f>TEXT(Table13[[#This Row],[Order Date]],"mmm")</f>
        <v>Jun</v>
      </c>
      <c r="O786" s="6">
        <f>YEAR(Table13[[#This Row],[Order Date]])</f>
        <v>2025</v>
      </c>
    </row>
    <row r="787" spans="1:15" x14ac:dyDescent="0.3">
      <c r="A787" s="4" t="s">
        <v>1387</v>
      </c>
      <c r="B787" s="5">
        <v>46005</v>
      </c>
      <c r="C787" s="4" t="s">
        <v>206</v>
      </c>
      <c r="D787" s="4" t="s">
        <v>414</v>
      </c>
      <c r="E787" s="4" t="s">
        <v>54</v>
      </c>
      <c r="F787" s="4" t="s">
        <v>71</v>
      </c>
      <c r="G787" s="4" t="s">
        <v>17</v>
      </c>
      <c r="H787" s="4" t="s">
        <v>31</v>
      </c>
      <c r="I787" s="6">
        <v>6</v>
      </c>
      <c r="J787" s="6">
        <v>25692</v>
      </c>
      <c r="K787" s="6">
        <v>18703.96</v>
      </c>
      <c r="L787" s="6">
        <v>6988.04</v>
      </c>
      <c r="M787" s="11">
        <f>Table13[[#This Row],[Profit]]/Table13[[#This Row],[Sales]]</f>
        <v>0.27199283823758369</v>
      </c>
      <c r="N787" s="6" t="str">
        <f>TEXT(Table13[[#This Row],[Order Date]],"mmm")</f>
        <v>Dec</v>
      </c>
      <c r="O787" s="6">
        <f>YEAR(Table13[[#This Row],[Order Date]])</f>
        <v>2025</v>
      </c>
    </row>
    <row r="788" spans="1:15" x14ac:dyDescent="0.3">
      <c r="A788" s="4" t="s">
        <v>1388</v>
      </c>
      <c r="B788" s="5">
        <v>45605</v>
      </c>
      <c r="C788" s="4" t="s">
        <v>1364</v>
      </c>
      <c r="D788" s="4" t="s">
        <v>689</v>
      </c>
      <c r="E788" s="4" t="s">
        <v>22</v>
      </c>
      <c r="F788" s="4" t="s">
        <v>67</v>
      </c>
      <c r="G788" s="4" t="s">
        <v>40</v>
      </c>
      <c r="H788" s="4" t="s">
        <v>99</v>
      </c>
      <c r="I788" s="6">
        <v>10</v>
      </c>
      <c r="J788" s="6">
        <v>13800</v>
      </c>
      <c r="K788" s="6">
        <v>11308.89</v>
      </c>
      <c r="L788" s="6">
        <v>2491.11</v>
      </c>
      <c r="M788" s="11">
        <f>Table13[[#This Row],[Profit]]/Table13[[#This Row],[Sales]]</f>
        <v>0.18051521739130436</v>
      </c>
      <c r="N788" s="6" t="str">
        <f>TEXT(Table13[[#This Row],[Order Date]],"mmm")</f>
        <v>Nov</v>
      </c>
      <c r="O788" s="6">
        <f>YEAR(Table13[[#This Row],[Order Date]])</f>
        <v>2024</v>
      </c>
    </row>
    <row r="789" spans="1:15" x14ac:dyDescent="0.3">
      <c r="A789" s="4" t="s">
        <v>1389</v>
      </c>
      <c r="B789" s="5">
        <v>45583</v>
      </c>
      <c r="C789" s="4" t="s">
        <v>753</v>
      </c>
      <c r="D789" s="4" t="s">
        <v>743</v>
      </c>
      <c r="E789" s="4" t="s">
        <v>29</v>
      </c>
      <c r="F789" s="4" t="s">
        <v>49</v>
      </c>
      <c r="G789" s="4" t="s">
        <v>40</v>
      </c>
      <c r="H789" s="4" t="s">
        <v>41</v>
      </c>
      <c r="I789" s="6">
        <v>5</v>
      </c>
      <c r="J789" s="6">
        <v>3435</v>
      </c>
      <c r="K789" s="6">
        <v>2042.11</v>
      </c>
      <c r="L789" s="6">
        <v>1392.89</v>
      </c>
      <c r="M789" s="11">
        <f>Table13[[#This Row],[Profit]]/Table13[[#This Row],[Sales]]</f>
        <v>0.40549927219796217</v>
      </c>
      <c r="N789" s="6" t="str">
        <f>TEXT(Table13[[#This Row],[Order Date]],"mmm")</f>
        <v>Oct</v>
      </c>
      <c r="O789" s="6">
        <f>YEAR(Table13[[#This Row],[Order Date]])</f>
        <v>2024</v>
      </c>
    </row>
    <row r="790" spans="1:15" x14ac:dyDescent="0.3">
      <c r="A790" s="4" t="s">
        <v>1390</v>
      </c>
      <c r="B790" s="5">
        <v>46017</v>
      </c>
      <c r="C790" s="4" t="s">
        <v>251</v>
      </c>
      <c r="D790" s="4" t="s">
        <v>86</v>
      </c>
      <c r="E790" s="4" t="s">
        <v>29</v>
      </c>
      <c r="F790" s="4" t="s">
        <v>30</v>
      </c>
      <c r="G790" s="4" t="s">
        <v>35</v>
      </c>
      <c r="H790" s="4" t="s">
        <v>45</v>
      </c>
      <c r="I790" s="6">
        <v>5</v>
      </c>
      <c r="J790" s="6">
        <v>8965</v>
      </c>
      <c r="K790" s="6">
        <v>7548.19</v>
      </c>
      <c r="L790" s="6">
        <v>1416.81</v>
      </c>
      <c r="M790" s="11">
        <f>Table13[[#This Row],[Profit]]/Table13[[#This Row],[Sales]]</f>
        <v>0.15803792526491911</v>
      </c>
      <c r="N790" s="6" t="str">
        <f>TEXT(Table13[[#This Row],[Order Date]],"mmm")</f>
        <v>Dec</v>
      </c>
      <c r="O790" s="6">
        <f>YEAR(Table13[[#This Row],[Order Date]])</f>
        <v>2025</v>
      </c>
    </row>
    <row r="791" spans="1:15" x14ac:dyDescent="0.3">
      <c r="A791" s="4" t="s">
        <v>1391</v>
      </c>
      <c r="B791" s="5">
        <v>45670</v>
      </c>
      <c r="C791" s="4" t="s">
        <v>274</v>
      </c>
      <c r="D791" s="4" t="s">
        <v>754</v>
      </c>
      <c r="E791" s="4" t="s">
        <v>29</v>
      </c>
      <c r="F791" s="4" t="s">
        <v>102</v>
      </c>
      <c r="G791" s="4" t="s">
        <v>24</v>
      </c>
      <c r="H791" s="4" t="s">
        <v>25</v>
      </c>
      <c r="I791" s="6">
        <v>6</v>
      </c>
      <c r="J791" s="6">
        <v>8016</v>
      </c>
      <c r="K791" s="6">
        <v>5469.05</v>
      </c>
      <c r="L791" s="6">
        <v>2546.9499999999998</v>
      </c>
      <c r="M791" s="11">
        <f>Table13[[#This Row],[Profit]]/Table13[[#This Row],[Sales]]</f>
        <v>0.31773328343313373</v>
      </c>
      <c r="N791" s="6" t="str">
        <f>TEXT(Table13[[#This Row],[Order Date]],"mmm")</f>
        <v>Jan</v>
      </c>
      <c r="O791" s="6">
        <f>YEAR(Table13[[#This Row],[Order Date]])</f>
        <v>2025</v>
      </c>
    </row>
    <row r="792" spans="1:15" x14ac:dyDescent="0.3">
      <c r="A792" s="4" t="s">
        <v>1392</v>
      </c>
      <c r="B792" s="5">
        <v>45844</v>
      </c>
      <c r="C792" s="4" t="s">
        <v>498</v>
      </c>
      <c r="D792" s="4" t="s">
        <v>946</v>
      </c>
      <c r="E792" s="4" t="s">
        <v>15</v>
      </c>
      <c r="F792" s="4" t="s">
        <v>90</v>
      </c>
      <c r="G792" s="4" t="s">
        <v>40</v>
      </c>
      <c r="H792" s="4" t="s">
        <v>41</v>
      </c>
      <c r="I792" s="6">
        <v>6</v>
      </c>
      <c r="J792" s="6">
        <v>9066</v>
      </c>
      <c r="K792" s="6">
        <v>6000.55</v>
      </c>
      <c r="L792" s="6">
        <v>3065.45</v>
      </c>
      <c r="M792" s="11">
        <f>Table13[[#This Row],[Profit]]/Table13[[#This Row],[Sales]]</f>
        <v>0.33812596514449589</v>
      </c>
      <c r="N792" s="6" t="str">
        <f>TEXT(Table13[[#This Row],[Order Date]],"mmm")</f>
        <v>Jul</v>
      </c>
      <c r="O792" s="6">
        <f>YEAR(Table13[[#This Row],[Order Date]])</f>
        <v>2025</v>
      </c>
    </row>
    <row r="793" spans="1:15" x14ac:dyDescent="0.3">
      <c r="A793" s="4" t="s">
        <v>1393</v>
      </c>
      <c r="B793" s="5">
        <v>45761</v>
      </c>
      <c r="C793" s="4" t="s">
        <v>553</v>
      </c>
      <c r="D793" s="4" t="s">
        <v>163</v>
      </c>
      <c r="E793" s="4" t="s">
        <v>54</v>
      </c>
      <c r="F793" s="4" t="s">
        <v>142</v>
      </c>
      <c r="G793" s="4" t="s">
        <v>24</v>
      </c>
      <c r="H793" s="4" t="s">
        <v>25</v>
      </c>
      <c r="I793" s="6">
        <v>7</v>
      </c>
      <c r="J793" s="6">
        <v>30737</v>
      </c>
      <c r="K793" s="6">
        <v>23991.93</v>
      </c>
      <c r="L793" s="6">
        <v>6745.07</v>
      </c>
      <c r="M793" s="11">
        <f>Table13[[#This Row],[Profit]]/Table13[[#This Row],[Sales]]</f>
        <v>0.21944464326381885</v>
      </c>
      <c r="N793" s="6" t="str">
        <f>TEXT(Table13[[#This Row],[Order Date]],"mmm")</f>
        <v>Apr</v>
      </c>
      <c r="O793" s="6">
        <f>YEAR(Table13[[#This Row],[Order Date]])</f>
        <v>2025</v>
      </c>
    </row>
    <row r="794" spans="1:15" x14ac:dyDescent="0.3">
      <c r="A794" s="4" t="s">
        <v>1394</v>
      </c>
      <c r="B794" s="5">
        <v>45594</v>
      </c>
      <c r="C794" s="4" t="s">
        <v>1001</v>
      </c>
      <c r="D794" s="4" t="s">
        <v>456</v>
      </c>
      <c r="E794" s="4" t="s">
        <v>15</v>
      </c>
      <c r="F794" s="4" t="s">
        <v>90</v>
      </c>
      <c r="G794" s="4" t="s">
        <v>35</v>
      </c>
      <c r="H794" s="4" t="s">
        <v>45</v>
      </c>
      <c r="I794" s="6">
        <v>9</v>
      </c>
      <c r="J794" s="6">
        <v>27117</v>
      </c>
      <c r="K794" s="6">
        <v>20179.740000000002</v>
      </c>
      <c r="L794" s="6">
        <v>6937.26</v>
      </c>
      <c r="M794" s="11">
        <f>Table13[[#This Row],[Profit]]/Table13[[#This Row],[Sales]]</f>
        <v>0.25582697201017812</v>
      </c>
      <c r="N794" s="6" t="str">
        <f>TEXT(Table13[[#This Row],[Order Date]],"mmm")</f>
        <v>Oct</v>
      </c>
      <c r="O794" s="6">
        <f>YEAR(Table13[[#This Row],[Order Date]])</f>
        <v>2024</v>
      </c>
    </row>
    <row r="795" spans="1:15" x14ac:dyDescent="0.3">
      <c r="A795" s="4" t="s">
        <v>1395</v>
      </c>
      <c r="B795" s="5">
        <v>45782</v>
      </c>
      <c r="C795" s="4" t="s">
        <v>680</v>
      </c>
      <c r="D795" s="4" t="s">
        <v>599</v>
      </c>
      <c r="E795" s="4" t="s">
        <v>29</v>
      </c>
      <c r="F795" s="4" t="s">
        <v>30</v>
      </c>
      <c r="G795" s="4" t="s">
        <v>17</v>
      </c>
      <c r="H795" s="4" t="s">
        <v>18</v>
      </c>
      <c r="I795" s="6">
        <v>8</v>
      </c>
      <c r="J795" s="6">
        <v>24592</v>
      </c>
      <c r="K795" s="6">
        <v>18609.849999999999</v>
      </c>
      <c r="L795" s="6">
        <v>5982.15</v>
      </c>
      <c r="M795" s="11">
        <f>Table13[[#This Row],[Profit]]/Table13[[#This Row],[Sales]]</f>
        <v>0.24325593689004552</v>
      </c>
      <c r="N795" s="6" t="str">
        <f>TEXT(Table13[[#This Row],[Order Date]],"mmm")</f>
        <v>May</v>
      </c>
      <c r="O795" s="6">
        <f>YEAR(Table13[[#This Row],[Order Date]])</f>
        <v>2025</v>
      </c>
    </row>
    <row r="796" spans="1:15" x14ac:dyDescent="0.3">
      <c r="A796" s="4" t="s">
        <v>1396</v>
      </c>
      <c r="B796" s="5">
        <v>45386</v>
      </c>
      <c r="C796" s="4" t="s">
        <v>541</v>
      </c>
      <c r="D796" s="4" t="s">
        <v>654</v>
      </c>
      <c r="E796" s="4" t="s">
        <v>15</v>
      </c>
      <c r="F796" s="4" t="s">
        <v>63</v>
      </c>
      <c r="G796" s="4" t="s">
        <v>24</v>
      </c>
      <c r="H796" s="4" t="s">
        <v>25</v>
      </c>
      <c r="I796" s="6">
        <v>7</v>
      </c>
      <c r="J796" s="6">
        <v>14735</v>
      </c>
      <c r="K796" s="6">
        <v>10075.67</v>
      </c>
      <c r="L796" s="6">
        <v>4659.33</v>
      </c>
      <c r="M796" s="11">
        <f>Table13[[#This Row],[Profit]]/Table13[[#This Row],[Sales]]</f>
        <v>0.31620834747200544</v>
      </c>
      <c r="N796" s="6" t="str">
        <f>TEXT(Table13[[#This Row],[Order Date]],"mmm")</f>
        <v>Apr</v>
      </c>
      <c r="O796" s="6">
        <f>YEAR(Table13[[#This Row],[Order Date]])</f>
        <v>2024</v>
      </c>
    </row>
    <row r="797" spans="1:15" x14ac:dyDescent="0.3">
      <c r="A797" s="4" t="s">
        <v>1397</v>
      </c>
      <c r="B797" s="5">
        <v>45377</v>
      </c>
      <c r="C797" s="4" t="s">
        <v>140</v>
      </c>
      <c r="D797" s="4" t="s">
        <v>639</v>
      </c>
      <c r="E797" s="4" t="s">
        <v>29</v>
      </c>
      <c r="F797" s="4" t="s">
        <v>30</v>
      </c>
      <c r="G797" s="4" t="s">
        <v>35</v>
      </c>
      <c r="H797" s="4" t="s">
        <v>45</v>
      </c>
      <c r="I797" s="6">
        <v>4</v>
      </c>
      <c r="J797" s="6">
        <v>10304</v>
      </c>
      <c r="K797" s="6">
        <v>6272.2</v>
      </c>
      <c r="L797" s="6">
        <v>4031.8</v>
      </c>
      <c r="M797" s="11">
        <f>Table13[[#This Row],[Profit]]/Table13[[#This Row],[Sales]]</f>
        <v>0.39128493788819879</v>
      </c>
      <c r="N797" s="6" t="str">
        <f>TEXT(Table13[[#This Row],[Order Date]],"mmm")</f>
        <v>Mar</v>
      </c>
      <c r="O797" s="6">
        <f>YEAR(Table13[[#This Row],[Order Date]])</f>
        <v>2024</v>
      </c>
    </row>
    <row r="798" spans="1:15" x14ac:dyDescent="0.3">
      <c r="A798" s="4" t="s">
        <v>1398</v>
      </c>
      <c r="B798" s="5">
        <v>45911</v>
      </c>
      <c r="C798" s="4" t="s">
        <v>464</v>
      </c>
      <c r="D798" s="4" t="s">
        <v>654</v>
      </c>
      <c r="E798" s="4" t="s">
        <v>15</v>
      </c>
      <c r="F798" s="4" t="s">
        <v>90</v>
      </c>
      <c r="G798" s="4" t="s">
        <v>35</v>
      </c>
      <c r="H798" s="4" t="s">
        <v>36</v>
      </c>
      <c r="I798" s="6">
        <v>4</v>
      </c>
      <c r="J798" s="6">
        <v>17268</v>
      </c>
      <c r="K798" s="6">
        <v>11143.51</v>
      </c>
      <c r="L798" s="6">
        <v>6124.49</v>
      </c>
      <c r="M798" s="11">
        <f>Table13[[#This Row],[Profit]]/Table13[[#This Row],[Sales]]</f>
        <v>0.35467280518878852</v>
      </c>
      <c r="N798" s="6" t="str">
        <f>TEXT(Table13[[#This Row],[Order Date]],"mmm")</f>
        <v>Sep</v>
      </c>
      <c r="O798" s="6">
        <f>YEAR(Table13[[#This Row],[Order Date]])</f>
        <v>2025</v>
      </c>
    </row>
    <row r="799" spans="1:15" x14ac:dyDescent="0.3">
      <c r="A799" s="4" t="s">
        <v>1399</v>
      </c>
      <c r="B799" s="5">
        <v>45304</v>
      </c>
      <c r="C799" s="4" t="s">
        <v>810</v>
      </c>
      <c r="D799" s="4" t="s">
        <v>177</v>
      </c>
      <c r="E799" s="4" t="s">
        <v>54</v>
      </c>
      <c r="F799" s="4" t="s">
        <v>55</v>
      </c>
      <c r="G799" s="4" t="s">
        <v>24</v>
      </c>
      <c r="H799" s="4" t="s">
        <v>166</v>
      </c>
      <c r="I799" s="6">
        <v>7</v>
      </c>
      <c r="J799" s="6">
        <v>23296</v>
      </c>
      <c r="K799" s="6">
        <v>15511.26</v>
      </c>
      <c r="L799" s="6">
        <v>7784.74</v>
      </c>
      <c r="M799" s="11">
        <f>Table13[[#This Row],[Profit]]/Table13[[#This Row],[Sales]]</f>
        <v>0.33416638049450548</v>
      </c>
      <c r="N799" s="6" t="str">
        <f>TEXT(Table13[[#This Row],[Order Date]],"mmm")</f>
        <v>Jan</v>
      </c>
      <c r="O799" s="6">
        <f>YEAR(Table13[[#This Row],[Order Date]])</f>
        <v>2024</v>
      </c>
    </row>
    <row r="800" spans="1:15" x14ac:dyDescent="0.3">
      <c r="A800" s="4" t="s">
        <v>1400</v>
      </c>
      <c r="B800" s="5">
        <v>45746</v>
      </c>
      <c r="C800" s="4" t="s">
        <v>217</v>
      </c>
      <c r="D800" s="4" t="s">
        <v>155</v>
      </c>
      <c r="E800" s="4" t="s">
        <v>54</v>
      </c>
      <c r="F800" s="4" t="s">
        <v>55</v>
      </c>
      <c r="G800" s="4" t="s">
        <v>35</v>
      </c>
      <c r="H800" s="4" t="s">
        <v>80</v>
      </c>
      <c r="I800" s="6">
        <v>9</v>
      </c>
      <c r="J800" s="6">
        <v>9153</v>
      </c>
      <c r="K800" s="6">
        <v>5626.43</v>
      </c>
      <c r="L800" s="6">
        <v>3526.57</v>
      </c>
      <c r="M800" s="11">
        <f>Table13[[#This Row],[Profit]]/Table13[[#This Row],[Sales]]</f>
        <v>0.38529116136785757</v>
      </c>
      <c r="N800" s="6" t="str">
        <f>TEXT(Table13[[#This Row],[Order Date]],"mmm")</f>
        <v>Mar</v>
      </c>
      <c r="O800" s="6">
        <f>YEAR(Table13[[#This Row],[Order Date]])</f>
        <v>2025</v>
      </c>
    </row>
    <row r="801" spans="1:15" x14ac:dyDescent="0.3">
      <c r="A801" s="4" t="s">
        <v>1401</v>
      </c>
      <c r="B801" s="5">
        <v>45893</v>
      </c>
      <c r="C801" s="4" t="s">
        <v>1402</v>
      </c>
      <c r="D801" s="4" t="s">
        <v>520</v>
      </c>
      <c r="E801" s="4" t="s">
        <v>54</v>
      </c>
      <c r="F801" s="4" t="s">
        <v>142</v>
      </c>
      <c r="G801" s="4" t="s">
        <v>17</v>
      </c>
      <c r="H801" s="4" t="s">
        <v>18</v>
      </c>
      <c r="I801" s="6">
        <v>7</v>
      </c>
      <c r="J801" s="6">
        <v>25851</v>
      </c>
      <c r="K801" s="6">
        <v>15300.44</v>
      </c>
      <c r="L801" s="6">
        <v>10550.56</v>
      </c>
      <c r="M801" s="11">
        <f>Table13[[#This Row],[Profit]]/Table13[[#This Row],[Sales]]</f>
        <v>0.40812966616378477</v>
      </c>
      <c r="N801" s="6" t="str">
        <f>TEXT(Table13[[#This Row],[Order Date]],"mmm")</f>
        <v>Aug</v>
      </c>
      <c r="O801" s="6">
        <f>YEAR(Table13[[#This Row],[Order Date]])</f>
        <v>2025</v>
      </c>
    </row>
    <row r="802" spans="1:15" x14ac:dyDescent="0.3">
      <c r="A802" s="4" t="s">
        <v>1403</v>
      </c>
      <c r="B802" s="5">
        <v>45896</v>
      </c>
      <c r="C802" s="4" t="s">
        <v>718</v>
      </c>
      <c r="D802" s="4" t="s">
        <v>725</v>
      </c>
      <c r="E802" s="4" t="s">
        <v>29</v>
      </c>
      <c r="F802" s="4" t="s">
        <v>49</v>
      </c>
      <c r="G802" s="4" t="s">
        <v>35</v>
      </c>
      <c r="H802" s="4" t="s">
        <v>80</v>
      </c>
      <c r="I802" s="6">
        <v>9</v>
      </c>
      <c r="J802" s="6">
        <v>27423</v>
      </c>
      <c r="K802" s="6">
        <v>15626.58</v>
      </c>
      <c r="L802" s="6">
        <v>11796.42</v>
      </c>
      <c r="M802" s="11">
        <f>Table13[[#This Row],[Profit]]/Table13[[#This Row],[Sales]]</f>
        <v>0.43016518980417895</v>
      </c>
      <c r="N802" s="6" t="str">
        <f>TEXT(Table13[[#This Row],[Order Date]],"mmm")</f>
        <v>Aug</v>
      </c>
      <c r="O802" s="6">
        <f>YEAR(Table13[[#This Row],[Order Date]])</f>
        <v>2025</v>
      </c>
    </row>
    <row r="803" spans="1:15" x14ac:dyDescent="0.3">
      <c r="A803" s="4" t="s">
        <v>1404</v>
      </c>
      <c r="B803" s="5">
        <v>45765</v>
      </c>
      <c r="C803" s="4" t="s">
        <v>634</v>
      </c>
      <c r="D803" s="4" t="s">
        <v>377</v>
      </c>
      <c r="E803" s="4" t="s">
        <v>15</v>
      </c>
      <c r="F803" s="4" t="s">
        <v>63</v>
      </c>
      <c r="G803" s="4" t="s">
        <v>17</v>
      </c>
      <c r="H803" s="4" t="s">
        <v>31</v>
      </c>
      <c r="I803" s="6">
        <v>5</v>
      </c>
      <c r="J803" s="6">
        <v>18475</v>
      </c>
      <c r="K803" s="6">
        <v>11130.59</v>
      </c>
      <c r="L803" s="6">
        <v>7344.41</v>
      </c>
      <c r="M803" s="11">
        <f>Table13[[#This Row],[Profit]]/Table13[[#This Row],[Sales]]</f>
        <v>0.39753234100135315</v>
      </c>
      <c r="N803" s="6" t="str">
        <f>TEXT(Table13[[#This Row],[Order Date]],"mmm")</f>
        <v>Apr</v>
      </c>
      <c r="O803" s="6">
        <f>YEAR(Table13[[#This Row],[Order Date]])</f>
        <v>2025</v>
      </c>
    </row>
    <row r="804" spans="1:15" x14ac:dyDescent="0.3">
      <c r="A804" s="4" t="s">
        <v>1405</v>
      </c>
      <c r="B804" s="5">
        <v>45601</v>
      </c>
      <c r="C804" s="4" t="s">
        <v>313</v>
      </c>
      <c r="D804" s="4" t="s">
        <v>190</v>
      </c>
      <c r="E804" s="4" t="s">
        <v>29</v>
      </c>
      <c r="F804" s="4" t="s">
        <v>102</v>
      </c>
      <c r="G804" s="4" t="s">
        <v>35</v>
      </c>
      <c r="H804" s="4" t="s">
        <v>36</v>
      </c>
      <c r="I804" s="6">
        <v>5</v>
      </c>
      <c r="J804" s="6">
        <v>24185</v>
      </c>
      <c r="K804" s="6">
        <v>16861.189999999999</v>
      </c>
      <c r="L804" s="6">
        <v>7323.81</v>
      </c>
      <c r="M804" s="11">
        <f>Table13[[#This Row],[Profit]]/Table13[[#This Row],[Sales]]</f>
        <v>0.3028244779822204</v>
      </c>
      <c r="N804" s="6" t="str">
        <f>TEXT(Table13[[#This Row],[Order Date]],"mmm")</f>
        <v>Nov</v>
      </c>
      <c r="O804" s="6">
        <f>YEAR(Table13[[#This Row],[Order Date]])</f>
        <v>2024</v>
      </c>
    </row>
    <row r="805" spans="1:15" x14ac:dyDescent="0.3">
      <c r="A805" s="4" t="s">
        <v>1406</v>
      </c>
      <c r="B805" s="5">
        <v>45294</v>
      </c>
      <c r="C805" s="4" t="s">
        <v>251</v>
      </c>
      <c r="D805" s="4" t="s">
        <v>83</v>
      </c>
      <c r="E805" s="4" t="s">
        <v>22</v>
      </c>
      <c r="F805" s="4" t="s">
        <v>79</v>
      </c>
      <c r="G805" s="4" t="s">
        <v>17</v>
      </c>
      <c r="H805" s="4" t="s">
        <v>18</v>
      </c>
      <c r="I805" s="6">
        <v>8</v>
      </c>
      <c r="J805" s="6">
        <v>17112</v>
      </c>
      <c r="K805" s="6">
        <v>9549.39</v>
      </c>
      <c r="L805" s="6">
        <v>7562.61</v>
      </c>
      <c r="M805" s="11">
        <f>Table13[[#This Row],[Profit]]/Table13[[#This Row],[Sales]]</f>
        <v>0.44194775596072927</v>
      </c>
      <c r="N805" s="6" t="str">
        <f>TEXT(Table13[[#This Row],[Order Date]],"mmm")</f>
        <v>Jan</v>
      </c>
      <c r="O805" s="6">
        <f>YEAR(Table13[[#This Row],[Order Date]])</f>
        <v>2024</v>
      </c>
    </row>
    <row r="806" spans="1:15" x14ac:dyDescent="0.3">
      <c r="A806" s="4" t="s">
        <v>1407</v>
      </c>
      <c r="B806" s="5">
        <v>45586</v>
      </c>
      <c r="C806" s="4" t="s">
        <v>455</v>
      </c>
      <c r="D806" s="4" t="s">
        <v>1011</v>
      </c>
      <c r="E806" s="4" t="s">
        <v>54</v>
      </c>
      <c r="F806" s="4" t="s">
        <v>71</v>
      </c>
      <c r="G806" s="4" t="s">
        <v>17</v>
      </c>
      <c r="H806" s="4" t="s">
        <v>31</v>
      </c>
      <c r="I806" s="6">
        <v>8</v>
      </c>
      <c r="J806" s="6">
        <v>10536</v>
      </c>
      <c r="K806" s="6">
        <v>7861.37</v>
      </c>
      <c r="L806" s="6">
        <v>2674.63</v>
      </c>
      <c r="M806" s="11">
        <f>Table13[[#This Row],[Profit]]/Table13[[#This Row],[Sales]]</f>
        <v>0.25385630220197419</v>
      </c>
      <c r="N806" s="6" t="str">
        <f>TEXT(Table13[[#This Row],[Order Date]],"mmm")</f>
        <v>Oct</v>
      </c>
      <c r="O806" s="6">
        <f>YEAR(Table13[[#This Row],[Order Date]])</f>
        <v>2024</v>
      </c>
    </row>
    <row r="807" spans="1:15" x14ac:dyDescent="0.3">
      <c r="A807" s="4" t="s">
        <v>1408</v>
      </c>
      <c r="B807" s="5">
        <v>45575</v>
      </c>
      <c r="C807" s="4" t="s">
        <v>843</v>
      </c>
      <c r="D807" s="4" t="s">
        <v>527</v>
      </c>
      <c r="E807" s="4" t="s">
        <v>22</v>
      </c>
      <c r="F807" s="4" t="s">
        <v>79</v>
      </c>
      <c r="G807" s="4" t="s">
        <v>17</v>
      </c>
      <c r="H807" s="4" t="s">
        <v>31</v>
      </c>
      <c r="I807" s="6">
        <v>4</v>
      </c>
      <c r="J807" s="6">
        <v>2132</v>
      </c>
      <c r="K807" s="6">
        <v>1248.94</v>
      </c>
      <c r="L807" s="6">
        <v>883.06</v>
      </c>
      <c r="M807" s="11">
        <f>Table13[[#This Row],[Profit]]/Table13[[#This Row],[Sales]]</f>
        <v>0.41419324577861161</v>
      </c>
      <c r="N807" s="6" t="str">
        <f>TEXT(Table13[[#This Row],[Order Date]],"mmm")</f>
        <v>Oct</v>
      </c>
      <c r="O807" s="6">
        <f>YEAR(Table13[[#This Row],[Order Date]])</f>
        <v>2024</v>
      </c>
    </row>
    <row r="808" spans="1:15" x14ac:dyDescent="0.3">
      <c r="A808" s="4" t="s">
        <v>1409</v>
      </c>
      <c r="B808" s="5">
        <v>45935</v>
      </c>
      <c r="C808" s="4" t="s">
        <v>1102</v>
      </c>
      <c r="D808" s="4" t="s">
        <v>98</v>
      </c>
      <c r="E808" s="4" t="s">
        <v>54</v>
      </c>
      <c r="F808" s="4" t="s">
        <v>71</v>
      </c>
      <c r="G808" s="4" t="s">
        <v>35</v>
      </c>
      <c r="H808" s="4" t="s">
        <v>80</v>
      </c>
      <c r="I808" s="6">
        <v>10</v>
      </c>
      <c r="J808" s="6">
        <v>38720</v>
      </c>
      <c r="K808" s="6">
        <v>31382.71</v>
      </c>
      <c r="L808" s="6">
        <v>7337.29</v>
      </c>
      <c r="M808" s="11">
        <f>Table13[[#This Row],[Profit]]/Table13[[#This Row],[Sales]]</f>
        <v>0.18949612603305785</v>
      </c>
      <c r="N808" s="6" t="str">
        <f>TEXT(Table13[[#This Row],[Order Date]],"mmm")</f>
        <v>Oct</v>
      </c>
      <c r="O808" s="6">
        <f>YEAR(Table13[[#This Row],[Order Date]])</f>
        <v>2025</v>
      </c>
    </row>
    <row r="809" spans="1:15" x14ac:dyDescent="0.3">
      <c r="A809" s="4" t="s">
        <v>1410</v>
      </c>
      <c r="B809" s="5">
        <v>45458</v>
      </c>
      <c r="C809" s="4" t="s">
        <v>951</v>
      </c>
      <c r="D809" s="4" t="s">
        <v>130</v>
      </c>
      <c r="E809" s="4" t="s">
        <v>54</v>
      </c>
      <c r="F809" s="4" t="s">
        <v>71</v>
      </c>
      <c r="G809" s="4" t="s">
        <v>17</v>
      </c>
      <c r="H809" s="4" t="s">
        <v>18</v>
      </c>
      <c r="I809" s="6">
        <v>10</v>
      </c>
      <c r="J809" s="6">
        <v>4430</v>
      </c>
      <c r="K809" s="6">
        <v>3559.88</v>
      </c>
      <c r="L809" s="6">
        <v>870.12</v>
      </c>
      <c r="M809" s="11">
        <f>Table13[[#This Row],[Profit]]/Table13[[#This Row],[Sales]]</f>
        <v>0.19641534988713319</v>
      </c>
      <c r="N809" s="6" t="str">
        <f>TEXT(Table13[[#This Row],[Order Date]],"mmm")</f>
        <v>Jun</v>
      </c>
      <c r="O809" s="6">
        <f>YEAR(Table13[[#This Row],[Order Date]])</f>
        <v>2024</v>
      </c>
    </row>
    <row r="810" spans="1:15" x14ac:dyDescent="0.3">
      <c r="A810" s="4" t="s">
        <v>1411</v>
      </c>
      <c r="B810" s="5">
        <v>45571</v>
      </c>
      <c r="C810" s="4" t="s">
        <v>558</v>
      </c>
      <c r="D810" s="4" t="s">
        <v>223</v>
      </c>
      <c r="E810" s="4" t="s">
        <v>29</v>
      </c>
      <c r="F810" s="4" t="s">
        <v>49</v>
      </c>
      <c r="G810" s="4" t="s">
        <v>35</v>
      </c>
      <c r="H810" s="4" t="s">
        <v>80</v>
      </c>
      <c r="I810" s="6">
        <v>3</v>
      </c>
      <c r="J810" s="6">
        <v>9681</v>
      </c>
      <c r="K810" s="6">
        <v>5798.85</v>
      </c>
      <c r="L810" s="6">
        <v>3882.15</v>
      </c>
      <c r="M810" s="11">
        <f>Table13[[#This Row],[Profit]]/Table13[[#This Row],[Sales]]</f>
        <v>0.40100712736287575</v>
      </c>
      <c r="N810" s="6" t="str">
        <f>TEXT(Table13[[#This Row],[Order Date]],"mmm")</f>
        <v>Oct</v>
      </c>
      <c r="O810" s="6">
        <f>YEAR(Table13[[#This Row],[Order Date]])</f>
        <v>2024</v>
      </c>
    </row>
    <row r="811" spans="1:15" x14ac:dyDescent="0.3">
      <c r="A811" s="4" t="s">
        <v>1412</v>
      </c>
      <c r="B811" s="5">
        <v>45370</v>
      </c>
      <c r="C811" s="4" t="s">
        <v>321</v>
      </c>
      <c r="D811" s="4" t="s">
        <v>1048</v>
      </c>
      <c r="E811" s="4" t="s">
        <v>54</v>
      </c>
      <c r="F811" s="4" t="s">
        <v>142</v>
      </c>
      <c r="G811" s="4" t="s">
        <v>40</v>
      </c>
      <c r="H811" s="4" t="s">
        <v>99</v>
      </c>
      <c r="I811" s="6">
        <v>5</v>
      </c>
      <c r="J811" s="6">
        <v>23190</v>
      </c>
      <c r="K811" s="6">
        <v>17199.650000000001</v>
      </c>
      <c r="L811" s="6">
        <v>5990.35</v>
      </c>
      <c r="M811" s="11">
        <f>Table13[[#This Row],[Profit]]/Table13[[#This Row],[Sales]]</f>
        <v>0.2583160845191893</v>
      </c>
      <c r="N811" s="6" t="str">
        <f>TEXT(Table13[[#This Row],[Order Date]],"mmm")</f>
        <v>Mar</v>
      </c>
      <c r="O811" s="6">
        <f>YEAR(Table13[[#This Row],[Order Date]])</f>
        <v>2024</v>
      </c>
    </row>
    <row r="812" spans="1:15" x14ac:dyDescent="0.3">
      <c r="A812" s="4" t="s">
        <v>1413</v>
      </c>
      <c r="B812" s="5">
        <v>45615</v>
      </c>
      <c r="C812" s="4" t="s">
        <v>1414</v>
      </c>
      <c r="D812" s="4" t="s">
        <v>1415</v>
      </c>
      <c r="E812" s="4" t="s">
        <v>29</v>
      </c>
      <c r="F812" s="4" t="s">
        <v>102</v>
      </c>
      <c r="G812" s="4" t="s">
        <v>17</v>
      </c>
      <c r="H812" s="4" t="s">
        <v>72</v>
      </c>
      <c r="I812" s="6">
        <v>3</v>
      </c>
      <c r="J812" s="6">
        <v>14262</v>
      </c>
      <c r="K812" s="6">
        <v>9224.41</v>
      </c>
      <c r="L812" s="6">
        <v>5037.59</v>
      </c>
      <c r="M812" s="11">
        <f>Table13[[#This Row],[Profit]]/Table13[[#This Row],[Sales]]</f>
        <v>0.35321764128453231</v>
      </c>
      <c r="N812" s="6" t="str">
        <f>TEXT(Table13[[#This Row],[Order Date]],"mmm")</f>
        <v>Nov</v>
      </c>
      <c r="O812" s="6">
        <f>YEAR(Table13[[#This Row],[Order Date]])</f>
        <v>2024</v>
      </c>
    </row>
    <row r="813" spans="1:15" x14ac:dyDescent="0.3">
      <c r="A813" s="4" t="s">
        <v>1416</v>
      </c>
      <c r="B813" s="5">
        <v>45305</v>
      </c>
      <c r="C813" s="4" t="s">
        <v>449</v>
      </c>
      <c r="D813" s="4" t="s">
        <v>204</v>
      </c>
      <c r="E813" s="4" t="s">
        <v>54</v>
      </c>
      <c r="F813" s="4" t="s">
        <v>142</v>
      </c>
      <c r="G813" s="4" t="s">
        <v>35</v>
      </c>
      <c r="H813" s="4" t="s">
        <v>45</v>
      </c>
      <c r="I813" s="6">
        <v>10</v>
      </c>
      <c r="J813" s="6">
        <v>31800</v>
      </c>
      <c r="K813" s="6">
        <v>25344.42</v>
      </c>
      <c r="L813" s="6">
        <v>6455.58</v>
      </c>
      <c r="M813" s="11">
        <f>Table13[[#This Row],[Profit]]/Table13[[#This Row],[Sales]]</f>
        <v>0.20300566037735848</v>
      </c>
      <c r="N813" s="6" t="str">
        <f>TEXT(Table13[[#This Row],[Order Date]],"mmm")</f>
        <v>Jan</v>
      </c>
      <c r="O813" s="6">
        <f>YEAR(Table13[[#This Row],[Order Date]])</f>
        <v>2024</v>
      </c>
    </row>
    <row r="814" spans="1:15" x14ac:dyDescent="0.3">
      <c r="A814" s="4" t="s">
        <v>1417</v>
      </c>
      <c r="B814" s="5">
        <v>45458</v>
      </c>
      <c r="C814" s="4" t="s">
        <v>33</v>
      </c>
      <c r="D814" s="4" t="s">
        <v>647</v>
      </c>
      <c r="E814" s="4" t="s">
        <v>54</v>
      </c>
      <c r="F814" s="4" t="s">
        <v>55</v>
      </c>
      <c r="G814" s="4" t="s">
        <v>35</v>
      </c>
      <c r="H814" s="4" t="s">
        <v>80</v>
      </c>
      <c r="I814" s="6">
        <v>7</v>
      </c>
      <c r="J814" s="6">
        <v>21609</v>
      </c>
      <c r="K814" s="6">
        <v>17854.919999999998</v>
      </c>
      <c r="L814" s="6">
        <v>3754.08</v>
      </c>
      <c r="M814" s="11">
        <f>Table13[[#This Row],[Profit]]/Table13[[#This Row],[Sales]]</f>
        <v>0.17372761349437735</v>
      </c>
      <c r="N814" s="6" t="str">
        <f>TEXT(Table13[[#This Row],[Order Date]],"mmm")</f>
        <v>Jun</v>
      </c>
      <c r="O814" s="6">
        <f>YEAR(Table13[[#This Row],[Order Date]])</f>
        <v>2024</v>
      </c>
    </row>
    <row r="815" spans="1:15" x14ac:dyDescent="0.3">
      <c r="A815" s="4" t="s">
        <v>1418</v>
      </c>
      <c r="B815" s="5">
        <v>45830</v>
      </c>
      <c r="C815" s="4" t="s">
        <v>92</v>
      </c>
      <c r="D815" s="4" t="s">
        <v>706</v>
      </c>
      <c r="E815" s="4" t="s">
        <v>29</v>
      </c>
      <c r="F815" s="4" t="s">
        <v>30</v>
      </c>
      <c r="G815" s="4" t="s">
        <v>40</v>
      </c>
      <c r="H815" s="4" t="s">
        <v>56</v>
      </c>
      <c r="I815" s="6">
        <v>4</v>
      </c>
      <c r="J815" s="6">
        <v>19504</v>
      </c>
      <c r="K815" s="6">
        <v>14316.49</v>
      </c>
      <c r="L815" s="6">
        <v>5187.51</v>
      </c>
      <c r="M815" s="11">
        <f>Table13[[#This Row],[Profit]]/Table13[[#This Row],[Sales]]</f>
        <v>0.2659715955701395</v>
      </c>
      <c r="N815" s="6" t="str">
        <f>TEXT(Table13[[#This Row],[Order Date]],"mmm")</f>
        <v>Jun</v>
      </c>
      <c r="O815" s="6">
        <f>YEAR(Table13[[#This Row],[Order Date]])</f>
        <v>2025</v>
      </c>
    </row>
    <row r="816" spans="1:15" x14ac:dyDescent="0.3">
      <c r="A816" s="4" t="s">
        <v>1419</v>
      </c>
      <c r="B816" s="5">
        <v>45309</v>
      </c>
      <c r="C816" s="4" t="s">
        <v>560</v>
      </c>
      <c r="D816" s="4" t="s">
        <v>1165</v>
      </c>
      <c r="E816" s="4" t="s">
        <v>15</v>
      </c>
      <c r="F816" s="4" t="s">
        <v>63</v>
      </c>
      <c r="G816" s="4" t="s">
        <v>35</v>
      </c>
      <c r="H816" s="4" t="s">
        <v>80</v>
      </c>
      <c r="I816" s="6">
        <v>2</v>
      </c>
      <c r="J816" s="6">
        <v>2508</v>
      </c>
      <c r="K816" s="6">
        <v>1995.5</v>
      </c>
      <c r="L816" s="6">
        <v>512.5</v>
      </c>
      <c r="M816" s="11">
        <f>Table13[[#This Row],[Profit]]/Table13[[#This Row],[Sales]]</f>
        <v>0.20434609250398725</v>
      </c>
      <c r="N816" s="6" t="str">
        <f>TEXT(Table13[[#This Row],[Order Date]],"mmm")</f>
        <v>Jan</v>
      </c>
      <c r="O816" s="6">
        <f>YEAR(Table13[[#This Row],[Order Date]])</f>
        <v>2024</v>
      </c>
    </row>
    <row r="817" spans="1:15" x14ac:dyDescent="0.3">
      <c r="A817" s="4" t="s">
        <v>1420</v>
      </c>
      <c r="B817" s="5">
        <v>45903</v>
      </c>
      <c r="C817" s="4" t="s">
        <v>826</v>
      </c>
      <c r="D817" s="4" t="s">
        <v>150</v>
      </c>
      <c r="E817" s="4" t="s">
        <v>54</v>
      </c>
      <c r="F817" s="4" t="s">
        <v>71</v>
      </c>
      <c r="G817" s="4" t="s">
        <v>40</v>
      </c>
      <c r="H817" s="4" t="s">
        <v>41</v>
      </c>
      <c r="I817" s="6">
        <v>3</v>
      </c>
      <c r="J817" s="6">
        <v>11760</v>
      </c>
      <c r="K817" s="6">
        <v>9606.9500000000007</v>
      </c>
      <c r="L817" s="6">
        <v>2153.0500000000002</v>
      </c>
      <c r="M817" s="11">
        <f>Table13[[#This Row],[Profit]]/Table13[[#This Row],[Sales]]</f>
        <v>0.18308248299319729</v>
      </c>
      <c r="N817" s="6" t="str">
        <f>TEXT(Table13[[#This Row],[Order Date]],"mmm")</f>
        <v>Sep</v>
      </c>
      <c r="O817" s="6">
        <f>YEAR(Table13[[#This Row],[Order Date]])</f>
        <v>2025</v>
      </c>
    </row>
    <row r="818" spans="1:15" x14ac:dyDescent="0.3">
      <c r="A818" s="4" t="s">
        <v>1421</v>
      </c>
      <c r="B818" s="5">
        <v>46002</v>
      </c>
      <c r="C818" s="4" t="s">
        <v>487</v>
      </c>
      <c r="D818" s="4" t="s">
        <v>909</v>
      </c>
      <c r="E818" s="4" t="s">
        <v>29</v>
      </c>
      <c r="F818" s="4" t="s">
        <v>30</v>
      </c>
      <c r="G818" s="4" t="s">
        <v>40</v>
      </c>
      <c r="H818" s="4" t="s">
        <v>99</v>
      </c>
      <c r="I818" s="6">
        <v>1</v>
      </c>
      <c r="J818" s="6">
        <v>1271</v>
      </c>
      <c r="K818" s="6">
        <v>783.84</v>
      </c>
      <c r="L818" s="6">
        <v>487.16</v>
      </c>
      <c r="M818" s="11">
        <f>Table13[[#This Row],[Profit]]/Table13[[#This Row],[Sales]]</f>
        <v>0.38328874901652243</v>
      </c>
      <c r="N818" s="6" t="str">
        <f>TEXT(Table13[[#This Row],[Order Date]],"mmm")</f>
        <v>Dec</v>
      </c>
      <c r="O818" s="6">
        <f>YEAR(Table13[[#This Row],[Order Date]])</f>
        <v>2025</v>
      </c>
    </row>
    <row r="819" spans="1:15" x14ac:dyDescent="0.3">
      <c r="A819" s="4" t="s">
        <v>1422</v>
      </c>
      <c r="B819" s="5">
        <v>45406</v>
      </c>
      <c r="C819" s="4" t="s">
        <v>831</v>
      </c>
      <c r="D819" s="4" t="s">
        <v>453</v>
      </c>
      <c r="E819" s="4" t="s">
        <v>54</v>
      </c>
      <c r="F819" s="4" t="s">
        <v>142</v>
      </c>
      <c r="G819" s="4" t="s">
        <v>40</v>
      </c>
      <c r="H819" s="4" t="s">
        <v>56</v>
      </c>
      <c r="I819" s="6">
        <v>3</v>
      </c>
      <c r="J819" s="6">
        <v>2829</v>
      </c>
      <c r="K819" s="6">
        <v>1916.48</v>
      </c>
      <c r="L819" s="6">
        <v>912.52</v>
      </c>
      <c r="M819" s="11">
        <f>Table13[[#This Row],[Profit]]/Table13[[#This Row],[Sales]]</f>
        <v>0.32255920820077766</v>
      </c>
      <c r="N819" s="6" t="str">
        <f>TEXT(Table13[[#This Row],[Order Date]],"mmm")</f>
        <v>Apr</v>
      </c>
      <c r="O819" s="6">
        <f>YEAR(Table13[[#This Row],[Order Date]])</f>
        <v>2024</v>
      </c>
    </row>
    <row r="820" spans="1:15" x14ac:dyDescent="0.3">
      <c r="A820" s="4" t="s">
        <v>1423</v>
      </c>
      <c r="B820" s="5">
        <v>45967</v>
      </c>
      <c r="C820" s="4" t="s">
        <v>933</v>
      </c>
      <c r="D820" s="4" t="s">
        <v>784</v>
      </c>
      <c r="E820" s="4" t="s">
        <v>22</v>
      </c>
      <c r="F820" s="4" t="s">
        <v>67</v>
      </c>
      <c r="G820" s="4" t="s">
        <v>24</v>
      </c>
      <c r="H820" s="4" t="s">
        <v>25</v>
      </c>
      <c r="I820" s="6">
        <v>4</v>
      </c>
      <c r="J820" s="6">
        <v>4732</v>
      </c>
      <c r="K820" s="6">
        <v>2649.15</v>
      </c>
      <c r="L820" s="6">
        <v>2082.85</v>
      </c>
      <c r="M820" s="11">
        <f>Table13[[#This Row],[Profit]]/Table13[[#This Row],[Sales]]</f>
        <v>0.44016272189349109</v>
      </c>
      <c r="N820" s="6" t="str">
        <f>TEXT(Table13[[#This Row],[Order Date]],"mmm")</f>
        <v>Nov</v>
      </c>
      <c r="O820" s="6">
        <f>YEAR(Table13[[#This Row],[Order Date]])</f>
        <v>2025</v>
      </c>
    </row>
    <row r="821" spans="1:15" x14ac:dyDescent="0.3">
      <c r="A821" s="4" t="s">
        <v>1424</v>
      </c>
      <c r="B821" s="5">
        <v>45302</v>
      </c>
      <c r="C821" s="4" t="s">
        <v>1033</v>
      </c>
      <c r="D821" s="4" t="s">
        <v>39</v>
      </c>
      <c r="E821" s="4" t="s">
        <v>22</v>
      </c>
      <c r="F821" s="4" t="s">
        <v>23</v>
      </c>
      <c r="G821" s="4" t="s">
        <v>40</v>
      </c>
      <c r="H821" s="4" t="s">
        <v>99</v>
      </c>
      <c r="I821" s="6">
        <v>1</v>
      </c>
      <c r="J821" s="6">
        <v>842</v>
      </c>
      <c r="K821" s="6">
        <v>539.29999999999995</v>
      </c>
      <c r="L821" s="6">
        <v>302.7</v>
      </c>
      <c r="M821" s="11">
        <f>Table13[[#This Row],[Profit]]/Table13[[#This Row],[Sales]]</f>
        <v>0.35950118764845607</v>
      </c>
      <c r="N821" s="6" t="str">
        <f>TEXT(Table13[[#This Row],[Order Date]],"mmm")</f>
        <v>Jan</v>
      </c>
      <c r="O821" s="6">
        <f>YEAR(Table13[[#This Row],[Order Date]])</f>
        <v>2024</v>
      </c>
    </row>
    <row r="822" spans="1:15" x14ac:dyDescent="0.3">
      <c r="A822" s="4" t="s">
        <v>1425</v>
      </c>
      <c r="B822" s="5">
        <v>45441</v>
      </c>
      <c r="C822" s="4" t="s">
        <v>27</v>
      </c>
      <c r="D822" s="4" t="s">
        <v>1309</v>
      </c>
      <c r="E822" s="4" t="s">
        <v>29</v>
      </c>
      <c r="F822" s="4" t="s">
        <v>30</v>
      </c>
      <c r="G822" s="4" t="s">
        <v>40</v>
      </c>
      <c r="H822" s="4" t="s">
        <v>56</v>
      </c>
      <c r="I822" s="6">
        <v>3</v>
      </c>
      <c r="J822" s="6">
        <v>9537</v>
      </c>
      <c r="K822" s="6">
        <v>5329.06</v>
      </c>
      <c r="L822" s="6">
        <v>4207.9399999999996</v>
      </c>
      <c r="M822" s="11">
        <f>Table13[[#This Row],[Profit]]/Table13[[#This Row],[Sales]]</f>
        <v>0.44122260668973468</v>
      </c>
      <c r="N822" s="6" t="str">
        <f>TEXT(Table13[[#This Row],[Order Date]],"mmm")</f>
        <v>May</v>
      </c>
      <c r="O822" s="6">
        <f>YEAR(Table13[[#This Row],[Order Date]])</f>
        <v>2024</v>
      </c>
    </row>
    <row r="823" spans="1:15" x14ac:dyDescent="0.3">
      <c r="A823" s="4" t="s">
        <v>1426</v>
      </c>
      <c r="B823" s="5">
        <v>45361</v>
      </c>
      <c r="C823" s="4" t="s">
        <v>292</v>
      </c>
      <c r="D823" s="4" t="s">
        <v>1309</v>
      </c>
      <c r="E823" s="4" t="s">
        <v>54</v>
      </c>
      <c r="F823" s="4" t="s">
        <v>55</v>
      </c>
      <c r="G823" s="4" t="s">
        <v>24</v>
      </c>
      <c r="H823" s="4" t="s">
        <v>166</v>
      </c>
      <c r="I823" s="6">
        <v>9</v>
      </c>
      <c r="J823" s="6">
        <v>20529</v>
      </c>
      <c r="K823" s="6">
        <v>14400.53</v>
      </c>
      <c r="L823" s="6">
        <v>6128.47</v>
      </c>
      <c r="M823" s="11">
        <f>Table13[[#This Row],[Profit]]/Table13[[#This Row],[Sales]]</f>
        <v>0.2985274489746213</v>
      </c>
      <c r="N823" s="6" t="str">
        <f>TEXT(Table13[[#This Row],[Order Date]],"mmm")</f>
        <v>Mar</v>
      </c>
      <c r="O823" s="6">
        <f>YEAR(Table13[[#This Row],[Order Date]])</f>
        <v>2024</v>
      </c>
    </row>
    <row r="824" spans="1:15" x14ac:dyDescent="0.3">
      <c r="A824" s="4" t="s">
        <v>1427</v>
      </c>
      <c r="B824" s="5">
        <v>45842</v>
      </c>
      <c r="C824" s="4" t="s">
        <v>955</v>
      </c>
      <c r="D824" s="4" t="s">
        <v>417</v>
      </c>
      <c r="E824" s="4" t="s">
        <v>15</v>
      </c>
      <c r="F824" s="4" t="s">
        <v>90</v>
      </c>
      <c r="G824" s="4" t="s">
        <v>40</v>
      </c>
      <c r="H824" s="4" t="s">
        <v>56</v>
      </c>
      <c r="I824" s="6">
        <v>4</v>
      </c>
      <c r="J824" s="6">
        <v>10432</v>
      </c>
      <c r="K824" s="6">
        <v>6275.18</v>
      </c>
      <c r="L824" s="6">
        <v>4156.82</v>
      </c>
      <c r="M824" s="11">
        <f>Table13[[#This Row],[Profit]]/Table13[[#This Row],[Sales]]</f>
        <v>0.39846817484662572</v>
      </c>
      <c r="N824" s="6" t="str">
        <f>TEXT(Table13[[#This Row],[Order Date]],"mmm")</f>
        <v>Jul</v>
      </c>
      <c r="O824" s="6">
        <f>YEAR(Table13[[#This Row],[Order Date]])</f>
        <v>2025</v>
      </c>
    </row>
    <row r="825" spans="1:15" x14ac:dyDescent="0.3">
      <c r="A825" s="4" t="s">
        <v>1428</v>
      </c>
      <c r="B825" s="5">
        <v>45481</v>
      </c>
      <c r="C825" s="4" t="s">
        <v>795</v>
      </c>
      <c r="D825" s="4" t="s">
        <v>722</v>
      </c>
      <c r="E825" s="4" t="s">
        <v>29</v>
      </c>
      <c r="F825" s="4" t="s">
        <v>30</v>
      </c>
      <c r="G825" s="4" t="s">
        <v>17</v>
      </c>
      <c r="H825" s="4" t="s">
        <v>18</v>
      </c>
      <c r="I825" s="6">
        <v>8</v>
      </c>
      <c r="J825" s="6">
        <v>26416</v>
      </c>
      <c r="K825" s="6">
        <v>20061.36</v>
      </c>
      <c r="L825" s="6">
        <v>6354.64</v>
      </c>
      <c r="M825" s="11">
        <f>Table13[[#This Row],[Profit]]/Table13[[#This Row],[Sales]]</f>
        <v>0.24056026650514842</v>
      </c>
      <c r="N825" s="6" t="str">
        <f>TEXT(Table13[[#This Row],[Order Date]],"mmm")</f>
        <v>Jul</v>
      </c>
      <c r="O825" s="6">
        <f>YEAR(Table13[[#This Row],[Order Date]])</f>
        <v>2024</v>
      </c>
    </row>
    <row r="826" spans="1:15" x14ac:dyDescent="0.3">
      <c r="A826" s="4" t="s">
        <v>1429</v>
      </c>
      <c r="B826" s="5">
        <v>45709</v>
      </c>
      <c r="C826" s="4" t="s">
        <v>1430</v>
      </c>
      <c r="D826" s="4" t="s">
        <v>127</v>
      </c>
      <c r="E826" s="4" t="s">
        <v>29</v>
      </c>
      <c r="F826" s="4" t="s">
        <v>49</v>
      </c>
      <c r="G826" s="4" t="s">
        <v>35</v>
      </c>
      <c r="H826" s="4" t="s">
        <v>36</v>
      </c>
      <c r="I826" s="6">
        <v>7</v>
      </c>
      <c r="J826" s="6">
        <v>14385</v>
      </c>
      <c r="K826" s="6">
        <v>10131</v>
      </c>
      <c r="L826" s="6">
        <v>4254</v>
      </c>
      <c r="M826" s="11">
        <f>Table13[[#This Row],[Profit]]/Table13[[#This Row],[Sales]]</f>
        <v>0.2957247132429614</v>
      </c>
      <c r="N826" s="6" t="str">
        <f>TEXT(Table13[[#This Row],[Order Date]],"mmm")</f>
        <v>Feb</v>
      </c>
      <c r="O826" s="6">
        <f>YEAR(Table13[[#This Row],[Order Date]])</f>
        <v>2025</v>
      </c>
    </row>
    <row r="827" spans="1:15" x14ac:dyDescent="0.3">
      <c r="A827" s="4" t="s">
        <v>1431</v>
      </c>
      <c r="B827" s="5">
        <v>45661</v>
      </c>
      <c r="C827" s="4" t="s">
        <v>298</v>
      </c>
      <c r="D827" s="4" t="s">
        <v>612</v>
      </c>
      <c r="E827" s="4" t="s">
        <v>15</v>
      </c>
      <c r="F827" s="4" t="s">
        <v>63</v>
      </c>
      <c r="G827" s="4" t="s">
        <v>24</v>
      </c>
      <c r="H827" s="4" t="s">
        <v>50</v>
      </c>
      <c r="I827" s="6">
        <v>9</v>
      </c>
      <c r="J827" s="6">
        <v>12717</v>
      </c>
      <c r="K827" s="6">
        <v>8885.94</v>
      </c>
      <c r="L827" s="6">
        <v>3831.06</v>
      </c>
      <c r="M827" s="11">
        <f>Table13[[#This Row],[Profit]]/Table13[[#This Row],[Sales]]</f>
        <v>0.30125501297475821</v>
      </c>
      <c r="N827" s="6" t="str">
        <f>TEXT(Table13[[#This Row],[Order Date]],"mmm")</f>
        <v>Jan</v>
      </c>
      <c r="O827" s="6">
        <f>YEAR(Table13[[#This Row],[Order Date]])</f>
        <v>2025</v>
      </c>
    </row>
    <row r="828" spans="1:15" x14ac:dyDescent="0.3">
      <c r="A828" s="4" t="s">
        <v>1432</v>
      </c>
      <c r="B828" s="5">
        <v>45759</v>
      </c>
      <c r="C828" s="4" t="s">
        <v>923</v>
      </c>
      <c r="D828" s="4" t="s">
        <v>356</v>
      </c>
      <c r="E828" s="4" t="s">
        <v>15</v>
      </c>
      <c r="F828" s="4" t="s">
        <v>16</v>
      </c>
      <c r="G828" s="4" t="s">
        <v>40</v>
      </c>
      <c r="H828" s="4" t="s">
        <v>41</v>
      </c>
      <c r="I828" s="6">
        <v>8</v>
      </c>
      <c r="J828" s="6">
        <v>9976</v>
      </c>
      <c r="K828" s="6">
        <v>6638.37</v>
      </c>
      <c r="L828" s="6">
        <v>3337.63</v>
      </c>
      <c r="M828" s="11">
        <f>Table13[[#This Row],[Profit]]/Table13[[#This Row],[Sales]]</f>
        <v>0.33456595829991981</v>
      </c>
      <c r="N828" s="6" t="str">
        <f>TEXT(Table13[[#This Row],[Order Date]],"mmm")</f>
        <v>Apr</v>
      </c>
      <c r="O828" s="6">
        <f>YEAR(Table13[[#This Row],[Order Date]])</f>
        <v>2025</v>
      </c>
    </row>
    <row r="829" spans="1:15" x14ac:dyDescent="0.3">
      <c r="A829" s="4" t="s">
        <v>1433</v>
      </c>
      <c r="B829" s="5">
        <v>45363</v>
      </c>
      <c r="C829" s="4" t="s">
        <v>1102</v>
      </c>
      <c r="D829" s="4" t="s">
        <v>431</v>
      </c>
      <c r="E829" s="4" t="s">
        <v>29</v>
      </c>
      <c r="F829" s="4" t="s">
        <v>30</v>
      </c>
      <c r="G829" s="4" t="s">
        <v>35</v>
      </c>
      <c r="H829" s="4" t="s">
        <v>36</v>
      </c>
      <c r="I829" s="6">
        <v>5</v>
      </c>
      <c r="J829" s="6">
        <v>19025</v>
      </c>
      <c r="K829" s="6">
        <v>11541.24</v>
      </c>
      <c r="L829" s="6">
        <v>7483.76</v>
      </c>
      <c r="M829" s="11">
        <f>Table13[[#This Row],[Profit]]/Table13[[#This Row],[Sales]]</f>
        <v>0.39336452036793695</v>
      </c>
      <c r="N829" s="6" t="str">
        <f>TEXT(Table13[[#This Row],[Order Date]],"mmm")</f>
        <v>Mar</v>
      </c>
      <c r="O829" s="6">
        <f>YEAR(Table13[[#This Row],[Order Date]])</f>
        <v>2024</v>
      </c>
    </row>
    <row r="830" spans="1:15" x14ac:dyDescent="0.3">
      <c r="A830" s="4" t="s">
        <v>1434</v>
      </c>
      <c r="B830" s="5">
        <v>45827</v>
      </c>
      <c r="C830" s="4" t="s">
        <v>263</v>
      </c>
      <c r="D830" s="4" t="s">
        <v>98</v>
      </c>
      <c r="E830" s="4" t="s">
        <v>29</v>
      </c>
      <c r="F830" s="4" t="s">
        <v>102</v>
      </c>
      <c r="G830" s="4" t="s">
        <v>17</v>
      </c>
      <c r="H830" s="4" t="s">
        <v>31</v>
      </c>
      <c r="I830" s="6">
        <v>8</v>
      </c>
      <c r="J830" s="6">
        <v>9288</v>
      </c>
      <c r="K830" s="6">
        <v>6212.84</v>
      </c>
      <c r="L830" s="6">
        <v>3075.16</v>
      </c>
      <c r="M830" s="11">
        <f>Table13[[#This Row],[Profit]]/Table13[[#This Row],[Sales]]</f>
        <v>0.33108957795004307</v>
      </c>
      <c r="N830" s="6" t="str">
        <f>TEXT(Table13[[#This Row],[Order Date]],"mmm")</f>
        <v>Jun</v>
      </c>
      <c r="O830" s="6">
        <f>YEAR(Table13[[#This Row],[Order Date]])</f>
        <v>2025</v>
      </c>
    </row>
    <row r="831" spans="1:15" x14ac:dyDescent="0.3">
      <c r="A831" s="4" t="s">
        <v>1435</v>
      </c>
      <c r="B831" s="5">
        <v>45464</v>
      </c>
      <c r="C831" s="4" t="s">
        <v>1382</v>
      </c>
      <c r="D831" s="4" t="s">
        <v>160</v>
      </c>
      <c r="E831" s="4" t="s">
        <v>29</v>
      </c>
      <c r="F831" s="4" t="s">
        <v>49</v>
      </c>
      <c r="G831" s="4" t="s">
        <v>35</v>
      </c>
      <c r="H831" s="4" t="s">
        <v>36</v>
      </c>
      <c r="I831" s="6">
        <v>10</v>
      </c>
      <c r="J831" s="6">
        <v>11330</v>
      </c>
      <c r="K831" s="6">
        <v>8751.6299999999992</v>
      </c>
      <c r="L831" s="6">
        <v>2578.37</v>
      </c>
      <c r="M831" s="11">
        <f>Table13[[#This Row],[Profit]]/Table13[[#This Row],[Sales]]</f>
        <v>0.22757016769638128</v>
      </c>
      <c r="N831" s="6" t="str">
        <f>TEXT(Table13[[#This Row],[Order Date]],"mmm")</f>
        <v>Jun</v>
      </c>
      <c r="O831" s="6">
        <f>YEAR(Table13[[#This Row],[Order Date]])</f>
        <v>2024</v>
      </c>
    </row>
    <row r="832" spans="1:15" x14ac:dyDescent="0.3">
      <c r="A832" s="4" t="s">
        <v>1436</v>
      </c>
      <c r="B832" s="5">
        <v>45726</v>
      </c>
      <c r="C832" s="4" t="s">
        <v>331</v>
      </c>
      <c r="D832" s="4" t="s">
        <v>1437</v>
      </c>
      <c r="E832" s="4" t="s">
        <v>29</v>
      </c>
      <c r="F832" s="4" t="s">
        <v>49</v>
      </c>
      <c r="G832" s="4" t="s">
        <v>40</v>
      </c>
      <c r="H832" s="4" t="s">
        <v>56</v>
      </c>
      <c r="I832" s="6">
        <v>10</v>
      </c>
      <c r="J832" s="6">
        <v>36110</v>
      </c>
      <c r="K832" s="6">
        <v>21190.38</v>
      </c>
      <c r="L832" s="6">
        <v>14919.62</v>
      </c>
      <c r="M832" s="11">
        <f>Table13[[#This Row],[Profit]]/Table13[[#This Row],[Sales]]</f>
        <v>0.41317142065909723</v>
      </c>
      <c r="N832" s="6" t="str">
        <f>TEXT(Table13[[#This Row],[Order Date]],"mmm")</f>
        <v>Mar</v>
      </c>
      <c r="O832" s="6">
        <f>YEAR(Table13[[#This Row],[Order Date]])</f>
        <v>2025</v>
      </c>
    </row>
    <row r="833" spans="1:15" x14ac:dyDescent="0.3">
      <c r="A833" s="4" t="s">
        <v>1438</v>
      </c>
      <c r="B833" s="5">
        <v>45706</v>
      </c>
      <c r="C833" s="4" t="s">
        <v>212</v>
      </c>
      <c r="D833" s="4" t="s">
        <v>193</v>
      </c>
      <c r="E833" s="4" t="s">
        <v>54</v>
      </c>
      <c r="F833" s="4" t="s">
        <v>71</v>
      </c>
      <c r="G833" s="4" t="s">
        <v>35</v>
      </c>
      <c r="H833" s="4" t="s">
        <v>36</v>
      </c>
      <c r="I833" s="6">
        <v>6</v>
      </c>
      <c r="J833" s="6">
        <v>25182</v>
      </c>
      <c r="K833" s="6">
        <v>18886.580000000002</v>
      </c>
      <c r="L833" s="6">
        <v>6295.42</v>
      </c>
      <c r="M833" s="11">
        <f>Table13[[#This Row],[Profit]]/Table13[[#This Row],[Sales]]</f>
        <v>0.24999682312763086</v>
      </c>
      <c r="N833" s="6" t="str">
        <f>TEXT(Table13[[#This Row],[Order Date]],"mmm")</f>
        <v>Feb</v>
      </c>
      <c r="O833" s="6">
        <f>YEAR(Table13[[#This Row],[Order Date]])</f>
        <v>2025</v>
      </c>
    </row>
    <row r="834" spans="1:15" x14ac:dyDescent="0.3">
      <c r="A834" s="4" t="s">
        <v>1439</v>
      </c>
      <c r="B834" s="5">
        <v>45801</v>
      </c>
      <c r="C834" s="4" t="s">
        <v>1220</v>
      </c>
      <c r="D834" s="4" t="s">
        <v>661</v>
      </c>
      <c r="E834" s="4" t="s">
        <v>54</v>
      </c>
      <c r="F834" s="4" t="s">
        <v>142</v>
      </c>
      <c r="G834" s="4" t="s">
        <v>35</v>
      </c>
      <c r="H834" s="4" t="s">
        <v>80</v>
      </c>
      <c r="I834" s="6">
        <v>2</v>
      </c>
      <c r="J834" s="6">
        <v>2600</v>
      </c>
      <c r="K834" s="6">
        <v>1625.54</v>
      </c>
      <c r="L834" s="6">
        <v>974.46</v>
      </c>
      <c r="M834" s="11">
        <f>Table13[[#This Row],[Profit]]/Table13[[#This Row],[Sales]]</f>
        <v>0.3747923076923077</v>
      </c>
      <c r="N834" s="6" t="str">
        <f>TEXT(Table13[[#This Row],[Order Date]],"mmm")</f>
        <v>May</v>
      </c>
      <c r="O834" s="6">
        <f>YEAR(Table13[[#This Row],[Order Date]])</f>
        <v>2025</v>
      </c>
    </row>
    <row r="835" spans="1:15" x14ac:dyDescent="0.3">
      <c r="A835" s="4" t="s">
        <v>1440</v>
      </c>
      <c r="B835" s="5">
        <v>45319</v>
      </c>
      <c r="C835" s="4" t="s">
        <v>710</v>
      </c>
      <c r="D835" s="4" t="s">
        <v>1029</v>
      </c>
      <c r="E835" s="4" t="s">
        <v>15</v>
      </c>
      <c r="F835" s="4" t="s">
        <v>16</v>
      </c>
      <c r="G835" s="4" t="s">
        <v>17</v>
      </c>
      <c r="H835" s="4" t="s">
        <v>18</v>
      </c>
      <c r="I835" s="6">
        <v>1</v>
      </c>
      <c r="J835" s="6">
        <v>858</v>
      </c>
      <c r="K835" s="6">
        <v>600.12</v>
      </c>
      <c r="L835" s="6">
        <v>257.88</v>
      </c>
      <c r="M835" s="11">
        <f>Table13[[#This Row],[Profit]]/Table13[[#This Row],[Sales]]</f>
        <v>0.30055944055944056</v>
      </c>
      <c r="N835" s="6" t="str">
        <f>TEXT(Table13[[#This Row],[Order Date]],"mmm")</f>
        <v>Jan</v>
      </c>
      <c r="O835" s="6">
        <f>YEAR(Table13[[#This Row],[Order Date]])</f>
        <v>2024</v>
      </c>
    </row>
    <row r="836" spans="1:15" x14ac:dyDescent="0.3">
      <c r="A836" s="4" t="s">
        <v>1441</v>
      </c>
      <c r="B836" s="5">
        <v>45968</v>
      </c>
      <c r="C836" s="4" t="s">
        <v>848</v>
      </c>
      <c r="D836" s="4" t="s">
        <v>70</v>
      </c>
      <c r="E836" s="4" t="s">
        <v>54</v>
      </c>
      <c r="F836" s="4" t="s">
        <v>142</v>
      </c>
      <c r="G836" s="4" t="s">
        <v>40</v>
      </c>
      <c r="H836" s="4" t="s">
        <v>99</v>
      </c>
      <c r="I836" s="6">
        <v>10</v>
      </c>
      <c r="J836" s="6">
        <v>10890</v>
      </c>
      <c r="K836" s="6">
        <v>8472.98</v>
      </c>
      <c r="L836" s="6">
        <v>2417.02</v>
      </c>
      <c r="M836" s="11">
        <f>Table13[[#This Row],[Profit]]/Table13[[#This Row],[Sales]]</f>
        <v>0.22194857667584941</v>
      </c>
      <c r="N836" s="6" t="str">
        <f>TEXT(Table13[[#This Row],[Order Date]],"mmm")</f>
        <v>Nov</v>
      </c>
      <c r="O836" s="6">
        <f>YEAR(Table13[[#This Row],[Order Date]])</f>
        <v>2025</v>
      </c>
    </row>
    <row r="837" spans="1:15" x14ac:dyDescent="0.3">
      <c r="A837" s="4" t="s">
        <v>1442</v>
      </c>
      <c r="B837" s="5">
        <v>45847</v>
      </c>
      <c r="C837" s="4" t="s">
        <v>792</v>
      </c>
      <c r="D837" s="4" t="s">
        <v>496</v>
      </c>
      <c r="E837" s="4" t="s">
        <v>22</v>
      </c>
      <c r="F837" s="4" t="s">
        <v>23</v>
      </c>
      <c r="G837" s="4" t="s">
        <v>40</v>
      </c>
      <c r="H837" s="4" t="s">
        <v>99</v>
      </c>
      <c r="I837" s="6">
        <v>8</v>
      </c>
      <c r="J837" s="6">
        <v>34528</v>
      </c>
      <c r="K837" s="6">
        <v>24219.27</v>
      </c>
      <c r="L837" s="6">
        <v>10308.73</v>
      </c>
      <c r="M837" s="11">
        <f>Table13[[#This Row],[Profit]]/Table13[[#This Row],[Sales]]</f>
        <v>0.29856145736793327</v>
      </c>
      <c r="N837" s="6" t="str">
        <f>TEXT(Table13[[#This Row],[Order Date]],"mmm")</f>
        <v>Jul</v>
      </c>
      <c r="O837" s="6">
        <f>YEAR(Table13[[#This Row],[Order Date]])</f>
        <v>2025</v>
      </c>
    </row>
    <row r="838" spans="1:15" x14ac:dyDescent="0.3">
      <c r="A838" s="4" t="s">
        <v>1443</v>
      </c>
      <c r="B838" s="5">
        <v>45677</v>
      </c>
      <c r="C838" s="4" t="s">
        <v>324</v>
      </c>
      <c r="D838" s="4" t="s">
        <v>665</v>
      </c>
      <c r="E838" s="4" t="s">
        <v>15</v>
      </c>
      <c r="F838" s="4" t="s">
        <v>16</v>
      </c>
      <c r="G838" s="4" t="s">
        <v>35</v>
      </c>
      <c r="H838" s="4" t="s">
        <v>36</v>
      </c>
      <c r="I838" s="6">
        <v>2</v>
      </c>
      <c r="J838" s="6">
        <v>6884</v>
      </c>
      <c r="K838" s="6">
        <v>4715.78</v>
      </c>
      <c r="L838" s="6">
        <v>2168.2199999999998</v>
      </c>
      <c r="M838" s="11">
        <f>Table13[[#This Row],[Profit]]/Table13[[#This Row],[Sales]]</f>
        <v>0.31496513654851827</v>
      </c>
      <c r="N838" s="6" t="str">
        <f>TEXT(Table13[[#This Row],[Order Date]],"mmm")</f>
        <v>Jan</v>
      </c>
      <c r="O838" s="6">
        <f>YEAR(Table13[[#This Row],[Order Date]])</f>
        <v>2025</v>
      </c>
    </row>
    <row r="839" spans="1:15" x14ac:dyDescent="0.3">
      <c r="A839" s="4" t="s">
        <v>1444</v>
      </c>
      <c r="B839" s="5">
        <v>45460</v>
      </c>
      <c r="C839" s="4" t="s">
        <v>737</v>
      </c>
      <c r="D839" s="4" t="s">
        <v>1445</v>
      </c>
      <c r="E839" s="4" t="s">
        <v>15</v>
      </c>
      <c r="F839" s="4" t="s">
        <v>16</v>
      </c>
      <c r="G839" s="4" t="s">
        <v>24</v>
      </c>
      <c r="H839" s="4" t="s">
        <v>166</v>
      </c>
      <c r="I839" s="6">
        <v>9</v>
      </c>
      <c r="J839" s="6">
        <v>25038</v>
      </c>
      <c r="K839" s="6">
        <v>20416.240000000002</v>
      </c>
      <c r="L839" s="6">
        <v>4621.76</v>
      </c>
      <c r="M839" s="11">
        <f>Table13[[#This Row],[Profit]]/Table13[[#This Row],[Sales]]</f>
        <v>0.18458982346832814</v>
      </c>
      <c r="N839" s="6" t="str">
        <f>TEXT(Table13[[#This Row],[Order Date]],"mmm")</f>
        <v>Jun</v>
      </c>
      <c r="O839" s="6">
        <f>YEAR(Table13[[#This Row],[Order Date]])</f>
        <v>2024</v>
      </c>
    </row>
    <row r="840" spans="1:15" x14ac:dyDescent="0.3">
      <c r="A840" s="4" t="s">
        <v>1446</v>
      </c>
      <c r="B840" s="5">
        <v>45874</v>
      </c>
      <c r="C840" s="4" t="s">
        <v>737</v>
      </c>
      <c r="D840" s="4" t="s">
        <v>399</v>
      </c>
      <c r="E840" s="4" t="s">
        <v>29</v>
      </c>
      <c r="F840" s="4" t="s">
        <v>49</v>
      </c>
      <c r="G840" s="4" t="s">
        <v>17</v>
      </c>
      <c r="H840" s="4" t="s">
        <v>18</v>
      </c>
      <c r="I840" s="6">
        <v>7</v>
      </c>
      <c r="J840" s="6">
        <v>30051</v>
      </c>
      <c r="K840" s="6">
        <v>23415.84</v>
      </c>
      <c r="L840" s="6">
        <v>6635.16</v>
      </c>
      <c r="M840" s="11">
        <f>Table13[[#This Row],[Profit]]/Table13[[#This Row],[Sales]]</f>
        <v>0.22079664570230609</v>
      </c>
      <c r="N840" s="6" t="str">
        <f>TEXT(Table13[[#This Row],[Order Date]],"mmm")</f>
        <v>Aug</v>
      </c>
      <c r="O840" s="6">
        <f>YEAR(Table13[[#This Row],[Order Date]])</f>
        <v>2025</v>
      </c>
    </row>
    <row r="841" spans="1:15" x14ac:dyDescent="0.3">
      <c r="A841" s="4" t="s">
        <v>1447</v>
      </c>
      <c r="B841" s="5">
        <v>45561</v>
      </c>
      <c r="C841" s="4" t="s">
        <v>200</v>
      </c>
      <c r="D841" s="4" t="s">
        <v>894</v>
      </c>
      <c r="E841" s="4" t="s">
        <v>22</v>
      </c>
      <c r="F841" s="4" t="s">
        <v>67</v>
      </c>
      <c r="G841" s="4" t="s">
        <v>35</v>
      </c>
      <c r="H841" s="4" t="s">
        <v>45</v>
      </c>
      <c r="I841" s="6">
        <v>3</v>
      </c>
      <c r="J841" s="6">
        <v>13350</v>
      </c>
      <c r="K841" s="6">
        <v>7565.73</v>
      </c>
      <c r="L841" s="6">
        <v>5784.27</v>
      </c>
      <c r="M841" s="11">
        <f>Table13[[#This Row],[Profit]]/Table13[[#This Row],[Sales]]</f>
        <v>0.43327865168539331</v>
      </c>
      <c r="N841" s="6" t="str">
        <f>TEXT(Table13[[#This Row],[Order Date]],"mmm")</f>
        <v>Sep</v>
      </c>
      <c r="O841" s="6">
        <f>YEAR(Table13[[#This Row],[Order Date]])</f>
        <v>2024</v>
      </c>
    </row>
    <row r="842" spans="1:15" x14ac:dyDescent="0.3">
      <c r="A842" s="4" t="s">
        <v>1448</v>
      </c>
      <c r="B842" s="5">
        <v>45423</v>
      </c>
      <c r="C842" s="4" t="s">
        <v>591</v>
      </c>
      <c r="D842" s="4" t="s">
        <v>1165</v>
      </c>
      <c r="E842" s="4" t="s">
        <v>54</v>
      </c>
      <c r="F842" s="4" t="s">
        <v>55</v>
      </c>
      <c r="G842" s="4" t="s">
        <v>40</v>
      </c>
      <c r="H842" s="4" t="s">
        <v>41</v>
      </c>
      <c r="I842" s="6">
        <v>1</v>
      </c>
      <c r="J842" s="6">
        <v>530</v>
      </c>
      <c r="K842" s="6">
        <v>385.38</v>
      </c>
      <c r="L842" s="6">
        <v>144.62</v>
      </c>
      <c r="M842" s="11">
        <f>Table13[[#This Row],[Profit]]/Table13[[#This Row],[Sales]]</f>
        <v>0.27286792452830189</v>
      </c>
      <c r="N842" s="6" t="str">
        <f>TEXT(Table13[[#This Row],[Order Date]],"mmm")</f>
        <v>May</v>
      </c>
      <c r="O842" s="6">
        <f>YEAR(Table13[[#This Row],[Order Date]])</f>
        <v>2024</v>
      </c>
    </row>
    <row r="843" spans="1:15" x14ac:dyDescent="0.3">
      <c r="A843" s="4" t="s">
        <v>1449</v>
      </c>
      <c r="B843" s="5">
        <v>45657</v>
      </c>
      <c r="C843" s="4" t="s">
        <v>165</v>
      </c>
      <c r="D843" s="4" t="s">
        <v>488</v>
      </c>
      <c r="E843" s="4" t="s">
        <v>15</v>
      </c>
      <c r="F843" s="4" t="s">
        <v>90</v>
      </c>
      <c r="G843" s="4" t="s">
        <v>40</v>
      </c>
      <c r="H843" s="4" t="s">
        <v>41</v>
      </c>
      <c r="I843" s="6">
        <v>7</v>
      </c>
      <c r="J843" s="6">
        <v>7679</v>
      </c>
      <c r="K843" s="6">
        <v>5209.7700000000004</v>
      </c>
      <c r="L843" s="6">
        <v>2469.23</v>
      </c>
      <c r="M843" s="11">
        <f>Table13[[#This Row],[Profit]]/Table13[[#This Row],[Sales]]</f>
        <v>0.32155619221252768</v>
      </c>
      <c r="N843" s="6" t="str">
        <f>TEXT(Table13[[#This Row],[Order Date]],"mmm")</f>
        <v>Dec</v>
      </c>
      <c r="O843" s="6">
        <f>YEAR(Table13[[#This Row],[Order Date]])</f>
        <v>2024</v>
      </c>
    </row>
    <row r="844" spans="1:15" x14ac:dyDescent="0.3">
      <c r="A844" s="4" t="s">
        <v>1450</v>
      </c>
      <c r="B844" s="5">
        <v>45898</v>
      </c>
      <c r="C844" s="4" t="s">
        <v>263</v>
      </c>
      <c r="D844" s="4" t="s">
        <v>862</v>
      </c>
      <c r="E844" s="4" t="s">
        <v>15</v>
      </c>
      <c r="F844" s="4" t="s">
        <v>90</v>
      </c>
      <c r="G844" s="4" t="s">
        <v>40</v>
      </c>
      <c r="H844" s="4" t="s">
        <v>56</v>
      </c>
      <c r="I844" s="6">
        <v>4</v>
      </c>
      <c r="J844" s="6">
        <v>8888</v>
      </c>
      <c r="K844" s="6">
        <v>6616.45</v>
      </c>
      <c r="L844" s="6">
        <v>2271.5500000000002</v>
      </c>
      <c r="M844" s="11">
        <f>Table13[[#This Row],[Profit]]/Table13[[#This Row],[Sales]]</f>
        <v>0.25557493249324936</v>
      </c>
      <c r="N844" s="6" t="str">
        <f>TEXT(Table13[[#This Row],[Order Date]],"mmm")</f>
        <v>Aug</v>
      </c>
      <c r="O844" s="6">
        <f>YEAR(Table13[[#This Row],[Order Date]])</f>
        <v>2025</v>
      </c>
    </row>
    <row r="845" spans="1:15" x14ac:dyDescent="0.3">
      <c r="A845" s="4" t="s">
        <v>1451</v>
      </c>
      <c r="B845" s="5">
        <v>45330</v>
      </c>
      <c r="C845" s="4" t="s">
        <v>458</v>
      </c>
      <c r="D845" s="4" t="s">
        <v>111</v>
      </c>
      <c r="E845" s="4" t="s">
        <v>54</v>
      </c>
      <c r="F845" s="4" t="s">
        <v>142</v>
      </c>
      <c r="G845" s="4" t="s">
        <v>40</v>
      </c>
      <c r="H845" s="4" t="s">
        <v>41</v>
      </c>
      <c r="I845" s="6">
        <v>3</v>
      </c>
      <c r="J845" s="6">
        <v>1383</v>
      </c>
      <c r="K845" s="6">
        <v>984.04</v>
      </c>
      <c r="L845" s="6">
        <v>398.96</v>
      </c>
      <c r="M845" s="11">
        <f>Table13[[#This Row],[Profit]]/Table13[[#This Row],[Sales]]</f>
        <v>0.2884743311641359</v>
      </c>
      <c r="N845" s="6" t="str">
        <f>TEXT(Table13[[#This Row],[Order Date]],"mmm")</f>
        <v>Feb</v>
      </c>
      <c r="O845" s="6">
        <f>YEAR(Table13[[#This Row],[Order Date]])</f>
        <v>2024</v>
      </c>
    </row>
    <row r="846" spans="1:15" x14ac:dyDescent="0.3">
      <c r="A846" s="4" t="s">
        <v>1452</v>
      </c>
      <c r="B846" s="5">
        <v>45678</v>
      </c>
      <c r="C846" s="4" t="s">
        <v>912</v>
      </c>
      <c r="D846" s="4" t="s">
        <v>1016</v>
      </c>
      <c r="E846" s="4" t="s">
        <v>22</v>
      </c>
      <c r="F846" s="4" t="s">
        <v>67</v>
      </c>
      <c r="G846" s="4" t="s">
        <v>24</v>
      </c>
      <c r="H846" s="4" t="s">
        <v>25</v>
      </c>
      <c r="I846" s="6">
        <v>8</v>
      </c>
      <c r="J846" s="6">
        <v>3856</v>
      </c>
      <c r="K846" s="6">
        <v>3261.13</v>
      </c>
      <c r="L846" s="6">
        <v>594.87</v>
      </c>
      <c r="M846" s="11">
        <f>Table13[[#This Row],[Profit]]/Table13[[#This Row],[Sales]]</f>
        <v>0.15427126556016599</v>
      </c>
      <c r="N846" s="6" t="str">
        <f>TEXT(Table13[[#This Row],[Order Date]],"mmm")</f>
        <v>Jan</v>
      </c>
      <c r="O846" s="6">
        <f>YEAR(Table13[[#This Row],[Order Date]])</f>
        <v>2025</v>
      </c>
    </row>
    <row r="847" spans="1:15" x14ac:dyDescent="0.3">
      <c r="A847" s="4" t="s">
        <v>1453</v>
      </c>
      <c r="B847" s="5">
        <v>45502</v>
      </c>
      <c r="C847" s="4" t="s">
        <v>225</v>
      </c>
      <c r="D847" s="4" t="s">
        <v>375</v>
      </c>
      <c r="E847" s="4" t="s">
        <v>54</v>
      </c>
      <c r="F847" s="4" t="s">
        <v>71</v>
      </c>
      <c r="G847" s="4" t="s">
        <v>24</v>
      </c>
      <c r="H847" s="4" t="s">
        <v>50</v>
      </c>
      <c r="I847" s="6">
        <v>8</v>
      </c>
      <c r="J847" s="6">
        <v>8952</v>
      </c>
      <c r="K847" s="6">
        <v>6778.98</v>
      </c>
      <c r="L847" s="6">
        <v>2173.02</v>
      </c>
      <c r="M847" s="11">
        <f>Table13[[#This Row],[Profit]]/Table13[[#This Row],[Sales]]</f>
        <v>0.24274128686327079</v>
      </c>
      <c r="N847" s="6" t="str">
        <f>TEXT(Table13[[#This Row],[Order Date]],"mmm")</f>
        <v>Jul</v>
      </c>
      <c r="O847" s="6">
        <f>YEAR(Table13[[#This Row],[Order Date]])</f>
        <v>2024</v>
      </c>
    </row>
    <row r="848" spans="1:15" x14ac:dyDescent="0.3">
      <c r="A848" s="4" t="s">
        <v>1454</v>
      </c>
      <c r="B848" s="5">
        <v>45498</v>
      </c>
      <c r="C848" s="4" t="s">
        <v>865</v>
      </c>
      <c r="D848" s="4" t="s">
        <v>350</v>
      </c>
      <c r="E848" s="4" t="s">
        <v>54</v>
      </c>
      <c r="F848" s="4" t="s">
        <v>142</v>
      </c>
      <c r="G848" s="4" t="s">
        <v>17</v>
      </c>
      <c r="H848" s="4" t="s">
        <v>72</v>
      </c>
      <c r="I848" s="6">
        <v>5</v>
      </c>
      <c r="J848" s="6">
        <v>16380</v>
      </c>
      <c r="K848" s="6">
        <v>13772.77</v>
      </c>
      <c r="L848" s="6">
        <v>2607.23</v>
      </c>
      <c r="M848" s="11">
        <f>Table13[[#This Row],[Profit]]/Table13[[#This Row],[Sales]]</f>
        <v>0.15917155067155067</v>
      </c>
      <c r="N848" s="6" t="str">
        <f>TEXT(Table13[[#This Row],[Order Date]],"mmm")</f>
        <v>Jul</v>
      </c>
      <c r="O848" s="6">
        <f>YEAR(Table13[[#This Row],[Order Date]])</f>
        <v>2024</v>
      </c>
    </row>
    <row r="849" spans="1:15" x14ac:dyDescent="0.3">
      <c r="A849" s="4" t="s">
        <v>1455</v>
      </c>
      <c r="B849" s="5">
        <v>45703</v>
      </c>
      <c r="C849" s="4" t="s">
        <v>802</v>
      </c>
      <c r="D849" s="4" t="s">
        <v>34</v>
      </c>
      <c r="E849" s="4" t="s">
        <v>29</v>
      </c>
      <c r="F849" s="4" t="s">
        <v>49</v>
      </c>
      <c r="G849" s="4" t="s">
        <v>40</v>
      </c>
      <c r="H849" s="4" t="s">
        <v>99</v>
      </c>
      <c r="I849" s="6">
        <v>1</v>
      </c>
      <c r="J849" s="6">
        <v>2735</v>
      </c>
      <c r="K849" s="6">
        <v>2321.65</v>
      </c>
      <c r="L849" s="6">
        <v>413.35</v>
      </c>
      <c r="M849" s="11">
        <f>Table13[[#This Row],[Profit]]/Table13[[#This Row],[Sales]]</f>
        <v>0.15113345521023766</v>
      </c>
      <c r="N849" s="6" t="str">
        <f>TEXT(Table13[[#This Row],[Order Date]],"mmm")</f>
        <v>Feb</v>
      </c>
      <c r="O849" s="6">
        <f>YEAR(Table13[[#This Row],[Order Date]])</f>
        <v>2025</v>
      </c>
    </row>
    <row r="850" spans="1:15" x14ac:dyDescent="0.3">
      <c r="A850" s="4" t="s">
        <v>1456</v>
      </c>
      <c r="B850" s="5">
        <v>45835</v>
      </c>
      <c r="C850" s="4" t="s">
        <v>1102</v>
      </c>
      <c r="D850" s="4" t="s">
        <v>982</v>
      </c>
      <c r="E850" s="4" t="s">
        <v>15</v>
      </c>
      <c r="F850" s="4" t="s">
        <v>90</v>
      </c>
      <c r="G850" s="4" t="s">
        <v>40</v>
      </c>
      <c r="H850" s="4" t="s">
        <v>41</v>
      </c>
      <c r="I850" s="6">
        <v>5</v>
      </c>
      <c r="J850" s="6">
        <v>4255</v>
      </c>
      <c r="K850" s="6">
        <v>3063.3</v>
      </c>
      <c r="L850" s="6">
        <v>1191.7</v>
      </c>
      <c r="M850" s="11">
        <f>Table13[[#This Row],[Profit]]/Table13[[#This Row],[Sales]]</f>
        <v>0.28007050528789662</v>
      </c>
      <c r="N850" s="6" t="str">
        <f>TEXT(Table13[[#This Row],[Order Date]],"mmm")</f>
        <v>Jun</v>
      </c>
      <c r="O850" s="6">
        <f>YEAR(Table13[[#This Row],[Order Date]])</f>
        <v>2025</v>
      </c>
    </row>
    <row r="851" spans="1:15" x14ac:dyDescent="0.3">
      <c r="A851" s="4" t="s">
        <v>1457</v>
      </c>
      <c r="B851" s="5">
        <v>45735</v>
      </c>
      <c r="C851" s="4" t="s">
        <v>214</v>
      </c>
      <c r="D851" s="4" t="s">
        <v>127</v>
      </c>
      <c r="E851" s="4" t="s">
        <v>29</v>
      </c>
      <c r="F851" s="4" t="s">
        <v>49</v>
      </c>
      <c r="G851" s="4" t="s">
        <v>24</v>
      </c>
      <c r="H851" s="4" t="s">
        <v>50</v>
      </c>
      <c r="I851" s="6">
        <v>5</v>
      </c>
      <c r="J851" s="6">
        <v>22170</v>
      </c>
      <c r="K851" s="6">
        <v>17541.75</v>
      </c>
      <c r="L851" s="6">
        <v>4628.25</v>
      </c>
      <c r="M851" s="11">
        <f>Table13[[#This Row],[Profit]]/Table13[[#This Row],[Sales]]</f>
        <v>0.20876184032476319</v>
      </c>
      <c r="N851" s="6" t="str">
        <f>TEXT(Table13[[#This Row],[Order Date]],"mmm")</f>
        <v>Mar</v>
      </c>
      <c r="O851" s="6">
        <f>YEAR(Table13[[#This Row],[Order Date]])</f>
        <v>2025</v>
      </c>
    </row>
    <row r="852" spans="1:15" x14ac:dyDescent="0.3">
      <c r="A852" s="4" t="s">
        <v>1458</v>
      </c>
      <c r="B852" s="5">
        <v>45852</v>
      </c>
      <c r="C852" s="4" t="s">
        <v>361</v>
      </c>
      <c r="D852" s="4" t="s">
        <v>453</v>
      </c>
      <c r="E852" s="4" t="s">
        <v>29</v>
      </c>
      <c r="F852" s="4" t="s">
        <v>49</v>
      </c>
      <c r="G852" s="4" t="s">
        <v>35</v>
      </c>
      <c r="H852" s="4" t="s">
        <v>36</v>
      </c>
      <c r="I852" s="6">
        <v>5</v>
      </c>
      <c r="J852" s="6">
        <v>22605</v>
      </c>
      <c r="K852" s="6">
        <v>15506.32</v>
      </c>
      <c r="L852" s="6">
        <v>7098.68</v>
      </c>
      <c r="M852" s="11">
        <f>Table13[[#This Row],[Profit]]/Table13[[#This Row],[Sales]]</f>
        <v>0.31403140898031412</v>
      </c>
      <c r="N852" s="6" t="str">
        <f>TEXT(Table13[[#This Row],[Order Date]],"mmm")</f>
        <v>Jul</v>
      </c>
      <c r="O852" s="6">
        <f>YEAR(Table13[[#This Row],[Order Date]])</f>
        <v>2025</v>
      </c>
    </row>
    <row r="853" spans="1:15" x14ac:dyDescent="0.3">
      <c r="A853" s="4" t="s">
        <v>1459</v>
      </c>
      <c r="B853" s="5">
        <v>45945</v>
      </c>
      <c r="C853" s="4" t="s">
        <v>92</v>
      </c>
      <c r="D853" s="4" t="s">
        <v>252</v>
      </c>
      <c r="E853" s="4" t="s">
        <v>29</v>
      </c>
      <c r="F853" s="4" t="s">
        <v>30</v>
      </c>
      <c r="G853" s="4" t="s">
        <v>35</v>
      </c>
      <c r="H853" s="4" t="s">
        <v>80</v>
      </c>
      <c r="I853" s="6">
        <v>4</v>
      </c>
      <c r="J853" s="6">
        <v>16512</v>
      </c>
      <c r="K853" s="6">
        <v>10408.85</v>
      </c>
      <c r="L853" s="6">
        <v>6103.15</v>
      </c>
      <c r="M853" s="11">
        <f>Table13[[#This Row],[Profit]]/Table13[[#This Row],[Sales]]</f>
        <v>0.36961906492248059</v>
      </c>
      <c r="N853" s="6" t="str">
        <f>TEXT(Table13[[#This Row],[Order Date]],"mmm")</f>
        <v>Oct</v>
      </c>
      <c r="O853" s="6">
        <f>YEAR(Table13[[#This Row],[Order Date]])</f>
        <v>2025</v>
      </c>
    </row>
    <row r="854" spans="1:15" x14ac:dyDescent="0.3">
      <c r="A854" s="4" t="s">
        <v>1460</v>
      </c>
      <c r="B854" s="5">
        <v>45446</v>
      </c>
      <c r="C854" s="4" t="s">
        <v>137</v>
      </c>
      <c r="D854" s="4" t="s">
        <v>252</v>
      </c>
      <c r="E854" s="4" t="s">
        <v>15</v>
      </c>
      <c r="F854" s="4" t="s">
        <v>90</v>
      </c>
      <c r="G854" s="4" t="s">
        <v>40</v>
      </c>
      <c r="H854" s="4" t="s">
        <v>56</v>
      </c>
      <c r="I854" s="6">
        <v>6</v>
      </c>
      <c r="J854" s="6">
        <v>24528</v>
      </c>
      <c r="K854" s="6">
        <v>14577.56</v>
      </c>
      <c r="L854" s="6">
        <v>9950.44</v>
      </c>
      <c r="M854" s="11">
        <f>Table13[[#This Row],[Profit]]/Table13[[#This Row],[Sales]]</f>
        <v>0.40567677756033921</v>
      </c>
      <c r="N854" s="6" t="str">
        <f>TEXT(Table13[[#This Row],[Order Date]],"mmm")</f>
        <v>Jun</v>
      </c>
      <c r="O854" s="6">
        <f>YEAR(Table13[[#This Row],[Order Date]])</f>
        <v>2024</v>
      </c>
    </row>
    <row r="855" spans="1:15" x14ac:dyDescent="0.3">
      <c r="A855" s="4" t="s">
        <v>1461</v>
      </c>
      <c r="B855" s="5">
        <v>45585</v>
      </c>
      <c r="C855" s="4" t="s">
        <v>154</v>
      </c>
      <c r="D855" s="4" t="s">
        <v>1462</v>
      </c>
      <c r="E855" s="4" t="s">
        <v>22</v>
      </c>
      <c r="F855" s="4" t="s">
        <v>67</v>
      </c>
      <c r="G855" s="4" t="s">
        <v>24</v>
      </c>
      <c r="H855" s="4" t="s">
        <v>50</v>
      </c>
      <c r="I855" s="6">
        <v>4</v>
      </c>
      <c r="J855" s="6">
        <v>14712</v>
      </c>
      <c r="K855" s="6">
        <v>9269.74</v>
      </c>
      <c r="L855" s="6">
        <v>5442.26</v>
      </c>
      <c r="M855" s="11">
        <f>Table13[[#This Row],[Profit]]/Table13[[#This Row],[Sales]]</f>
        <v>0.36991979336595976</v>
      </c>
      <c r="N855" s="6" t="str">
        <f>TEXT(Table13[[#This Row],[Order Date]],"mmm")</f>
        <v>Oct</v>
      </c>
      <c r="O855" s="6">
        <f>YEAR(Table13[[#This Row],[Order Date]])</f>
        <v>2024</v>
      </c>
    </row>
    <row r="856" spans="1:15" x14ac:dyDescent="0.3">
      <c r="A856" s="4" t="s">
        <v>1463</v>
      </c>
      <c r="B856" s="5">
        <v>45543</v>
      </c>
      <c r="C856" s="4" t="s">
        <v>490</v>
      </c>
      <c r="D856" s="4" t="s">
        <v>389</v>
      </c>
      <c r="E856" s="4" t="s">
        <v>29</v>
      </c>
      <c r="F856" s="4" t="s">
        <v>49</v>
      </c>
      <c r="G856" s="4" t="s">
        <v>40</v>
      </c>
      <c r="H856" s="4" t="s">
        <v>56</v>
      </c>
      <c r="I856" s="6">
        <v>2</v>
      </c>
      <c r="J856" s="6">
        <v>3056</v>
      </c>
      <c r="K856" s="6">
        <v>1856.75</v>
      </c>
      <c r="L856" s="6">
        <v>1199.25</v>
      </c>
      <c r="M856" s="11">
        <f>Table13[[#This Row],[Profit]]/Table13[[#This Row],[Sales]]</f>
        <v>0.39242473821989526</v>
      </c>
      <c r="N856" s="6" t="str">
        <f>TEXT(Table13[[#This Row],[Order Date]],"mmm")</f>
        <v>Sep</v>
      </c>
      <c r="O856" s="6">
        <f>YEAR(Table13[[#This Row],[Order Date]])</f>
        <v>2024</v>
      </c>
    </row>
    <row r="857" spans="1:15" x14ac:dyDescent="0.3">
      <c r="A857" s="4" t="s">
        <v>1464</v>
      </c>
      <c r="B857" s="5">
        <v>45571</v>
      </c>
      <c r="C857" s="4" t="s">
        <v>882</v>
      </c>
      <c r="D857" s="4" t="s">
        <v>174</v>
      </c>
      <c r="E857" s="4" t="s">
        <v>22</v>
      </c>
      <c r="F857" s="4" t="s">
        <v>79</v>
      </c>
      <c r="G857" s="4" t="s">
        <v>35</v>
      </c>
      <c r="H857" s="4" t="s">
        <v>36</v>
      </c>
      <c r="I857" s="6">
        <v>7</v>
      </c>
      <c r="J857" s="6">
        <v>4221</v>
      </c>
      <c r="K857" s="6">
        <v>2577.33</v>
      </c>
      <c r="L857" s="6">
        <v>1643.67</v>
      </c>
      <c r="M857" s="11">
        <f>Table13[[#This Row],[Profit]]/Table13[[#This Row],[Sales]]</f>
        <v>0.3894029850746269</v>
      </c>
      <c r="N857" s="6" t="str">
        <f>TEXT(Table13[[#This Row],[Order Date]],"mmm")</f>
        <v>Oct</v>
      </c>
      <c r="O857" s="6">
        <f>YEAR(Table13[[#This Row],[Order Date]])</f>
        <v>2024</v>
      </c>
    </row>
    <row r="858" spans="1:15" x14ac:dyDescent="0.3">
      <c r="A858" s="4" t="s">
        <v>1465</v>
      </c>
      <c r="B858" s="5">
        <v>45335</v>
      </c>
      <c r="C858" s="4" t="s">
        <v>212</v>
      </c>
      <c r="D858" s="4" t="s">
        <v>524</v>
      </c>
      <c r="E858" s="4" t="s">
        <v>54</v>
      </c>
      <c r="F858" s="4" t="s">
        <v>55</v>
      </c>
      <c r="G858" s="4" t="s">
        <v>17</v>
      </c>
      <c r="H858" s="4" t="s">
        <v>31</v>
      </c>
      <c r="I858" s="6">
        <v>9</v>
      </c>
      <c r="J858" s="6">
        <v>15669</v>
      </c>
      <c r="K858" s="6">
        <v>11646.58</v>
      </c>
      <c r="L858" s="6">
        <v>4022.42</v>
      </c>
      <c r="M858" s="11">
        <f>Table13[[#This Row],[Profit]]/Table13[[#This Row],[Sales]]</f>
        <v>0.25671197906694748</v>
      </c>
      <c r="N858" s="6" t="str">
        <f>TEXT(Table13[[#This Row],[Order Date]],"mmm")</f>
        <v>Feb</v>
      </c>
      <c r="O858" s="6">
        <f>YEAR(Table13[[#This Row],[Order Date]])</f>
        <v>2024</v>
      </c>
    </row>
    <row r="859" spans="1:15" x14ac:dyDescent="0.3">
      <c r="A859" s="4" t="s">
        <v>1466</v>
      </c>
      <c r="B859" s="5">
        <v>45708</v>
      </c>
      <c r="C859" s="4" t="s">
        <v>47</v>
      </c>
      <c r="D859" s="4" t="s">
        <v>439</v>
      </c>
      <c r="E859" s="4" t="s">
        <v>15</v>
      </c>
      <c r="F859" s="4" t="s">
        <v>16</v>
      </c>
      <c r="G859" s="4" t="s">
        <v>40</v>
      </c>
      <c r="H859" s="4" t="s">
        <v>41</v>
      </c>
      <c r="I859" s="6">
        <v>10</v>
      </c>
      <c r="J859" s="6">
        <v>27410</v>
      </c>
      <c r="K859" s="6">
        <v>22206.25</v>
      </c>
      <c r="L859" s="6">
        <v>5203.75</v>
      </c>
      <c r="M859" s="11">
        <f>Table13[[#This Row],[Profit]]/Table13[[#This Row],[Sales]]</f>
        <v>0.18984859540313753</v>
      </c>
      <c r="N859" s="6" t="str">
        <f>TEXT(Table13[[#This Row],[Order Date]],"mmm")</f>
        <v>Feb</v>
      </c>
      <c r="O859" s="6">
        <f>YEAR(Table13[[#This Row],[Order Date]])</f>
        <v>2025</v>
      </c>
    </row>
    <row r="860" spans="1:15" x14ac:dyDescent="0.3">
      <c r="A860" s="4" t="s">
        <v>1467</v>
      </c>
      <c r="B860" s="5">
        <v>45804</v>
      </c>
      <c r="C860" s="4" t="s">
        <v>245</v>
      </c>
      <c r="D860" s="4" t="s">
        <v>135</v>
      </c>
      <c r="E860" s="4" t="s">
        <v>22</v>
      </c>
      <c r="F860" s="4" t="s">
        <v>79</v>
      </c>
      <c r="G860" s="4" t="s">
        <v>24</v>
      </c>
      <c r="H860" s="4" t="s">
        <v>166</v>
      </c>
      <c r="I860" s="6">
        <v>4</v>
      </c>
      <c r="J860" s="6">
        <v>4864</v>
      </c>
      <c r="K860" s="6">
        <v>3508.36</v>
      </c>
      <c r="L860" s="6">
        <v>1355.64</v>
      </c>
      <c r="M860" s="11">
        <f>Table13[[#This Row],[Profit]]/Table13[[#This Row],[Sales]]</f>
        <v>0.27870888157894741</v>
      </c>
      <c r="N860" s="6" t="str">
        <f>TEXT(Table13[[#This Row],[Order Date]],"mmm")</f>
        <v>May</v>
      </c>
      <c r="O860" s="6">
        <f>YEAR(Table13[[#This Row],[Order Date]])</f>
        <v>2025</v>
      </c>
    </row>
    <row r="861" spans="1:15" x14ac:dyDescent="0.3">
      <c r="A861" s="4" t="s">
        <v>1468</v>
      </c>
      <c r="B861" s="5">
        <v>45612</v>
      </c>
      <c r="C861" s="4" t="s">
        <v>984</v>
      </c>
      <c r="D861" s="4" t="s">
        <v>221</v>
      </c>
      <c r="E861" s="4" t="s">
        <v>54</v>
      </c>
      <c r="F861" s="4" t="s">
        <v>55</v>
      </c>
      <c r="G861" s="4" t="s">
        <v>24</v>
      </c>
      <c r="H861" s="4" t="s">
        <v>50</v>
      </c>
      <c r="I861" s="6">
        <v>4</v>
      </c>
      <c r="J861" s="6">
        <v>5204</v>
      </c>
      <c r="K861" s="6">
        <v>4069.31</v>
      </c>
      <c r="L861" s="6">
        <v>1134.69</v>
      </c>
      <c r="M861" s="11">
        <f>Table13[[#This Row],[Profit]]/Table13[[#This Row],[Sales]]</f>
        <v>0.21804189085318987</v>
      </c>
      <c r="N861" s="6" t="str">
        <f>TEXT(Table13[[#This Row],[Order Date]],"mmm")</f>
        <v>Nov</v>
      </c>
      <c r="O861" s="6">
        <f>YEAR(Table13[[#This Row],[Order Date]])</f>
        <v>2024</v>
      </c>
    </row>
    <row r="862" spans="1:15" x14ac:dyDescent="0.3">
      <c r="A862" s="4" t="s">
        <v>1469</v>
      </c>
      <c r="B862" s="5">
        <v>45401</v>
      </c>
      <c r="C862" s="4" t="s">
        <v>556</v>
      </c>
      <c r="D862" s="4" t="s">
        <v>141</v>
      </c>
      <c r="E862" s="4" t="s">
        <v>22</v>
      </c>
      <c r="F862" s="4" t="s">
        <v>79</v>
      </c>
      <c r="G862" s="4" t="s">
        <v>17</v>
      </c>
      <c r="H862" s="4" t="s">
        <v>18</v>
      </c>
      <c r="I862" s="6">
        <v>4</v>
      </c>
      <c r="J862" s="6">
        <v>15056</v>
      </c>
      <c r="K862" s="6">
        <v>9265.5</v>
      </c>
      <c r="L862" s="6">
        <v>5790.5</v>
      </c>
      <c r="M862" s="11">
        <f>Table13[[#This Row],[Profit]]/Table13[[#This Row],[Sales]]</f>
        <v>0.38459750265674814</v>
      </c>
      <c r="N862" s="6" t="str">
        <f>TEXT(Table13[[#This Row],[Order Date]],"mmm")</f>
        <v>Apr</v>
      </c>
      <c r="O862" s="6">
        <f>YEAR(Table13[[#This Row],[Order Date]])</f>
        <v>2024</v>
      </c>
    </row>
    <row r="863" spans="1:15" x14ac:dyDescent="0.3">
      <c r="A863" s="4" t="s">
        <v>1470</v>
      </c>
      <c r="B863" s="5">
        <v>45675</v>
      </c>
      <c r="C863" s="4" t="s">
        <v>1430</v>
      </c>
      <c r="D863" s="4" t="s">
        <v>1471</v>
      </c>
      <c r="E863" s="4" t="s">
        <v>54</v>
      </c>
      <c r="F863" s="4" t="s">
        <v>55</v>
      </c>
      <c r="G863" s="4" t="s">
        <v>35</v>
      </c>
      <c r="H863" s="4" t="s">
        <v>36</v>
      </c>
      <c r="I863" s="6">
        <v>5</v>
      </c>
      <c r="J863" s="6">
        <v>3790</v>
      </c>
      <c r="K863" s="6">
        <v>2642.04</v>
      </c>
      <c r="L863" s="6">
        <v>1147.96</v>
      </c>
      <c r="M863" s="11">
        <f>Table13[[#This Row],[Profit]]/Table13[[#This Row],[Sales]]</f>
        <v>0.30289182058047492</v>
      </c>
      <c r="N863" s="6" t="str">
        <f>TEXT(Table13[[#This Row],[Order Date]],"mmm")</f>
        <v>Jan</v>
      </c>
      <c r="O863" s="6">
        <f>YEAR(Table13[[#This Row],[Order Date]])</f>
        <v>2025</v>
      </c>
    </row>
    <row r="864" spans="1:15" x14ac:dyDescent="0.3">
      <c r="A864" s="4" t="s">
        <v>1472</v>
      </c>
      <c r="B864" s="5">
        <v>45440</v>
      </c>
      <c r="C864" s="4" t="s">
        <v>649</v>
      </c>
      <c r="D864" s="4" t="s">
        <v>198</v>
      </c>
      <c r="E864" s="4" t="s">
        <v>22</v>
      </c>
      <c r="F864" s="4" t="s">
        <v>67</v>
      </c>
      <c r="G864" s="4" t="s">
        <v>17</v>
      </c>
      <c r="H864" s="4" t="s">
        <v>31</v>
      </c>
      <c r="I864" s="6">
        <v>4</v>
      </c>
      <c r="J864" s="6">
        <v>10300</v>
      </c>
      <c r="K864" s="6">
        <v>8382.4500000000007</v>
      </c>
      <c r="L864" s="6">
        <v>1917.55</v>
      </c>
      <c r="M864" s="11">
        <f>Table13[[#This Row],[Profit]]/Table13[[#This Row],[Sales]]</f>
        <v>0.18616990291262137</v>
      </c>
      <c r="N864" s="6" t="str">
        <f>TEXT(Table13[[#This Row],[Order Date]],"mmm")</f>
        <v>May</v>
      </c>
      <c r="O864" s="6">
        <f>YEAR(Table13[[#This Row],[Order Date]])</f>
        <v>2024</v>
      </c>
    </row>
    <row r="865" spans="1:15" x14ac:dyDescent="0.3">
      <c r="A865" s="4" t="s">
        <v>1473</v>
      </c>
      <c r="B865" s="5">
        <v>45970</v>
      </c>
      <c r="C865" s="4" t="s">
        <v>771</v>
      </c>
      <c r="D865" s="4" t="s">
        <v>89</v>
      </c>
      <c r="E865" s="4" t="s">
        <v>54</v>
      </c>
      <c r="F865" s="4" t="s">
        <v>55</v>
      </c>
      <c r="G865" s="4" t="s">
        <v>24</v>
      </c>
      <c r="H865" s="4" t="s">
        <v>25</v>
      </c>
      <c r="I865" s="6">
        <v>10</v>
      </c>
      <c r="J865" s="6">
        <v>5850</v>
      </c>
      <c r="K865" s="6">
        <v>4694.29</v>
      </c>
      <c r="L865" s="6">
        <v>1155.71</v>
      </c>
      <c r="M865" s="11">
        <f>Table13[[#This Row],[Profit]]/Table13[[#This Row],[Sales]]</f>
        <v>0.19755726495726497</v>
      </c>
      <c r="N865" s="6" t="str">
        <f>TEXT(Table13[[#This Row],[Order Date]],"mmm")</f>
        <v>Nov</v>
      </c>
      <c r="O865" s="6">
        <f>YEAR(Table13[[#This Row],[Order Date]])</f>
        <v>2025</v>
      </c>
    </row>
    <row r="866" spans="1:15" x14ac:dyDescent="0.3">
      <c r="A866" s="4" t="s">
        <v>1474</v>
      </c>
      <c r="B866" s="5">
        <v>45993</v>
      </c>
      <c r="C866" s="4" t="s">
        <v>427</v>
      </c>
      <c r="D866" s="4" t="s">
        <v>946</v>
      </c>
      <c r="E866" s="4" t="s">
        <v>54</v>
      </c>
      <c r="F866" s="4" t="s">
        <v>71</v>
      </c>
      <c r="G866" s="4" t="s">
        <v>35</v>
      </c>
      <c r="H866" s="4" t="s">
        <v>36</v>
      </c>
      <c r="I866" s="6">
        <v>5</v>
      </c>
      <c r="J866" s="6">
        <v>16360</v>
      </c>
      <c r="K866" s="6">
        <v>13430.7</v>
      </c>
      <c r="L866" s="6">
        <v>2929.3</v>
      </c>
      <c r="M866" s="11">
        <f>Table13[[#This Row],[Profit]]/Table13[[#This Row],[Sales]]</f>
        <v>0.17905256723716381</v>
      </c>
      <c r="N866" s="6" t="str">
        <f>TEXT(Table13[[#This Row],[Order Date]],"mmm")</f>
        <v>Dec</v>
      </c>
      <c r="O866" s="6">
        <f>YEAR(Table13[[#This Row],[Order Date]])</f>
        <v>2025</v>
      </c>
    </row>
    <row r="867" spans="1:15" x14ac:dyDescent="0.3">
      <c r="A867" s="4" t="s">
        <v>1475</v>
      </c>
      <c r="B867" s="5">
        <v>45553</v>
      </c>
      <c r="C867" s="4" t="s">
        <v>1414</v>
      </c>
      <c r="D867" s="4" t="s">
        <v>439</v>
      </c>
      <c r="E867" s="4" t="s">
        <v>29</v>
      </c>
      <c r="F867" s="4" t="s">
        <v>49</v>
      </c>
      <c r="G867" s="4" t="s">
        <v>35</v>
      </c>
      <c r="H867" s="4" t="s">
        <v>36</v>
      </c>
      <c r="I867" s="6">
        <v>1</v>
      </c>
      <c r="J867" s="6">
        <v>3519</v>
      </c>
      <c r="K867" s="6">
        <v>2914.62</v>
      </c>
      <c r="L867" s="6">
        <v>604.38</v>
      </c>
      <c r="M867" s="11">
        <f>Table13[[#This Row],[Profit]]/Table13[[#This Row],[Sales]]</f>
        <v>0.17174765558397273</v>
      </c>
      <c r="N867" s="6" t="str">
        <f>TEXT(Table13[[#This Row],[Order Date]],"mmm")</f>
        <v>Sep</v>
      </c>
      <c r="O867" s="6">
        <f>YEAR(Table13[[#This Row],[Order Date]])</f>
        <v>2024</v>
      </c>
    </row>
    <row r="868" spans="1:15" x14ac:dyDescent="0.3">
      <c r="A868" s="4" t="s">
        <v>1476</v>
      </c>
      <c r="B868" s="5">
        <v>45951</v>
      </c>
      <c r="C868" s="4" t="s">
        <v>162</v>
      </c>
      <c r="D868" s="4" t="s">
        <v>1153</v>
      </c>
      <c r="E868" s="4" t="s">
        <v>29</v>
      </c>
      <c r="F868" s="4" t="s">
        <v>49</v>
      </c>
      <c r="G868" s="4" t="s">
        <v>40</v>
      </c>
      <c r="H868" s="4" t="s">
        <v>56</v>
      </c>
      <c r="I868" s="6">
        <v>3</v>
      </c>
      <c r="J868" s="6">
        <v>11685</v>
      </c>
      <c r="K868" s="6">
        <v>8639.9599999999991</v>
      </c>
      <c r="L868" s="6">
        <v>3045.04</v>
      </c>
      <c r="M868" s="11">
        <f>Table13[[#This Row],[Profit]]/Table13[[#This Row],[Sales]]</f>
        <v>0.26059392383397517</v>
      </c>
      <c r="N868" s="6" t="str">
        <f>TEXT(Table13[[#This Row],[Order Date]],"mmm")</f>
        <v>Oct</v>
      </c>
      <c r="O868" s="6">
        <f>YEAR(Table13[[#This Row],[Order Date]])</f>
        <v>2025</v>
      </c>
    </row>
    <row r="869" spans="1:15" x14ac:dyDescent="0.3">
      <c r="A869" s="4" t="s">
        <v>1477</v>
      </c>
      <c r="B869" s="5">
        <v>45632</v>
      </c>
      <c r="C869" s="4" t="s">
        <v>95</v>
      </c>
      <c r="D869" s="4" t="s">
        <v>1117</v>
      </c>
      <c r="E869" s="4" t="s">
        <v>54</v>
      </c>
      <c r="F869" s="4" t="s">
        <v>142</v>
      </c>
      <c r="G869" s="4" t="s">
        <v>35</v>
      </c>
      <c r="H869" s="4" t="s">
        <v>80</v>
      </c>
      <c r="I869" s="6">
        <v>8</v>
      </c>
      <c r="J869" s="6">
        <v>29456</v>
      </c>
      <c r="K869" s="6">
        <v>24388.07</v>
      </c>
      <c r="L869" s="6">
        <v>5067.93</v>
      </c>
      <c r="M869" s="11">
        <f>Table13[[#This Row],[Profit]]/Table13[[#This Row],[Sales]]</f>
        <v>0.17205085551330798</v>
      </c>
      <c r="N869" s="6" t="str">
        <f>TEXT(Table13[[#This Row],[Order Date]],"mmm")</f>
        <v>Dec</v>
      </c>
      <c r="O869" s="6">
        <f>YEAR(Table13[[#This Row],[Order Date]])</f>
        <v>2024</v>
      </c>
    </row>
    <row r="870" spans="1:15" x14ac:dyDescent="0.3">
      <c r="A870" s="4" t="s">
        <v>1478</v>
      </c>
      <c r="B870" s="5">
        <v>45908</v>
      </c>
      <c r="C870" s="4" t="s">
        <v>969</v>
      </c>
      <c r="D870" s="4" t="s">
        <v>232</v>
      </c>
      <c r="E870" s="4" t="s">
        <v>29</v>
      </c>
      <c r="F870" s="4" t="s">
        <v>30</v>
      </c>
      <c r="G870" s="4" t="s">
        <v>40</v>
      </c>
      <c r="H870" s="4" t="s">
        <v>99</v>
      </c>
      <c r="I870" s="6">
        <v>9</v>
      </c>
      <c r="J870" s="6">
        <v>7587</v>
      </c>
      <c r="K870" s="6">
        <v>4973.71</v>
      </c>
      <c r="L870" s="6">
        <v>2613.29</v>
      </c>
      <c r="M870" s="11">
        <f>Table13[[#This Row],[Profit]]/Table13[[#This Row],[Sales]]</f>
        <v>0.3444431264004218</v>
      </c>
      <c r="N870" s="6" t="str">
        <f>TEXT(Table13[[#This Row],[Order Date]],"mmm")</f>
        <v>Sep</v>
      </c>
      <c r="O870" s="6">
        <f>YEAR(Table13[[#This Row],[Order Date]])</f>
        <v>2025</v>
      </c>
    </row>
    <row r="871" spans="1:15" x14ac:dyDescent="0.3">
      <c r="A871" s="4" t="s">
        <v>1479</v>
      </c>
      <c r="B871" s="5">
        <v>45948</v>
      </c>
      <c r="C871" s="4" t="s">
        <v>882</v>
      </c>
      <c r="D871" s="4" t="s">
        <v>338</v>
      </c>
      <c r="E871" s="4" t="s">
        <v>22</v>
      </c>
      <c r="F871" s="4" t="s">
        <v>79</v>
      </c>
      <c r="G871" s="4" t="s">
        <v>24</v>
      </c>
      <c r="H871" s="4" t="s">
        <v>25</v>
      </c>
      <c r="I871" s="6">
        <v>1</v>
      </c>
      <c r="J871" s="6">
        <v>1805</v>
      </c>
      <c r="K871" s="6">
        <v>1333.98</v>
      </c>
      <c r="L871" s="6">
        <v>471.02</v>
      </c>
      <c r="M871" s="11">
        <f>Table13[[#This Row],[Profit]]/Table13[[#This Row],[Sales]]</f>
        <v>0.26095290858725761</v>
      </c>
      <c r="N871" s="6" t="str">
        <f>TEXT(Table13[[#This Row],[Order Date]],"mmm")</f>
        <v>Oct</v>
      </c>
      <c r="O871" s="6">
        <f>YEAR(Table13[[#This Row],[Order Date]])</f>
        <v>2025</v>
      </c>
    </row>
    <row r="872" spans="1:15" x14ac:dyDescent="0.3">
      <c r="A872" s="4" t="s">
        <v>1480</v>
      </c>
      <c r="B872" s="5">
        <v>45405</v>
      </c>
      <c r="C872" s="4" t="s">
        <v>129</v>
      </c>
      <c r="D872" s="4" t="s">
        <v>114</v>
      </c>
      <c r="E872" s="4" t="s">
        <v>22</v>
      </c>
      <c r="F872" s="4" t="s">
        <v>23</v>
      </c>
      <c r="G872" s="4" t="s">
        <v>17</v>
      </c>
      <c r="H872" s="4" t="s">
        <v>31</v>
      </c>
      <c r="I872" s="6">
        <v>5</v>
      </c>
      <c r="J872" s="6">
        <v>14350</v>
      </c>
      <c r="K872" s="6">
        <v>10371.36</v>
      </c>
      <c r="L872" s="6">
        <v>3978.64</v>
      </c>
      <c r="M872" s="11">
        <f>Table13[[#This Row],[Profit]]/Table13[[#This Row],[Sales]]</f>
        <v>0.27725714285714287</v>
      </c>
      <c r="N872" s="6" t="str">
        <f>TEXT(Table13[[#This Row],[Order Date]],"mmm")</f>
        <v>Apr</v>
      </c>
      <c r="O872" s="6">
        <f>YEAR(Table13[[#This Row],[Order Date]])</f>
        <v>2024</v>
      </c>
    </row>
    <row r="873" spans="1:15" x14ac:dyDescent="0.3">
      <c r="A873" s="4" t="s">
        <v>1481</v>
      </c>
      <c r="B873" s="5">
        <v>45428</v>
      </c>
      <c r="C873" s="4" t="s">
        <v>940</v>
      </c>
      <c r="D873" s="4" t="s">
        <v>466</v>
      </c>
      <c r="E873" s="4" t="s">
        <v>29</v>
      </c>
      <c r="F873" s="4" t="s">
        <v>30</v>
      </c>
      <c r="G873" s="4" t="s">
        <v>17</v>
      </c>
      <c r="H873" s="4" t="s">
        <v>31</v>
      </c>
      <c r="I873" s="6">
        <v>7</v>
      </c>
      <c r="J873" s="6">
        <v>20412</v>
      </c>
      <c r="K873" s="6">
        <v>13991.34</v>
      </c>
      <c r="L873" s="6">
        <v>6420.66</v>
      </c>
      <c r="M873" s="11">
        <f>Table13[[#This Row],[Profit]]/Table13[[#This Row],[Sales]]</f>
        <v>0.31455320399764841</v>
      </c>
      <c r="N873" s="6" t="str">
        <f>TEXT(Table13[[#This Row],[Order Date]],"mmm")</f>
        <v>May</v>
      </c>
      <c r="O873" s="6">
        <f>YEAR(Table13[[#This Row],[Order Date]])</f>
        <v>2024</v>
      </c>
    </row>
    <row r="874" spans="1:15" x14ac:dyDescent="0.3">
      <c r="A874" s="4" t="s">
        <v>1482</v>
      </c>
      <c r="B874" s="5">
        <v>45694</v>
      </c>
      <c r="C874" s="4" t="s">
        <v>705</v>
      </c>
      <c r="D874" s="4" t="s">
        <v>931</v>
      </c>
      <c r="E874" s="4" t="s">
        <v>54</v>
      </c>
      <c r="F874" s="4" t="s">
        <v>55</v>
      </c>
      <c r="G874" s="4" t="s">
        <v>40</v>
      </c>
      <c r="H874" s="4" t="s">
        <v>56</v>
      </c>
      <c r="I874" s="6">
        <v>2</v>
      </c>
      <c r="J874" s="6">
        <v>7390</v>
      </c>
      <c r="K874" s="6">
        <v>4879.47</v>
      </c>
      <c r="L874" s="6">
        <v>2510.5300000000002</v>
      </c>
      <c r="M874" s="11">
        <f>Table13[[#This Row],[Profit]]/Table13[[#This Row],[Sales]]</f>
        <v>0.33971989174560219</v>
      </c>
      <c r="N874" s="6" t="str">
        <f>TEXT(Table13[[#This Row],[Order Date]],"mmm")</f>
        <v>Feb</v>
      </c>
      <c r="O874" s="6">
        <f>YEAR(Table13[[#This Row],[Order Date]])</f>
        <v>2025</v>
      </c>
    </row>
    <row r="875" spans="1:15" x14ac:dyDescent="0.3">
      <c r="A875" s="4" t="s">
        <v>1483</v>
      </c>
      <c r="B875" s="5">
        <v>45765</v>
      </c>
      <c r="C875" s="4" t="s">
        <v>301</v>
      </c>
      <c r="D875" s="4" t="s">
        <v>83</v>
      </c>
      <c r="E875" s="4" t="s">
        <v>29</v>
      </c>
      <c r="F875" s="4" t="s">
        <v>102</v>
      </c>
      <c r="G875" s="4" t="s">
        <v>24</v>
      </c>
      <c r="H875" s="4" t="s">
        <v>25</v>
      </c>
      <c r="I875" s="6">
        <v>9</v>
      </c>
      <c r="J875" s="6">
        <v>19557</v>
      </c>
      <c r="K875" s="6">
        <v>16076.9</v>
      </c>
      <c r="L875" s="6">
        <v>3480.1</v>
      </c>
      <c r="M875" s="11">
        <f>Table13[[#This Row],[Profit]]/Table13[[#This Row],[Sales]]</f>
        <v>0.17794651531420974</v>
      </c>
      <c r="N875" s="6" t="str">
        <f>TEXT(Table13[[#This Row],[Order Date]],"mmm")</f>
        <v>Apr</v>
      </c>
      <c r="O875" s="6">
        <f>YEAR(Table13[[#This Row],[Order Date]])</f>
        <v>2025</v>
      </c>
    </row>
    <row r="876" spans="1:15" x14ac:dyDescent="0.3">
      <c r="A876" s="4" t="s">
        <v>1484</v>
      </c>
      <c r="B876" s="5">
        <v>45444</v>
      </c>
      <c r="C876" s="4" t="s">
        <v>890</v>
      </c>
      <c r="D876" s="4" t="s">
        <v>431</v>
      </c>
      <c r="E876" s="4" t="s">
        <v>29</v>
      </c>
      <c r="F876" s="4" t="s">
        <v>102</v>
      </c>
      <c r="G876" s="4" t="s">
        <v>35</v>
      </c>
      <c r="H876" s="4" t="s">
        <v>36</v>
      </c>
      <c r="I876" s="6">
        <v>10</v>
      </c>
      <c r="J876" s="6">
        <v>38130</v>
      </c>
      <c r="K876" s="6">
        <v>27839.39</v>
      </c>
      <c r="L876" s="6">
        <v>10290.61</v>
      </c>
      <c r="M876" s="11">
        <f>Table13[[#This Row],[Profit]]/Table13[[#This Row],[Sales]]</f>
        <v>0.26988224495148178</v>
      </c>
      <c r="N876" s="6" t="str">
        <f>TEXT(Table13[[#This Row],[Order Date]],"mmm")</f>
        <v>Jun</v>
      </c>
      <c r="O876" s="6">
        <f>YEAR(Table13[[#This Row],[Order Date]])</f>
        <v>2024</v>
      </c>
    </row>
    <row r="877" spans="1:15" x14ac:dyDescent="0.3">
      <c r="A877" s="4" t="s">
        <v>1485</v>
      </c>
      <c r="B877" s="5">
        <v>45756</v>
      </c>
      <c r="C877" s="4" t="s">
        <v>200</v>
      </c>
      <c r="D877" s="4" t="s">
        <v>973</v>
      </c>
      <c r="E877" s="4" t="s">
        <v>29</v>
      </c>
      <c r="F877" s="4" t="s">
        <v>30</v>
      </c>
      <c r="G877" s="4" t="s">
        <v>24</v>
      </c>
      <c r="H877" s="4" t="s">
        <v>50</v>
      </c>
      <c r="I877" s="6">
        <v>1</v>
      </c>
      <c r="J877" s="6">
        <v>4607</v>
      </c>
      <c r="K877" s="6">
        <v>3135.28</v>
      </c>
      <c r="L877" s="6">
        <v>1471.72</v>
      </c>
      <c r="M877" s="11">
        <f>Table13[[#This Row],[Profit]]/Table13[[#This Row],[Sales]]</f>
        <v>0.31945300629476886</v>
      </c>
      <c r="N877" s="6" t="str">
        <f>TEXT(Table13[[#This Row],[Order Date]],"mmm")</f>
        <v>Apr</v>
      </c>
      <c r="O877" s="6">
        <f>YEAR(Table13[[#This Row],[Order Date]])</f>
        <v>2025</v>
      </c>
    </row>
    <row r="878" spans="1:15" x14ac:dyDescent="0.3">
      <c r="A878" s="4" t="s">
        <v>1486</v>
      </c>
      <c r="B878" s="5">
        <v>45798</v>
      </c>
      <c r="C878" s="4" t="s">
        <v>344</v>
      </c>
      <c r="D878" s="4" t="s">
        <v>566</v>
      </c>
      <c r="E878" s="4" t="s">
        <v>29</v>
      </c>
      <c r="F878" s="4" t="s">
        <v>30</v>
      </c>
      <c r="G878" s="4" t="s">
        <v>40</v>
      </c>
      <c r="H878" s="4" t="s">
        <v>56</v>
      </c>
      <c r="I878" s="6">
        <v>4</v>
      </c>
      <c r="J878" s="6">
        <v>9920</v>
      </c>
      <c r="K878" s="6">
        <v>6312.97</v>
      </c>
      <c r="L878" s="6">
        <v>3607.03</v>
      </c>
      <c r="M878" s="11">
        <f>Table13[[#This Row],[Profit]]/Table13[[#This Row],[Sales]]</f>
        <v>0.36361189516129033</v>
      </c>
      <c r="N878" s="6" t="str">
        <f>TEXT(Table13[[#This Row],[Order Date]],"mmm")</f>
        <v>May</v>
      </c>
      <c r="O878" s="6">
        <f>YEAR(Table13[[#This Row],[Order Date]])</f>
        <v>2025</v>
      </c>
    </row>
    <row r="879" spans="1:15" x14ac:dyDescent="0.3">
      <c r="A879" s="4" t="s">
        <v>1487</v>
      </c>
      <c r="B879" s="5">
        <v>45485</v>
      </c>
      <c r="C879" s="4" t="s">
        <v>584</v>
      </c>
      <c r="D879" s="4" t="s">
        <v>436</v>
      </c>
      <c r="E879" s="4" t="s">
        <v>22</v>
      </c>
      <c r="F879" s="4" t="s">
        <v>23</v>
      </c>
      <c r="G879" s="4" t="s">
        <v>17</v>
      </c>
      <c r="H879" s="4" t="s">
        <v>72</v>
      </c>
      <c r="I879" s="6">
        <v>4</v>
      </c>
      <c r="J879" s="6">
        <v>10472</v>
      </c>
      <c r="K879" s="6">
        <v>8042.63</v>
      </c>
      <c r="L879" s="6">
        <v>2429.37</v>
      </c>
      <c r="M879" s="11">
        <f>Table13[[#This Row],[Profit]]/Table13[[#This Row],[Sales]]</f>
        <v>0.23198720397249809</v>
      </c>
      <c r="N879" s="6" t="str">
        <f>TEXT(Table13[[#This Row],[Order Date]],"mmm")</f>
        <v>Jul</v>
      </c>
      <c r="O879" s="6">
        <f>YEAR(Table13[[#This Row],[Order Date]])</f>
        <v>2024</v>
      </c>
    </row>
    <row r="880" spans="1:15" x14ac:dyDescent="0.3">
      <c r="A880" s="4" t="s">
        <v>1488</v>
      </c>
      <c r="B880" s="5">
        <v>45753</v>
      </c>
      <c r="C880" s="4" t="s">
        <v>959</v>
      </c>
      <c r="D880" s="4" t="s">
        <v>394</v>
      </c>
      <c r="E880" s="4" t="s">
        <v>22</v>
      </c>
      <c r="F880" s="4" t="s">
        <v>23</v>
      </c>
      <c r="G880" s="4" t="s">
        <v>24</v>
      </c>
      <c r="H880" s="4" t="s">
        <v>25</v>
      </c>
      <c r="I880" s="6">
        <v>5</v>
      </c>
      <c r="J880" s="6">
        <v>12220</v>
      </c>
      <c r="K880" s="6">
        <v>7584.29</v>
      </c>
      <c r="L880" s="6">
        <v>4635.71</v>
      </c>
      <c r="M880" s="11">
        <f>Table13[[#This Row],[Profit]]/Table13[[#This Row],[Sales]]</f>
        <v>0.37935433715220951</v>
      </c>
      <c r="N880" s="6" t="str">
        <f>TEXT(Table13[[#This Row],[Order Date]],"mmm")</f>
        <v>Apr</v>
      </c>
      <c r="O880" s="6">
        <f>YEAR(Table13[[#This Row],[Order Date]])</f>
        <v>2025</v>
      </c>
    </row>
    <row r="881" spans="1:15" x14ac:dyDescent="0.3">
      <c r="A881" s="4" t="s">
        <v>1489</v>
      </c>
      <c r="B881" s="5">
        <v>46001</v>
      </c>
      <c r="C881" s="4" t="s">
        <v>242</v>
      </c>
      <c r="D881" s="4" t="s">
        <v>62</v>
      </c>
      <c r="E881" s="4" t="s">
        <v>22</v>
      </c>
      <c r="F881" s="4" t="s">
        <v>23</v>
      </c>
      <c r="G881" s="4" t="s">
        <v>24</v>
      </c>
      <c r="H881" s="4" t="s">
        <v>25</v>
      </c>
      <c r="I881" s="6">
        <v>8</v>
      </c>
      <c r="J881" s="6">
        <v>11128</v>
      </c>
      <c r="K881" s="6">
        <v>9029.6299999999992</v>
      </c>
      <c r="L881" s="6">
        <v>2098.37</v>
      </c>
      <c r="M881" s="11">
        <f>Table13[[#This Row],[Profit]]/Table13[[#This Row],[Sales]]</f>
        <v>0.18856667864845433</v>
      </c>
      <c r="N881" s="6" t="str">
        <f>TEXT(Table13[[#This Row],[Order Date]],"mmm")</f>
        <v>Dec</v>
      </c>
      <c r="O881" s="6">
        <f>YEAR(Table13[[#This Row],[Order Date]])</f>
        <v>2025</v>
      </c>
    </row>
    <row r="882" spans="1:15" x14ac:dyDescent="0.3">
      <c r="A882" s="4" t="s">
        <v>1490</v>
      </c>
      <c r="B882" s="5">
        <v>45862</v>
      </c>
      <c r="C882" s="4" t="s">
        <v>120</v>
      </c>
      <c r="D882" s="4" t="s">
        <v>325</v>
      </c>
      <c r="E882" s="4" t="s">
        <v>22</v>
      </c>
      <c r="F882" s="4" t="s">
        <v>79</v>
      </c>
      <c r="G882" s="4" t="s">
        <v>35</v>
      </c>
      <c r="H882" s="4" t="s">
        <v>36</v>
      </c>
      <c r="I882" s="6">
        <v>10</v>
      </c>
      <c r="J882" s="6">
        <v>23990</v>
      </c>
      <c r="K882" s="6">
        <v>13720.28</v>
      </c>
      <c r="L882" s="6">
        <v>10269.719999999999</v>
      </c>
      <c r="M882" s="11">
        <f>Table13[[#This Row],[Profit]]/Table13[[#This Row],[Sales]]</f>
        <v>0.42808336807002917</v>
      </c>
      <c r="N882" s="6" t="str">
        <f>TEXT(Table13[[#This Row],[Order Date]],"mmm")</f>
        <v>Jul</v>
      </c>
      <c r="O882" s="6">
        <f>YEAR(Table13[[#This Row],[Order Date]])</f>
        <v>2025</v>
      </c>
    </row>
    <row r="883" spans="1:15" x14ac:dyDescent="0.3">
      <c r="A883" s="4" t="s">
        <v>1491</v>
      </c>
      <c r="B883" s="5">
        <v>45808</v>
      </c>
      <c r="C883" s="4" t="s">
        <v>344</v>
      </c>
      <c r="D883" s="4" t="s">
        <v>1350</v>
      </c>
      <c r="E883" s="4" t="s">
        <v>54</v>
      </c>
      <c r="F883" s="4" t="s">
        <v>142</v>
      </c>
      <c r="G883" s="4" t="s">
        <v>35</v>
      </c>
      <c r="H883" s="4" t="s">
        <v>80</v>
      </c>
      <c r="I883" s="6">
        <v>6</v>
      </c>
      <c r="J883" s="6">
        <v>4032</v>
      </c>
      <c r="K883" s="6">
        <v>2224.08</v>
      </c>
      <c r="L883" s="6">
        <v>1807.92</v>
      </c>
      <c r="M883" s="11">
        <f>Table13[[#This Row],[Profit]]/Table13[[#This Row],[Sales]]</f>
        <v>0.44839285714285715</v>
      </c>
      <c r="N883" s="6" t="str">
        <f>TEXT(Table13[[#This Row],[Order Date]],"mmm")</f>
        <v>May</v>
      </c>
      <c r="O883" s="6">
        <f>YEAR(Table13[[#This Row],[Order Date]])</f>
        <v>2025</v>
      </c>
    </row>
    <row r="884" spans="1:15" x14ac:dyDescent="0.3">
      <c r="A884" s="4" t="s">
        <v>1492</v>
      </c>
      <c r="B884" s="5">
        <v>45475</v>
      </c>
      <c r="C884" s="4" t="s">
        <v>940</v>
      </c>
      <c r="D884" s="4" t="s">
        <v>730</v>
      </c>
      <c r="E884" s="4" t="s">
        <v>22</v>
      </c>
      <c r="F884" s="4" t="s">
        <v>79</v>
      </c>
      <c r="G884" s="4" t="s">
        <v>40</v>
      </c>
      <c r="H884" s="4" t="s">
        <v>41</v>
      </c>
      <c r="I884" s="6">
        <v>3</v>
      </c>
      <c r="J884" s="6">
        <v>14649</v>
      </c>
      <c r="K884" s="6">
        <v>8237.68</v>
      </c>
      <c r="L884" s="6">
        <v>6411.32</v>
      </c>
      <c r="M884" s="11">
        <f>Table13[[#This Row],[Profit]]/Table13[[#This Row],[Sales]]</f>
        <v>0.43766263908799236</v>
      </c>
      <c r="N884" s="6" t="str">
        <f>TEXT(Table13[[#This Row],[Order Date]],"mmm")</f>
        <v>Jul</v>
      </c>
      <c r="O884" s="6">
        <f>YEAR(Table13[[#This Row],[Order Date]])</f>
        <v>2024</v>
      </c>
    </row>
    <row r="885" spans="1:15" x14ac:dyDescent="0.3">
      <c r="A885" s="4" t="s">
        <v>1493</v>
      </c>
      <c r="B885" s="5">
        <v>45835</v>
      </c>
      <c r="C885" s="4" t="s">
        <v>307</v>
      </c>
      <c r="D885" s="4" t="s">
        <v>888</v>
      </c>
      <c r="E885" s="4" t="s">
        <v>22</v>
      </c>
      <c r="F885" s="4" t="s">
        <v>67</v>
      </c>
      <c r="G885" s="4" t="s">
        <v>35</v>
      </c>
      <c r="H885" s="4" t="s">
        <v>80</v>
      </c>
      <c r="I885" s="6">
        <v>3</v>
      </c>
      <c r="J885" s="6">
        <v>3102</v>
      </c>
      <c r="K885" s="6">
        <v>2001.4</v>
      </c>
      <c r="L885" s="6">
        <v>1100.5999999999999</v>
      </c>
      <c r="M885" s="11">
        <f>Table13[[#This Row],[Profit]]/Table13[[#This Row],[Sales]]</f>
        <v>0.35480335267569307</v>
      </c>
      <c r="N885" s="6" t="str">
        <f>TEXT(Table13[[#This Row],[Order Date]],"mmm")</f>
        <v>Jun</v>
      </c>
      <c r="O885" s="6">
        <f>YEAR(Table13[[#This Row],[Order Date]])</f>
        <v>2025</v>
      </c>
    </row>
    <row r="886" spans="1:15" x14ac:dyDescent="0.3">
      <c r="A886" s="4" t="s">
        <v>1494</v>
      </c>
      <c r="B886" s="5">
        <v>45579</v>
      </c>
      <c r="C886" s="4" t="s">
        <v>558</v>
      </c>
      <c r="D886" s="4" t="s">
        <v>1445</v>
      </c>
      <c r="E886" s="4" t="s">
        <v>54</v>
      </c>
      <c r="F886" s="4" t="s">
        <v>142</v>
      </c>
      <c r="G886" s="4" t="s">
        <v>40</v>
      </c>
      <c r="H886" s="4" t="s">
        <v>41</v>
      </c>
      <c r="I886" s="6">
        <v>1</v>
      </c>
      <c r="J886" s="6">
        <v>1347</v>
      </c>
      <c r="K886" s="6">
        <v>942.58</v>
      </c>
      <c r="L886" s="6">
        <v>404.42</v>
      </c>
      <c r="M886" s="11">
        <f>Table13[[#This Row],[Profit]]/Table13[[#This Row],[Sales]]</f>
        <v>0.30023756495916853</v>
      </c>
      <c r="N886" s="6" t="str">
        <f>TEXT(Table13[[#This Row],[Order Date]],"mmm")</f>
        <v>Oct</v>
      </c>
      <c r="O886" s="6">
        <f>YEAR(Table13[[#This Row],[Order Date]])</f>
        <v>2024</v>
      </c>
    </row>
    <row r="887" spans="1:15" x14ac:dyDescent="0.3">
      <c r="A887" s="4" t="s">
        <v>1495</v>
      </c>
      <c r="B887" s="5">
        <v>45460</v>
      </c>
      <c r="C887" s="4" t="s">
        <v>61</v>
      </c>
      <c r="D887" s="4" t="s">
        <v>846</v>
      </c>
      <c r="E887" s="4" t="s">
        <v>54</v>
      </c>
      <c r="F887" s="4" t="s">
        <v>55</v>
      </c>
      <c r="G887" s="4" t="s">
        <v>17</v>
      </c>
      <c r="H887" s="4" t="s">
        <v>72</v>
      </c>
      <c r="I887" s="6">
        <v>5</v>
      </c>
      <c r="J887" s="6">
        <v>22675</v>
      </c>
      <c r="K887" s="6">
        <v>14600.5</v>
      </c>
      <c r="L887" s="6">
        <v>8074.5</v>
      </c>
      <c r="M887" s="11">
        <f>Table13[[#This Row],[Profit]]/Table13[[#This Row],[Sales]]</f>
        <v>0.35609702315325248</v>
      </c>
      <c r="N887" s="6" t="str">
        <f>TEXT(Table13[[#This Row],[Order Date]],"mmm")</f>
        <v>Jun</v>
      </c>
      <c r="O887" s="6">
        <f>YEAR(Table13[[#This Row],[Order Date]])</f>
        <v>2024</v>
      </c>
    </row>
    <row r="888" spans="1:15" x14ac:dyDescent="0.3">
      <c r="A888" s="4" t="s">
        <v>1496</v>
      </c>
      <c r="B888" s="5">
        <v>45347</v>
      </c>
      <c r="C888" s="4" t="s">
        <v>1074</v>
      </c>
      <c r="D888" s="4" t="s">
        <v>1497</v>
      </c>
      <c r="E888" s="4" t="s">
        <v>29</v>
      </c>
      <c r="F888" s="4" t="s">
        <v>30</v>
      </c>
      <c r="G888" s="4" t="s">
        <v>17</v>
      </c>
      <c r="H888" s="4" t="s">
        <v>31</v>
      </c>
      <c r="I888" s="6">
        <v>8</v>
      </c>
      <c r="J888" s="6">
        <v>5880</v>
      </c>
      <c r="K888" s="6">
        <v>3567.25</v>
      </c>
      <c r="L888" s="6">
        <v>2312.75</v>
      </c>
      <c r="M888" s="11">
        <f>Table13[[#This Row],[Profit]]/Table13[[#This Row],[Sales]]</f>
        <v>0.39332482993197276</v>
      </c>
      <c r="N888" s="6" t="str">
        <f>TEXT(Table13[[#This Row],[Order Date]],"mmm")</f>
        <v>Feb</v>
      </c>
      <c r="O888" s="6">
        <f>YEAR(Table13[[#This Row],[Order Date]])</f>
        <v>2024</v>
      </c>
    </row>
    <row r="889" spans="1:15" x14ac:dyDescent="0.3">
      <c r="A889" s="4" t="s">
        <v>1498</v>
      </c>
      <c r="B889" s="5">
        <v>45798</v>
      </c>
      <c r="C889" s="4" t="s">
        <v>680</v>
      </c>
      <c r="D889" s="4" t="s">
        <v>155</v>
      </c>
      <c r="E889" s="4" t="s">
        <v>15</v>
      </c>
      <c r="F889" s="4" t="s">
        <v>63</v>
      </c>
      <c r="G889" s="4" t="s">
        <v>40</v>
      </c>
      <c r="H889" s="4" t="s">
        <v>99</v>
      </c>
      <c r="I889" s="6">
        <v>3</v>
      </c>
      <c r="J889" s="6">
        <v>12378</v>
      </c>
      <c r="K889" s="6">
        <v>8428.5400000000009</v>
      </c>
      <c r="L889" s="6">
        <v>3949.46</v>
      </c>
      <c r="M889" s="11">
        <f>Table13[[#This Row],[Profit]]/Table13[[#This Row],[Sales]]</f>
        <v>0.31907093229924061</v>
      </c>
      <c r="N889" s="6" t="str">
        <f>TEXT(Table13[[#This Row],[Order Date]],"mmm")</f>
        <v>May</v>
      </c>
      <c r="O889" s="6">
        <f>YEAR(Table13[[#This Row],[Order Date]])</f>
        <v>2025</v>
      </c>
    </row>
    <row r="890" spans="1:15" x14ac:dyDescent="0.3">
      <c r="A890" s="4" t="s">
        <v>1499</v>
      </c>
      <c r="B890" s="5">
        <v>45443</v>
      </c>
      <c r="C890" s="4" t="s">
        <v>966</v>
      </c>
      <c r="D890" s="4" t="s">
        <v>1165</v>
      </c>
      <c r="E890" s="4" t="s">
        <v>54</v>
      </c>
      <c r="F890" s="4" t="s">
        <v>71</v>
      </c>
      <c r="G890" s="4" t="s">
        <v>35</v>
      </c>
      <c r="H890" s="4" t="s">
        <v>45</v>
      </c>
      <c r="I890" s="6">
        <v>8</v>
      </c>
      <c r="J890" s="6">
        <v>32392</v>
      </c>
      <c r="K890" s="6">
        <v>22606.27</v>
      </c>
      <c r="L890" s="6">
        <v>9785.73</v>
      </c>
      <c r="M890" s="11">
        <f>Table13[[#This Row],[Profit]]/Table13[[#This Row],[Sales]]</f>
        <v>0.30210329711039763</v>
      </c>
      <c r="N890" s="6" t="str">
        <f>TEXT(Table13[[#This Row],[Order Date]],"mmm")</f>
        <v>May</v>
      </c>
      <c r="O890" s="6">
        <f>YEAR(Table13[[#This Row],[Order Date]])</f>
        <v>2024</v>
      </c>
    </row>
    <row r="891" spans="1:15" x14ac:dyDescent="0.3">
      <c r="A891" s="4" t="s">
        <v>1500</v>
      </c>
      <c r="B891" s="5">
        <v>45571</v>
      </c>
      <c r="C891" s="4" t="s">
        <v>228</v>
      </c>
      <c r="D891" s="4" t="s">
        <v>221</v>
      </c>
      <c r="E891" s="4" t="s">
        <v>15</v>
      </c>
      <c r="F891" s="4" t="s">
        <v>16</v>
      </c>
      <c r="G891" s="4" t="s">
        <v>40</v>
      </c>
      <c r="H891" s="4" t="s">
        <v>99</v>
      </c>
      <c r="I891" s="6">
        <v>3</v>
      </c>
      <c r="J891" s="6">
        <v>5034</v>
      </c>
      <c r="K891" s="6">
        <v>3901.25</v>
      </c>
      <c r="L891" s="6">
        <v>1132.75</v>
      </c>
      <c r="M891" s="11">
        <f>Table13[[#This Row],[Profit]]/Table13[[#This Row],[Sales]]</f>
        <v>0.22501986491855383</v>
      </c>
      <c r="N891" s="6" t="str">
        <f>TEXT(Table13[[#This Row],[Order Date]],"mmm")</f>
        <v>Oct</v>
      </c>
      <c r="O891" s="6">
        <f>YEAR(Table13[[#This Row],[Order Date]])</f>
        <v>2024</v>
      </c>
    </row>
    <row r="892" spans="1:15" x14ac:dyDescent="0.3">
      <c r="A892" s="4" t="s">
        <v>1501</v>
      </c>
      <c r="B892" s="5">
        <v>45370</v>
      </c>
      <c r="C892" s="4" t="s">
        <v>480</v>
      </c>
      <c r="D892" s="4" t="s">
        <v>691</v>
      </c>
      <c r="E892" s="4" t="s">
        <v>29</v>
      </c>
      <c r="F892" s="4" t="s">
        <v>30</v>
      </c>
      <c r="G892" s="4" t="s">
        <v>24</v>
      </c>
      <c r="H892" s="4" t="s">
        <v>25</v>
      </c>
      <c r="I892" s="6">
        <v>9</v>
      </c>
      <c r="J892" s="6">
        <v>44775</v>
      </c>
      <c r="K892" s="6">
        <v>27051.74</v>
      </c>
      <c r="L892" s="6">
        <v>17723.259999999998</v>
      </c>
      <c r="M892" s="11">
        <f>Table13[[#This Row],[Profit]]/Table13[[#This Row],[Sales]]</f>
        <v>0.39582936906756</v>
      </c>
      <c r="N892" s="6" t="str">
        <f>TEXT(Table13[[#This Row],[Order Date]],"mmm")</f>
        <v>Mar</v>
      </c>
      <c r="O892" s="6">
        <f>YEAR(Table13[[#This Row],[Order Date]])</f>
        <v>2024</v>
      </c>
    </row>
    <row r="893" spans="1:15" x14ac:dyDescent="0.3">
      <c r="A893" s="4" t="s">
        <v>1502</v>
      </c>
      <c r="B893" s="5">
        <v>45896</v>
      </c>
      <c r="C893" s="4" t="s">
        <v>745</v>
      </c>
      <c r="D893" s="4" t="s">
        <v>308</v>
      </c>
      <c r="E893" s="4" t="s">
        <v>15</v>
      </c>
      <c r="F893" s="4" t="s">
        <v>63</v>
      </c>
      <c r="G893" s="4" t="s">
        <v>24</v>
      </c>
      <c r="H893" s="4" t="s">
        <v>25</v>
      </c>
      <c r="I893" s="6">
        <v>5</v>
      </c>
      <c r="J893" s="6">
        <v>6495</v>
      </c>
      <c r="K893" s="6">
        <v>4340.29</v>
      </c>
      <c r="L893" s="6">
        <v>2154.71</v>
      </c>
      <c r="M893" s="11">
        <f>Table13[[#This Row],[Profit]]/Table13[[#This Row],[Sales]]</f>
        <v>0.33174903772132408</v>
      </c>
      <c r="N893" s="6" t="str">
        <f>TEXT(Table13[[#This Row],[Order Date]],"mmm")</f>
        <v>Aug</v>
      </c>
      <c r="O893" s="6">
        <f>YEAR(Table13[[#This Row],[Order Date]])</f>
        <v>2025</v>
      </c>
    </row>
    <row r="894" spans="1:15" x14ac:dyDescent="0.3">
      <c r="A894" s="4" t="s">
        <v>1503</v>
      </c>
      <c r="B894" s="5">
        <v>45567</v>
      </c>
      <c r="C894" s="4" t="s">
        <v>955</v>
      </c>
      <c r="D894" s="4" t="s">
        <v>172</v>
      </c>
      <c r="E894" s="4" t="s">
        <v>29</v>
      </c>
      <c r="F894" s="4" t="s">
        <v>102</v>
      </c>
      <c r="G894" s="4" t="s">
        <v>24</v>
      </c>
      <c r="H894" s="4" t="s">
        <v>50</v>
      </c>
      <c r="I894" s="6">
        <v>8</v>
      </c>
      <c r="J894" s="6">
        <v>33840</v>
      </c>
      <c r="K894" s="6">
        <v>23221.57</v>
      </c>
      <c r="L894" s="6">
        <v>10618.43</v>
      </c>
      <c r="M894" s="11">
        <f>Table13[[#This Row],[Profit]]/Table13[[#This Row],[Sales]]</f>
        <v>0.31378339243498821</v>
      </c>
      <c r="N894" s="6" t="str">
        <f>TEXT(Table13[[#This Row],[Order Date]],"mmm")</f>
        <v>Oct</v>
      </c>
      <c r="O894" s="6">
        <f>YEAR(Table13[[#This Row],[Order Date]])</f>
        <v>2024</v>
      </c>
    </row>
    <row r="895" spans="1:15" x14ac:dyDescent="0.3">
      <c r="A895" s="4" t="s">
        <v>1504</v>
      </c>
      <c r="B895" s="5">
        <v>45874</v>
      </c>
      <c r="C895" s="4" t="s">
        <v>451</v>
      </c>
      <c r="D895" s="4" t="s">
        <v>62</v>
      </c>
      <c r="E895" s="4" t="s">
        <v>15</v>
      </c>
      <c r="F895" s="4" t="s">
        <v>90</v>
      </c>
      <c r="G895" s="4" t="s">
        <v>17</v>
      </c>
      <c r="H895" s="4" t="s">
        <v>72</v>
      </c>
      <c r="I895" s="6">
        <v>8</v>
      </c>
      <c r="J895" s="6">
        <v>23688</v>
      </c>
      <c r="K895" s="6">
        <v>19761.13</v>
      </c>
      <c r="L895" s="6">
        <v>3926.87</v>
      </c>
      <c r="M895" s="11">
        <f>Table13[[#This Row],[Profit]]/Table13[[#This Row],[Sales]]</f>
        <v>0.16577465383316448</v>
      </c>
      <c r="N895" s="6" t="str">
        <f>TEXT(Table13[[#This Row],[Order Date]],"mmm")</f>
        <v>Aug</v>
      </c>
      <c r="O895" s="6">
        <f>YEAR(Table13[[#This Row],[Order Date]])</f>
        <v>2025</v>
      </c>
    </row>
    <row r="896" spans="1:15" x14ac:dyDescent="0.3">
      <c r="A896" s="4" t="s">
        <v>1505</v>
      </c>
      <c r="B896" s="5">
        <v>45852</v>
      </c>
      <c r="C896" s="4" t="s">
        <v>344</v>
      </c>
      <c r="D896" s="4" t="s">
        <v>34</v>
      </c>
      <c r="E896" s="4" t="s">
        <v>15</v>
      </c>
      <c r="F896" s="4" t="s">
        <v>90</v>
      </c>
      <c r="G896" s="4" t="s">
        <v>40</v>
      </c>
      <c r="H896" s="4" t="s">
        <v>99</v>
      </c>
      <c r="I896" s="6">
        <v>6</v>
      </c>
      <c r="J896" s="6">
        <v>4524</v>
      </c>
      <c r="K896" s="6">
        <v>3497.69</v>
      </c>
      <c r="L896" s="6">
        <v>1026.31</v>
      </c>
      <c r="M896" s="11">
        <f>Table13[[#This Row],[Profit]]/Table13[[#This Row],[Sales]]</f>
        <v>0.22685897435897434</v>
      </c>
      <c r="N896" s="6" t="str">
        <f>TEXT(Table13[[#This Row],[Order Date]],"mmm")</f>
        <v>Jul</v>
      </c>
      <c r="O896" s="6">
        <f>YEAR(Table13[[#This Row],[Order Date]])</f>
        <v>2025</v>
      </c>
    </row>
    <row r="897" spans="1:15" x14ac:dyDescent="0.3">
      <c r="A897" s="4" t="s">
        <v>1506</v>
      </c>
      <c r="B897" s="5">
        <v>45505</v>
      </c>
      <c r="C897" s="4" t="s">
        <v>498</v>
      </c>
      <c r="D897" s="4" t="s">
        <v>944</v>
      </c>
      <c r="E897" s="4" t="s">
        <v>22</v>
      </c>
      <c r="F897" s="4" t="s">
        <v>67</v>
      </c>
      <c r="G897" s="4" t="s">
        <v>24</v>
      </c>
      <c r="H897" s="4" t="s">
        <v>166</v>
      </c>
      <c r="I897" s="6">
        <v>4</v>
      </c>
      <c r="J897" s="6">
        <v>14268</v>
      </c>
      <c r="K897" s="6">
        <v>8229.16</v>
      </c>
      <c r="L897" s="6">
        <v>6038.84</v>
      </c>
      <c r="M897" s="11">
        <f>Table13[[#This Row],[Profit]]/Table13[[#This Row],[Sales]]</f>
        <v>0.42324362209139332</v>
      </c>
      <c r="N897" s="6" t="str">
        <f>TEXT(Table13[[#This Row],[Order Date]],"mmm")</f>
        <v>Aug</v>
      </c>
      <c r="O897" s="6">
        <f>YEAR(Table13[[#This Row],[Order Date]])</f>
        <v>2024</v>
      </c>
    </row>
    <row r="898" spans="1:15" x14ac:dyDescent="0.3">
      <c r="A898" s="4" t="s">
        <v>1507</v>
      </c>
      <c r="B898" s="5">
        <v>45734</v>
      </c>
      <c r="C898" s="4" t="s">
        <v>490</v>
      </c>
      <c r="D898" s="4" t="s">
        <v>1218</v>
      </c>
      <c r="E898" s="4" t="s">
        <v>22</v>
      </c>
      <c r="F898" s="4" t="s">
        <v>67</v>
      </c>
      <c r="G898" s="4" t="s">
        <v>17</v>
      </c>
      <c r="H898" s="4" t="s">
        <v>31</v>
      </c>
      <c r="I898" s="6">
        <v>3</v>
      </c>
      <c r="J898" s="6">
        <v>3861</v>
      </c>
      <c r="K898" s="6">
        <v>2469.36</v>
      </c>
      <c r="L898" s="6">
        <v>1391.64</v>
      </c>
      <c r="M898" s="11">
        <f>Table13[[#This Row],[Profit]]/Table13[[#This Row],[Sales]]</f>
        <v>0.36043512043512044</v>
      </c>
      <c r="N898" s="6" t="str">
        <f>TEXT(Table13[[#This Row],[Order Date]],"mmm")</f>
        <v>Mar</v>
      </c>
      <c r="O898" s="6">
        <f>YEAR(Table13[[#This Row],[Order Date]])</f>
        <v>2025</v>
      </c>
    </row>
    <row r="899" spans="1:15" x14ac:dyDescent="0.3">
      <c r="A899" s="4" t="s">
        <v>1508</v>
      </c>
      <c r="B899" s="5">
        <v>45748</v>
      </c>
      <c r="C899" s="4" t="s">
        <v>483</v>
      </c>
      <c r="D899" s="4" t="s">
        <v>198</v>
      </c>
      <c r="E899" s="4" t="s">
        <v>54</v>
      </c>
      <c r="F899" s="4" t="s">
        <v>71</v>
      </c>
      <c r="G899" s="4" t="s">
        <v>24</v>
      </c>
      <c r="H899" s="4" t="s">
        <v>50</v>
      </c>
      <c r="I899" s="6">
        <v>6</v>
      </c>
      <c r="J899" s="6">
        <v>26994</v>
      </c>
      <c r="K899" s="6">
        <v>16465.3</v>
      </c>
      <c r="L899" s="6">
        <v>10528.7</v>
      </c>
      <c r="M899" s="11">
        <f>Table13[[#This Row],[Profit]]/Table13[[#This Row],[Sales]]</f>
        <v>0.3900385270800919</v>
      </c>
      <c r="N899" s="6" t="str">
        <f>TEXT(Table13[[#This Row],[Order Date]],"mmm")</f>
        <v>Apr</v>
      </c>
      <c r="O899" s="6">
        <f>YEAR(Table13[[#This Row],[Order Date]])</f>
        <v>2025</v>
      </c>
    </row>
    <row r="900" spans="1:15" x14ac:dyDescent="0.3">
      <c r="A900" s="4" t="s">
        <v>1509</v>
      </c>
      <c r="B900" s="5">
        <v>45669</v>
      </c>
      <c r="C900" s="4" t="s">
        <v>522</v>
      </c>
      <c r="D900" s="4" t="s">
        <v>252</v>
      </c>
      <c r="E900" s="4" t="s">
        <v>54</v>
      </c>
      <c r="F900" s="4" t="s">
        <v>71</v>
      </c>
      <c r="G900" s="4" t="s">
        <v>17</v>
      </c>
      <c r="H900" s="4" t="s">
        <v>72</v>
      </c>
      <c r="I900" s="6">
        <v>7</v>
      </c>
      <c r="J900" s="6">
        <v>7273</v>
      </c>
      <c r="K900" s="6">
        <v>5650.74</v>
      </c>
      <c r="L900" s="6">
        <v>1622.26</v>
      </c>
      <c r="M900" s="11">
        <f>Table13[[#This Row],[Profit]]/Table13[[#This Row],[Sales]]</f>
        <v>0.22305238553554241</v>
      </c>
      <c r="N900" s="6" t="str">
        <f>TEXT(Table13[[#This Row],[Order Date]],"mmm")</f>
        <v>Jan</v>
      </c>
      <c r="O900" s="6">
        <f>YEAR(Table13[[#This Row],[Order Date]])</f>
        <v>2025</v>
      </c>
    </row>
    <row r="901" spans="1:15" x14ac:dyDescent="0.3">
      <c r="A901" s="4" t="s">
        <v>1510</v>
      </c>
      <c r="B901" s="5">
        <v>45984</v>
      </c>
      <c r="C901" s="4" t="s">
        <v>236</v>
      </c>
      <c r="D901" s="4" t="s">
        <v>163</v>
      </c>
      <c r="E901" s="4" t="s">
        <v>22</v>
      </c>
      <c r="F901" s="4" t="s">
        <v>23</v>
      </c>
      <c r="G901" s="4" t="s">
        <v>24</v>
      </c>
      <c r="H901" s="4" t="s">
        <v>25</v>
      </c>
      <c r="I901" s="6">
        <v>9</v>
      </c>
      <c r="J901" s="6">
        <v>27891</v>
      </c>
      <c r="K901" s="6">
        <v>23483.71</v>
      </c>
      <c r="L901" s="6">
        <v>4407.29</v>
      </c>
      <c r="M901" s="11">
        <f>Table13[[#This Row],[Profit]]/Table13[[#This Row],[Sales]]</f>
        <v>0.15801835717615001</v>
      </c>
      <c r="N901" s="6" t="str">
        <f>TEXT(Table13[[#This Row],[Order Date]],"mmm")</f>
        <v>Nov</v>
      </c>
      <c r="O901" s="6">
        <f>YEAR(Table13[[#This Row],[Order Date]])</f>
        <v>2025</v>
      </c>
    </row>
    <row r="902" spans="1:15" x14ac:dyDescent="0.3">
      <c r="A902" s="4" t="s">
        <v>1511</v>
      </c>
      <c r="B902" s="5">
        <v>45739</v>
      </c>
      <c r="C902" s="4" t="s">
        <v>461</v>
      </c>
      <c r="D902" s="4" t="s">
        <v>804</v>
      </c>
      <c r="E902" s="4" t="s">
        <v>22</v>
      </c>
      <c r="F902" s="4" t="s">
        <v>79</v>
      </c>
      <c r="G902" s="4" t="s">
        <v>17</v>
      </c>
      <c r="H902" s="4" t="s">
        <v>31</v>
      </c>
      <c r="I902" s="6">
        <v>9</v>
      </c>
      <c r="J902" s="6">
        <v>8883</v>
      </c>
      <c r="K902" s="6">
        <v>5660.34</v>
      </c>
      <c r="L902" s="6">
        <v>3222.66</v>
      </c>
      <c r="M902" s="11">
        <f>Table13[[#This Row],[Profit]]/Table13[[#This Row],[Sales]]</f>
        <v>0.362789598108747</v>
      </c>
      <c r="N902" s="6" t="str">
        <f>TEXT(Table13[[#This Row],[Order Date]],"mmm")</f>
        <v>Mar</v>
      </c>
      <c r="O902" s="6">
        <f>YEAR(Table13[[#This Row],[Order Date]])</f>
        <v>2025</v>
      </c>
    </row>
    <row r="903" spans="1:15" x14ac:dyDescent="0.3">
      <c r="A903" s="4" t="s">
        <v>1512</v>
      </c>
      <c r="B903" s="5">
        <v>45594</v>
      </c>
      <c r="C903" s="4" t="s">
        <v>257</v>
      </c>
      <c r="D903" s="4" t="s">
        <v>793</v>
      </c>
      <c r="E903" s="4" t="s">
        <v>54</v>
      </c>
      <c r="F903" s="4" t="s">
        <v>142</v>
      </c>
      <c r="G903" s="4" t="s">
        <v>24</v>
      </c>
      <c r="H903" s="4" t="s">
        <v>166</v>
      </c>
      <c r="I903" s="6">
        <v>5</v>
      </c>
      <c r="J903" s="6">
        <v>11680</v>
      </c>
      <c r="K903" s="6">
        <v>8256.91</v>
      </c>
      <c r="L903" s="6">
        <v>3423.09</v>
      </c>
      <c r="M903" s="11">
        <f>Table13[[#This Row],[Profit]]/Table13[[#This Row],[Sales]]</f>
        <v>0.29307277397260273</v>
      </c>
      <c r="N903" s="6" t="str">
        <f>TEXT(Table13[[#This Row],[Order Date]],"mmm")</f>
        <v>Oct</v>
      </c>
      <c r="O903" s="6">
        <f>YEAR(Table13[[#This Row],[Order Date]])</f>
        <v>2024</v>
      </c>
    </row>
    <row r="904" spans="1:15" x14ac:dyDescent="0.3">
      <c r="A904" s="4" t="s">
        <v>1513</v>
      </c>
      <c r="B904" s="5">
        <v>45388</v>
      </c>
      <c r="C904" s="4" t="s">
        <v>579</v>
      </c>
      <c r="D904" s="4" t="s">
        <v>989</v>
      </c>
      <c r="E904" s="4" t="s">
        <v>15</v>
      </c>
      <c r="F904" s="4" t="s">
        <v>16</v>
      </c>
      <c r="G904" s="4" t="s">
        <v>35</v>
      </c>
      <c r="H904" s="4" t="s">
        <v>45</v>
      </c>
      <c r="I904" s="6">
        <v>2</v>
      </c>
      <c r="J904" s="6">
        <v>8966</v>
      </c>
      <c r="K904" s="6">
        <v>6074.23</v>
      </c>
      <c r="L904" s="6">
        <v>2891.77</v>
      </c>
      <c r="M904" s="11">
        <f>Table13[[#This Row],[Profit]]/Table13[[#This Row],[Sales]]</f>
        <v>0.32252621012714699</v>
      </c>
      <c r="N904" s="6" t="str">
        <f>TEXT(Table13[[#This Row],[Order Date]],"mmm")</f>
        <v>Apr</v>
      </c>
      <c r="O904" s="6">
        <f>YEAR(Table13[[#This Row],[Order Date]])</f>
        <v>2024</v>
      </c>
    </row>
    <row r="905" spans="1:15" x14ac:dyDescent="0.3">
      <c r="A905" s="4" t="s">
        <v>1514</v>
      </c>
      <c r="B905" s="5">
        <v>45308</v>
      </c>
      <c r="C905" s="4" t="s">
        <v>77</v>
      </c>
      <c r="D905" s="4" t="s">
        <v>1282</v>
      </c>
      <c r="E905" s="4" t="s">
        <v>54</v>
      </c>
      <c r="F905" s="4" t="s">
        <v>55</v>
      </c>
      <c r="G905" s="4" t="s">
        <v>40</v>
      </c>
      <c r="H905" s="4" t="s">
        <v>99</v>
      </c>
      <c r="I905" s="6">
        <v>10</v>
      </c>
      <c r="J905" s="6">
        <v>9690</v>
      </c>
      <c r="K905" s="6">
        <v>7563.96</v>
      </c>
      <c r="L905" s="6">
        <v>2126.04</v>
      </c>
      <c r="M905" s="11">
        <f>Table13[[#This Row],[Profit]]/Table13[[#This Row],[Sales]]</f>
        <v>0.21940557275541794</v>
      </c>
      <c r="N905" s="6" t="str">
        <f>TEXT(Table13[[#This Row],[Order Date]],"mmm")</f>
        <v>Jan</v>
      </c>
      <c r="O905" s="6">
        <f>YEAR(Table13[[#This Row],[Order Date]])</f>
        <v>2024</v>
      </c>
    </row>
    <row r="906" spans="1:15" x14ac:dyDescent="0.3">
      <c r="A906" s="4" t="s">
        <v>1515</v>
      </c>
      <c r="B906" s="5">
        <v>46013</v>
      </c>
      <c r="C906" s="4" t="s">
        <v>900</v>
      </c>
      <c r="D906" s="4" t="s">
        <v>127</v>
      </c>
      <c r="E906" s="4" t="s">
        <v>29</v>
      </c>
      <c r="F906" s="4" t="s">
        <v>102</v>
      </c>
      <c r="G906" s="4" t="s">
        <v>35</v>
      </c>
      <c r="H906" s="4" t="s">
        <v>36</v>
      </c>
      <c r="I906" s="6">
        <v>1</v>
      </c>
      <c r="J906" s="6">
        <v>982</v>
      </c>
      <c r="K906" s="6">
        <v>662.73</v>
      </c>
      <c r="L906" s="6">
        <v>319.27</v>
      </c>
      <c r="M906" s="11">
        <f>Table13[[#This Row],[Profit]]/Table13[[#This Row],[Sales]]</f>
        <v>0.32512219959266803</v>
      </c>
      <c r="N906" s="6" t="str">
        <f>TEXT(Table13[[#This Row],[Order Date]],"mmm")</f>
        <v>Dec</v>
      </c>
      <c r="O906" s="6">
        <f>YEAR(Table13[[#This Row],[Order Date]])</f>
        <v>2025</v>
      </c>
    </row>
    <row r="907" spans="1:15" x14ac:dyDescent="0.3">
      <c r="A907" s="4" t="s">
        <v>1516</v>
      </c>
      <c r="B907" s="5">
        <v>45483</v>
      </c>
      <c r="C907" s="4" t="s">
        <v>1252</v>
      </c>
      <c r="D907" s="4" t="s">
        <v>1131</v>
      </c>
      <c r="E907" s="4" t="s">
        <v>22</v>
      </c>
      <c r="F907" s="4" t="s">
        <v>79</v>
      </c>
      <c r="G907" s="4" t="s">
        <v>35</v>
      </c>
      <c r="H907" s="4" t="s">
        <v>80</v>
      </c>
      <c r="I907" s="6">
        <v>10</v>
      </c>
      <c r="J907" s="6">
        <v>24710</v>
      </c>
      <c r="K907" s="6">
        <v>16120.81</v>
      </c>
      <c r="L907" s="6">
        <v>8589.19</v>
      </c>
      <c r="M907" s="11">
        <f>Table13[[#This Row],[Profit]]/Table13[[#This Row],[Sales]]</f>
        <v>0.34759975718332659</v>
      </c>
      <c r="N907" s="6" t="str">
        <f>TEXT(Table13[[#This Row],[Order Date]],"mmm")</f>
        <v>Jul</v>
      </c>
      <c r="O907" s="6">
        <f>YEAR(Table13[[#This Row],[Order Date]])</f>
        <v>2024</v>
      </c>
    </row>
    <row r="908" spans="1:15" x14ac:dyDescent="0.3">
      <c r="A908" s="4" t="s">
        <v>1517</v>
      </c>
      <c r="B908" s="5">
        <v>45310</v>
      </c>
      <c r="C908" s="4" t="s">
        <v>955</v>
      </c>
      <c r="D908" s="4" t="s">
        <v>462</v>
      </c>
      <c r="E908" s="4" t="s">
        <v>15</v>
      </c>
      <c r="F908" s="4" t="s">
        <v>90</v>
      </c>
      <c r="G908" s="4" t="s">
        <v>17</v>
      </c>
      <c r="H908" s="4" t="s">
        <v>72</v>
      </c>
      <c r="I908" s="6">
        <v>5</v>
      </c>
      <c r="J908" s="6">
        <v>5855</v>
      </c>
      <c r="K908" s="6">
        <v>3982.22</v>
      </c>
      <c r="L908" s="6">
        <v>1872.78</v>
      </c>
      <c r="M908" s="11">
        <f>Table13[[#This Row],[Profit]]/Table13[[#This Row],[Sales]]</f>
        <v>0.31985994876174212</v>
      </c>
      <c r="N908" s="6" t="str">
        <f>TEXT(Table13[[#This Row],[Order Date]],"mmm")</f>
        <v>Jan</v>
      </c>
      <c r="O908" s="6">
        <f>YEAR(Table13[[#This Row],[Order Date]])</f>
        <v>2024</v>
      </c>
    </row>
    <row r="909" spans="1:15" x14ac:dyDescent="0.3">
      <c r="A909" s="4" t="s">
        <v>1518</v>
      </c>
      <c r="B909" s="5">
        <v>45965</v>
      </c>
      <c r="C909" s="4" t="s">
        <v>1120</v>
      </c>
      <c r="D909" s="4" t="s">
        <v>190</v>
      </c>
      <c r="E909" s="4" t="s">
        <v>15</v>
      </c>
      <c r="F909" s="4" t="s">
        <v>16</v>
      </c>
      <c r="G909" s="4" t="s">
        <v>24</v>
      </c>
      <c r="H909" s="4" t="s">
        <v>166</v>
      </c>
      <c r="I909" s="6">
        <v>8</v>
      </c>
      <c r="J909" s="6">
        <v>32552</v>
      </c>
      <c r="K909" s="6">
        <v>24659.5</v>
      </c>
      <c r="L909" s="6">
        <v>7892.5</v>
      </c>
      <c r="M909" s="11">
        <f>Table13[[#This Row],[Profit]]/Table13[[#This Row],[Sales]]</f>
        <v>0.24245822069304498</v>
      </c>
      <c r="N909" s="6" t="str">
        <f>TEXT(Table13[[#This Row],[Order Date]],"mmm")</f>
        <v>Nov</v>
      </c>
      <c r="O909" s="6">
        <f>YEAR(Table13[[#This Row],[Order Date]])</f>
        <v>2025</v>
      </c>
    </row>
    <row r="910" spans="1:15" x14ac:dyDescent="0.3">
      <c r="A910" s="4" t="s">
        <v>1519</v>
      </c>
      <c r="B910" s="5">
        <v>45430</v>
      </c>
      <c r="C910" s="4" t="s">
        <v>118</v>
      </c>
      <c r="D910" s="4" t="s">
        <v>335</v>
      </c>
      <c r="E910" s="4" t="s">
        <v>54</v>
      </c>
      <c r="F910" s="4" t="s">
        <v>71</v>
      </c>
      <c r="G910" s="4" t="s">
        <v>17</v>
      </c>
      <c r="H910" s="4" t="s">
        <v>31</v>
      </c>
      <c r="I910" s="6">
        <v>7</v>
      </c>
      <c r="J910" s="6">
        <v>19453</v>
      </c>
      <c r="K910" s="6">
        <v>11210.58</v>
      </c>
      <c r="L910" s="6">
        <v>8242.42</v>
      </c>
      <c r="M910" s="11">
        <f>Table13[[#This Row],[Profit]]/Table13[[#This Row],[Sales]]</f>
        <v>0.42370945355472162</v>
      </c>
      <c r="N910" s="6" t="str">
        <f>TEXT(Table13[[#This Row],[Order Date]],"mmm")</f>
        <v>May</v>
      </c>
      <c r="O910" s="6">
        <f>YEAR(Table13[[#This Row],[Order Date]])</f>
        <v>2024</v>
      </c>
    </row>
    <row r="911" spans="1:15" x14ac:dyDescent="0.3">
      <c r="A911" s="4" t="s">
        <v>1520</v>
      </c>
      <c r="B911" s="5">
        <v>45956</v>
      </c>
      <c r="C911" s="4" t="s">
        <v>1059</v>
      </c>
      <c r="D911" s="4" t="s">
        <v>264</v>
      </c>
      <c r="E911" s="4" t="s">
        <v>15</v>
      </c>
      <c r="F911" s="4" t="s">
        <v>16</v>
      </c>
      <c r="G911" s="4" t="s">
        <v>17</v>
      </c>
      <c r="H911" s="4" t="s">
        <v>18</v>
      </c>
      <c r="I911" s="6">
        <v>4</v>
      </c>
      <c r="J911" s="6">
        <v>2076</v>
      </c>
      <c r="K911" s="6">
        <v>1272.1099999999999</v>
      </c>
      <c r="L911" s="6">
        <v>803.89</v>
      </c>
      <c r="M911" s="11">
        <f>Table13[[#This Row],[Profit]]/Table13[[#This Row],[Sales]]</f>
        <v>0.38723025048169557</v>
      </c>
      <c r="N911" s="6" t="str">
        <f>TEXT(Table13[[#This Row],[Order Date]],"mmm")</f>
        <v>Oct</v>
      </c>
      <c r="O911" s="6">
        <f>YEAR(Table13[[#This Row],[Order Date]])</f>
        <v>2025</v>
      </c>
    </row>
    <row r="912" spans="1:15" x14ac:dyDescent="0.3">
      <c r="A912" s="4" t="s">
        <v>1521</v>
      </c>
      <c r="B912" s="5">
        <v>45766</v>
      </c>
      <c r="C912" s="4" t="s">
        <v>1202</v>
      </c>
      <c r="D912" s="4" t="s">
        <v>108</v>
      </c>
      <c r="E912" s="4" t="s">
        <v>22</v>
      </c>
      <c r="F912" s="4" t="s">
        <v>79</v>
      </c>
      <c r="G912" s="4" t="s">
        <v>35</v>
      </c>
      <c r="H912" s="4" t="s">
        <v>45</v>
      </c>
      <c r="I912" s="6">
        <v>4</v>
      </c>
      <c r="J912" s="6">
        <v>4020</v>
      </c>
      <c r="K912" s="6">
        <v>2573.91</v>
      </c>
      <c r="L912" s="6">
        <v>1446.09</v>
      </c>
      <c r="M912" s="11">
        <f>Table13[[#This Row],[Profit]]/Table13[[#This Row],[Sales]]</f>
        <v>0.35972388059701488</v>
      </c>
      <c r="N912" s="6" t="str">
        <f>TEXT(Table13[[#This Row],[Order Date]],"mmm")</f>
        <v>Apr</v>
      </c>
      <c r="O912" s="6">
        <f>YEAR(Table13[[#This Row],[Order Date]])</f>
        <v>2025</v>
      </c>
    </row>
    <row r="913" spans="1:15" x14ac:dyDescent="0.3">
      <c r="A913" s="4" t="s">
        <v>1522</v>
      </c>
      <c r="B913" s="5">
        <v>45747</v>
      </c>
      <c r="C913" s="4" t="s">
        <v>212</v>
      </c>
      <c r="D913" s="4" t="s">
        <v>1304</v>
      </c>
      <c r="E913" s="4" t="s">
        <v>22</v>
      </c>
      <c r="F913" s="4" t="s">
        <v>23</v>
      </c>
      <c r="G913" s="4" t="s">
        <v>24</v>
      </c>
      <c r="H913" s="4" t="s">
        <v>50</v>
      </c>
      <c r="I913" s="6">
        <v>3</v>
      </c>
      <c r="J913" s="6">
        <v>4644</v>
      </c>
      <c r="K913" s="6">
        <v>3583.47</v>
      </c>
      <c r="L913" s="6">
        <v>1060.53</v>
      </c>
      <c r="M913" s="11">
        <f>Table13[[#This Row],[Profit]]/Table13[[#This Row],[Sales]]</f>
        <v>0.2283656330749354</v>
      </c>
      <c r="N913" s="6" t="str">
        <f>TEXT(Table13[[#This Row],[Order Date]],"mmm")</f>
        <v>Mar</v>
      </c>
      <c r="O913" s="6">
        <f>YEAR(Table13[[#This Row],[Order Date]])</f>
        <v>2025</v>
      </c>
    </row>
    <row r="914" spans="1:15" x14ac:dyDescent="0.3">
      <c r="A914" s="4" t="s">
        <v>1523</v>
      </c>
      <c r="B914" s="5">
        <v>45693</v>
      </c>
      <c r="C914" s="4" t="s">
        <v>1524</v>
      </c>
      <c r="D914" s="4" t="s">
        <v>1525</v>
      </c>
      <c r="E914" s="4" t="s">
        <v>15</v>
      </c>
      <c r="F914" s="4" t="s">
        <v>63</v>
      </c>
      <c r="G914" s="4" t="s">
        <v>17</v>
      </c>
      <c r="H914" s="4" t="s">
        <v>72</v>
      </c>
      <c r="I914" s="6">
        <v>4</v>
      </c>
      <c r="J914" s="6">
        <v>7796</v>
      </c>
      <c r="K914" s="6">
        <v>4977.3500000000004</v>
      </c>
      <c r="L914" s="6">
        <v>2818.65</v>
      </c>
      <c r="M914" s="11">
        <f>Table13[[#This Row],[Profit]]/Table13[[#This Row],[Sales]]</f>
        <v>0.36155079527963058</v>
      </c>
      <c r="N914" s="6" t="str">
        <f>TEXT(Table13[[#This Row],[Order Date]],"mmm")</f>
        <v>Feb</v>
      </c>
      <c r="O914" s="6">
        <f>YEAR(Table13[[#This Row],[Order Date]])</f>
        <v>2025</v>
      </c>
    </row>
    <row r="915" spans="1:15" x14ac:dyDescent="0.3">
      <c r="A915" s="4" t="s">
        <v>1526</v>
      </c>
      <c r="B915" s="5">
        <v>45884</v>
      </c>
      <c r="C915" s="4" t="s">
        <v>474</v>
      </c>
      <c r="D915" s="4" t="s">
        <v>456</v>
      </c>
      <c r="E915" s="4" t="s">
        <v>15</v>
      </c>
      <c r="F915" s="4" t="s">
        <v>16</v>
      </c>
      <c r="G915" s="4" t="s">
        <v>17</v>
      </c>
      <c r="H915" s="4" t="s">
        <v>31</v>
      </c>
      <c r="I915" s="6">
        <v>7</v>
      </c>
      <c r="J915" s="6">
        <v>25935</v>
      </c>
      <c r="K915" s="6">
        <v>20866.91</v>
      </c>
      <c r="L915" s="6">
        <v>5068.09</v>
      </c>
      <c r="M915" s="11">
        <f>Table13[[#This Row],[Profit]]/Table13[[#This Row],[Sales]]</f>
        <v>0.19541507615191828</v>
      </c>
      <c r="N915" s="6" t="str">
        <f>TEXT(Table13[[#This Row],[Order Date]],"mmm")</f>
        <v>Aug</v>
      </c>
      <c r="O915" s="6">
        <f>YEAR(Table13[[#This Row],[Order Date]])</f>
        <v>2025</v>
      </c>
    </row>
    <row r="916" spans="1:15" x14ac:dyDescent="0.3">
      <c r="A916" s="4" t="s">
        <v>1527</v>
      </c>
      <c r="B916" s="5">
        <v>45918</v>
      </c>
      <c r="C916" s="4" t="s">
        <v>1120</v>
      </c>
      <c r="D916" s="4" t="s">
        <v>365</v>
      </c>
      <c r="E916" s="4" t="s">
        <v>15</v>
      </c>
      <c r="F916" s="4" t="s">
        <v>63</v>
      </c>
      <c r="G916" s="4" t="s">
        <v>35</v>
      </c>
      <c r="H916" s="4" t="s">
        <v>36</v>
      </c>
      <c r="I916" s="6">
        <v>8</v>
      </c>
      <c r="J916" s="6">
        <v>36040</v>
      </c>
      <c r="K916" s="6">
        <v>26212.32</v>
      </c>
      <c r="L916" s="6">
        <v>9827.68</v>
      </c>
      <c r="M916" s="11">
        <f>Table13[[#This Row],[Profit]]/Table13[[#This Row],[Sales]]</f>
        <v>0.27268812430632633</v>
      </c>
      <c r="N916" s="6" t="str">
        <f>TEXT(Table13[[#This Row],[Order Date]],"mmm")</f>
        <v>Sep</v>
      </c>
      <c r="O916" s="6">
        <f>YEAR(Table13[[#This Row],[Order Date]])</f>
        <v>2025</v>
      </c>
    </row>
    <row r="917" spans="1:15" x14ac:dyDescent="0.3">
      <c r="A917" s="4" t="s">
        <v>1528</v>
      </c>
      <c r="B917" s="5">
        <v>45566</v>
      </c>
      <c r="C917" s="4" t="s">
        <v>455</v>
      </c>
      <c r="D917" s="4" t="s">
        <v>108</v>
      </c>
      <c r="E917" s="4" t="s">
        <v>15</v>
      </c>
      <c r="F917" s="4" t="s">
        <v>90</v>
      </c>
      <c r="G917" s="4" t="s">
        <v>24</v>
      </c>
      <c r="H917" s="4" t="s">
        <v>25</v>
      </c>
      <c r="I917" s="6">
        <v>7</v>
      </c>
      <c r="J917" s="6">
        <v>20209</v>
      </c>
      <c r="K917" s="6">
        <v>14469.17</v>
      </c>
      <c r="L917" s="6">
        <v>5739.83</v>
      </c>
      <c r="M917" s="11">
        <f>Table13[[#This Row],[Profit]]/Table13[[#This Row],[Sales]]</f>
        <v>0.28402345489633329</v>
      </c>
      <c r="N917" s="6" t="str">
        <f>TEXT(Table13[[#This Row],[Order Date]],"mmm")</f>
        <v>Oct</v>
      </c>
      <c r="O917" s="6">
        <f>YEAR(Table13[[#This Row],[Order Date]])</f>
        <v>2024</v>
      </c>
    </row>
    <row r="918" spans="1:15" x14ac:dyDescent="0.3">
      <c r="A918" s="4" t="s">
        <v>1529</v>
      </c>
      <c r="B918" s="5">
        <v>45313</v>
      </c>
      <c r="C918" s="4" t="s">
        <v>154</v>
      </c>
      <c r="D918" s="4" t="s">
        <v>354</v>
      </c>
      <c r="E918" s="4" t="s">
        <v>15</v>
      </c>
      <c r="F918" s="4" t="s">
        <v>63</v>
      </c>
      <c r="G918" s="4" t="s">
        <v>17</v>
      </c>
      <c r="H918" s="4" t="s">
        <v>72</v>
      </c>
      <c r="I918" s="6">
        <v>6</v>
      </c>
      <c r="J918" s="6">
        <v>23832</v>
      </c>
      <c r="K918" s="6">
        <v>18094.55</v>
      </c>
      <c r="L918" s="6">
        <v>5737.45</v>
      </c>
      <c r="M918" s="11">
        <f>Table13[[#This Row],[Profit]]/Table13[[#This Row],[Sales]]</f>
        <v>0.24074563611950317</v>
      </c>
      <c r="N918" s="6" t="str">
        <f>TEXT(Table13[[#This Row],[Order Date]],"mmm")</f>
        <v>Jan</v>
      </c>
      <c r="O918" s="6">
        <f>YEAR(Table13[[#This Row],[Order Date]])</f>
        <v>2024</v>
      </c>
    </row>
    <row r="919" spans="1:15" x14ac:dyDescent="0.3">
      <c r="A919" s="4" t="s">
        <v>1530</v>
      </c>
      <c r="B919" s="5">
        <v>45893</v>
      </c>
      <c r="C919" s="4" t="s">
        <v>535</v>
      </c>
      <c r="D919" s="4" t="s">
        <v>383</v>
      </c>
      <c r="E919" s="4" t="s">
        <v>29</v>
      </c>
      <c r="F919" s="4" t="s">
        <v>49</v>
      </c>
      <c r="G919" s="4" t="s">
        <v>40</v>
      </c>
      <c r="H919" s="4" t="s">
        <v>41</v>
      </c>
      <c r="I919" s="6">
        <v>8</v>
      </c>
      <c r="J919" s="6">
        <v>17608</v>
      </c>
      <c r="K919" s="6">
        <v>12365.94</v>
      </c>
      <c r="L919" s="6">
        <v>5242.0600000000004</v>
      </c>
      <c r="M919" s="11">
        <f>Table13[[#This Row],[Profit]]/Table13[[#This Row],[Sales]]</f>
        <v>0.29770899591094957</v>
      </c>
      <c r="N919" s="6" t="str">
        <f>TEXT(Table13[[#This Row],[Order Date]],"mmm")</f>
        <v>Aug</v>
      </c>
      <c r="O919" s="6">
        <f>YEAR(Table13[[#This Row],[Order Date]])</f>
        <v>2025</v>
      </c>
    </row>
    <row r="920" spans="1:15" x14ac:dyDescent="0.3">
      <c r="A920" s="4" t="s">
        <v>1531</v>
      </c>
      <c r="B920" s="5">
        <v>45981</v>
      </c>
      <c r="C920" s="4" t="s">
        <v>558</v>
      </c>
      <c r="D920" s="4" t="s">
        <v>1304</v>
      </c>
      <c r="E920" s="4" t="s">
        <v>29</v>
      </c>
      <c r="F920" s="4" t="s">
        <v>49</v>
      </c>
      <c r="G920" s="4" t="s">
        <v>17</v>
      </c>
      <c r="H920" s="4" t="s">
        <v>18</v>
      </c>
      <c r="I920" s="6">
        <v>7</v>
      </c>
      <c r="J920" s="6">
        <v>25998</v>
      </c>
      <c r="K920" s="6">
        <v>20796.43</v>
      </c>
      <c r="L920" s="6">
        <v>5201.57</v>
      </c>
      <c r="M920" s="11">
        <f>Table13[[#This Row],[Profit]]/Table13[[#This Row],[Sales]]</f>
        <v>0.20007577505961996</v>
      </c>
      <c r="N920" s="6" t="str">
        <f>TEXT(Table13[[#This Row],[Order Date]],"mmm")</f>
        <v>Nov</v>
      </c>
      <c r="O920" s="6">
        <f>YEAR(Table13[[#This Row],[Order Date]])</f>
        <v>2025</v>
      </c>
    </row>
    <row r="921" spans="1:15" x14ac:dyDescent="0.3">
      <c r="A921" s="4" t="s">
        <v>1532</v>
      </c>
      <c r="B921" s="5">
        <v>45424</v>
      </c>
      <c r="C921" s="4" t="s">
        <v>768</v>
      </c>
      <c r="D921" s="4" t="s">
        <v>169</v>
      </c>
      <c r="E921" s="4" t="s">
        <v>29</v>
      </c>
      <c r="F921" s="4" t="s">
        <v>30</v>
      </c>
      <c r="G921" s="4" t="s">
        <v>40</v>
      </c>
      <c r="H921" s="4" t="s">
        <v>56</v>
      </c>
      <c r="I921" s="6">
        <v>5</v>
      </c>
      <c r="J921" s="6">
        <v>5030</v>
      </c>
      <c r="K921" s="6">
        <v>3773.09</v>
      </c>
      <c r="L921" s="6">
        <v>1256.9100000000001</v>
      </c>
      <c r="M921" s="11">
        <f>Table13[[#This Row],[Profit]]/Table13[[#This Row],[Sales]]</f>
        <v>0.24988270377733601</v>
      </c>
      <c r="N921" s="6" t="str">
        <f>TEXT(Table13[[#This Row],[Order Date]],"mmm")</f>
        <v>May</v>
      </c>
      <c r="O921" s="6">
        <f>YEAR(Table13[[#This Row],[Order Date]])</f>
        <v>2024</v>
      </c>
    </row>
    <row r="922" spans="1:15" x14ac:dyDescent="0.3">
      <c r="A922" s="4" t="s">
        <v>1533</v>
      </c>
      <c r="B922" s="5">
        <v>45797</v>
      </c>
      <c r="C922" s="4" t="s">
        <v>287</v>
      </c>
      <c r="D922" s="4" t="s">
        <v>508</v>
      </c>
      <c r="E922" s="4" t="s">
        <v>29</v>
      </c>
      <c r="F922" s="4" t="s">
        <v>30</v>
      </c>
      <c r="G922" s="4" t="s">
        <v>35</v>
      </c>
      <c r="H922" s="4" t="s">
        <v>80</v>
      </c>
      <c r="I922" s="6">
        <v>2</v>
      </c>
      <c r="J922" s="6">
        <v>7414</v>
      </c>
      <c r="K922" s="6">
        <v>6175.24</v>
      </c>
      <c r="L922" s="6">
        <v>1238.76</v>
      </c>
      <c r="M922" s="11">
        <f>Table13[[#This Row],[Profit]]/Table13[[#This Row],[Sales]]</f>
        <v>0.16708389533315349</v>
      </c>
      <c r="N922" s="6" t="str">
        <f>TEXT(Table13[[#This Row],[Order Date]],"mmm")</f>
        <v>May</v>
      </c>
      <c r="O922" s="6">
        <f>YEAR(Table13[[#This Row],[Order Date]])</f>
        <v>2025</v>
      </c>
    </row>
    <row r="923" spans="1:15" x14ac:dyDescent="0.3">
      <c r="A923" s="4" t="s">
        <v>1534</v>
      </c>
      <c r="B923" s="5">
        <v>45657</v>
      </c>
      <c r="C923" s="4" t="s">
        <v>1535</v>
      </c>
      <c r="D923" s="4" t="s">
        <v>1256</v>
      </c>
      <c r="E923" s="4" t="s">
        <v>29</v>
      </c>
      <c r="F923" s="4" t="s">
        <v>30</v>
      </c>
      <c r="G923" s="4" t="s">
        <v>24</v>
      </c>
      <c r="H923" s="4" t="s">
        <v>25</v>
      </c>
      <c r="I923" s="6">
        <v>1</v>
      </c>
      <c r="J923" s="6">
        <v>3239</v>
      </c>
      <c r="K923" s="6">
        <v>2637.43</v>
      </c>
      <c r="L923" s="6">
        <v>601.57000000000005</v>
      </c>
      <c r="M923" s="11">
        <f>Table13[[#This Row],[Profit]]/Table13[[#This Row],[Sales]]</f>
        <v>0.18572707625810436</v>
      </c>
      <c r="N923" s="6" t="str">
        <f>TEXT(Table13[[#This Row],[Order Date]],"mmm")</f>
        <v>Dec</v>
      </c>
      <c r="O923" s="6">
        <f>YEAR(Table13[[#This Row],[Order Date]])</f>
        <v>2024</v>
      </c>
    </row>
    <row r="924" spans="1:15" x14ac:dyDescent="0.3">
      <c r="A924" s="4" t="s">
        <v>1536</v>
      </c>
      <c r="B924" s="5">
        <v>45415</v>
      </c>
      <c r="C924" s="4" t="s">
        <v>65</v>
      </c>
      <c r="D924" s="4" t="s">
        <v>884</v>
      </c>
      <c r="E924" s="4" t="s">
        <v>15</v>
      </c>
      <c r="F924" s="4" t="s">
        <v>16</v>
      </c>
      <c r="G924" s="4" t="s">
        <v>40</v>
      </c>
      <c r="H924" s="4" t="s">
        <v>41</v>
      </c>
      <c r="I924" s="6">
        <v>7</v>
      </c>
      <c r="J924" s="6">
        <v>8631</v>
      </c>
      <c r="K924" s="6">
        <v>6346.11</v>
      </c>
      <c r="L924" s="6">
        <v>2284.89</v>
      </c>
      <c r="M924" s="11">
        <f>Table13[[#This Row],[Profit]]/Table13[[#This Row],[Sales]]</f>
        <v>0.26473062217587762</v>
      </c>
      <c r="N924" s="6" t="str">
        <f>TEXT(Table13[[#This Row],[Order Date]],"mmm")</f>
        <v>May</v>
      </c>
      <c r="O924" s="6">
        <f>YEAR(Table13[[#This Row],[Order Date]])</f>
        <v>2024</v>
      </c>
    </row>
    <row r="925" spans="1:15" x14ac:dyDescent="0.3">
      <c r="A925" s="4" t="s">
        <v>1537</v>
      </c>
      <c r="B925" s="5">
        <v>45862</v>
      </c>
      <c r="C925" s="4" t="s">
        <v>337</v>
      </c>
      <c r="D925" s="4" t="s">
        <v>607</v>
      </c>
      <c r="E925" s="4" t="s">
        <v>22</v>
      </c>
      <c r="F925" s="4" t="s">
        <v>67</v>
      </c>
      <c r="G925" s="4" t="s">
        <v>40</v>
      </c>
      <c r="H925" s="4" t="s">
        <v>41</v>
      </c>
      <c r="I925" s="6">
        <v>6</v>
      </c>
      <c r="J925" s="6">
        <v>4092</v>
      </c>
      <c r="K925" s="6">
        <v>3195.97</v>
      </c>
      <c r="L925" s="6">
        <v>896.03</v>
      </c>
      <c r="M925" s="11">
        <f>Table13[[#This Row],[Profit]]/Table13[[#This Row],[Sales]]</f>
        <v>0.21897116324535679</v>
      </c>
      <c r="N925" s="6" t="str">
        <f>TEXT(Table13[[#This Row],[Order Date]],"mmm")</f>
        <v>Jul</v>
      </c>
      <c r="O925" s="6">
        <f>YEAR(Table13[[#This Row],[Order Date]])</f>
        <v>2025</v>
      </c>
    </row>
    <row r="926" spans="1:15" x14ac:dyDescent="0.3">
      <c r="A926" s="4" t="s">
        <v>1538</v>
      </c>
      <c r="B926" s="5">
        <v>45405</v>
      </c>
      <c r="C926" s="4" t="s">
        <v>745</v>
      </c>
      <c r="D926" s="4" t="s">
        <v>1539</v>
      </c>
      <c r="E926" s="4" t="s">
        <v>15</v>
      </c>
      <c r="F926" s="4" t="s">
        <v>90</v>
      </c>
      <c r="G926" s="4" t="s">
        <v>24</v>
      </c>
      <c r="H926" s="4" t="s">
        <v>25</v>
      </c>
      <c r="I926" s="6">
        <v>8</v>
      </c>
      <c r="J926" s="6">
        <v>32352</v>
      </c>
      <c r="K926" s="6">
        <v>27136.67</v>
      </c>
      <c r="L926" s="6">
        <v>5215.33</v>
      </c>
      <c r="M926" s="11">
        <f>Table13[[#This Row],[Profit]]/Table13[[#This Row],[Sales]]</f>
        <v>0.16120579871414442</v>
      </c>
      <c r="N926" s="6" t="str">
        <f>TEXT(Table13[[#This Row],[Order Date]],"mmm")</f>
        <v>Apr</v>
      </c>
      <c r="O926" s="6">
        <f>YEAR(Table13[[#This Row],[Order Date]])</f>
        <v>2024</v>
      </c>
    </row>
    <row r="927" spans="1:15" x14ac:dyDescent="0.3">
      <c r="A927" s="4" t="s">
        <v>1540</v>
      </c>
      <c r="B927" s="5">
        <v>45662</v>
      </c>
      <c r="C927" s="4" t="s">
        <v>129</v>
      </c>
      <c r="D927" s="4" t="s">
        <v>332</v>
      </c>
      <c r="E927" s="4" t="s">
        <v>15</v>
      </c>
      <c r="F927" s="4" t="s">
        <v>90</v>
      </c>
      <c r="G927" s="4" t="s">
        <v>24</v>
      </c>
      <c r="H927" s="4" t="s">
        <v>50</v>
      </c>
      <c r="I927" s="6">
        <v>3</v>
      </c>
      <c r="J927" s="6">
        <v>3801</v>
      </c>
      <c r="K927" s="6">
        <v>3083.6</v>
      </c>
      <c r="L927" s="6">
        <v>717.4</v>
      </c>
      <c r="M927" s="11">
        <f>Table13[[#This Row],[Profit]]/Table13[[#This Row],[Sales]]</f>
        <v>0.18873980531439094</v>
      </c>
      <c r="N927" s="6" t="str">
        <f>TEXT(Table13[[#This Row],[Order Date]],"mmm")</f>
        <v>Jan</v>
      </c>
      <c r="O927" s="6">
        <f>YEAR(Table13[[#This Row],[Order Date]])</f>
        <v>2025</v>
      </c>
    </row>
    <row r="928" spans="1:15" x14ac:dyDescent="0.3">
      <c r="A928" s="4" t="s">
        <v>1541</v>
      </c>
      <c r="B928" s="5">
        <v>45634</v>
      </c>
      <c r="C928" s="4" t="s">
        <v>449</v>
      </c>
      <c r="D928" s="4" t="s">
        <v>327</v>
      </c>
      <c r="E928" s="4" t="s">
        <v>22</v>
      </c>
      <c r="F928" s="4" t="s">
        <v>79</v>
      </c>
      <c r="G928" s="4" t="s">
        <v>35</v>
      </c>
      <c r="H928" s="4" t="s">
        <v>80</v>
      </c>
      <c r="I928" s="6">
        <v>2</v>
      </c>
      <c r="J928" s="6">
        <v>3126</v>
      </c>
      <c r="K928" s="6">
        <v>2326.14</v>
      </c>
      <c r="L928" s="6">
        <v>799.86</v>
      </c>
      <c r="M928" s="11">
        <f>Table13[[#This Row],[Profit]]/Table13[[#This Row],[Sales]]</f>
        <v>0.25587332053742801</v>
      </c>
      <c r="N928" s="6" t="str">
        <f>TEXT(Table13[[#This Row],[Order Date]],"mmm")</f>
        <v>Dec</v>
      </c>
      <c r="O928" s="6">
        <f>YEAR(Table13[[#This Row],[Order Date]])</f>
        <v>2024</v>
      </c>
    </row>
    <row r="929" spans="1:15" x14ac:dyDescent="0.3">
      <c r="A929" s="4" t="s">
        <v>1542</v>
      </c>
      <c r="B929" s="5">
        <v>45777</v>
      </c>
      <c r="C929" s="4" t="s">
        <v>248</v>
      </c>
      <c r="D929" s="4" t="s">
        <v>589</v>
      </c>
      <c r="E929" s="4" t="s">
        <v>29</v>
      </c>
      <c r="F929" s="4" t="s">
        <v>49</v>
      </c>
      <c r="G929" s="4" t="s">
        <v>35</v>
      </c>
      <c r="H929" s="4" t="s">
        <v>36</v>
      </c>
      <c r="I929" s="6">
        <v>1</v>
      </c>
      <c r="J929" s="6">
        <v>2309</v>
      </c>
      <c r="K929" s="6">
        <v>1848.23</v>
      </c>
      <c r="L929" s="6">
        <v>460.77</v>
      </c>
      <c r="M929" s="11">
        <f>Table13[[#This Row],[Profit]]/Table13[[#This Row],[Sales]]</f>
        <v>0.19955391944564746</v>
      </c>
      <c r="N929" s="6" t="str">
        <f>TEXT(Table13[[#This Row],[Order Date]],"mmm")</f>
        <v>Apr</v>
      </c>
      <c r="O929" s="6">
        <f>YEAR(Table13[[#This Row],[Order Date]])</f>
        <v>2025</v>
      </c>
    </row>
    <row r="930" spans="1:15" x14ac:dyDescent="0.3">
      <c r="A930" s="4" t="s">
        <v>1543</v>
      </c>
      <c r="B930" s="5">
        <v>45972</v>
      </c>
      <c r="C930" s="4" t="s">
        <v>197</v>
      </c>
      <c r="D930" s="4" t="s">
        <v>607</v>
      </c>
      <c r="E930" s="4" t="s">
        <v>29</v>
      </c>
      <c r="F930" s="4" t="s">
        <v>102</v>
      </c>
      <c r="G930" s="4" t="s">
        <v>40</v>
      </c>
      <c r="H930" s="4" t="s">
        <v>99</v>
      </c>
      <c r="I930" s="6">
        <v>6</v>
      </c>
      <c r="J930" s="6">
        <v>22194</v>
      </c>
      <c r="K930" s="6">
        <v>14607.94</v>
      </c>
      <c r="L930" s="6">
        <v>7586.06</v>
      </c>
      <c r="M930" s="11">
        <f>Table13[[#This Row],[Profit]]/Table13[[#This Row],[Sales]]</f>
        <v>0.34180679462917907</v>
      </c>
      <c r="N930" s="6" t="str">
        <f>TEXT(Table13[[#This Row],[Order Date]],"mmm")</f>
        <v>Nov</v>
      </c>
      <c r="O930" s="6">
        <f>YEAR(Table13[[#This Row],[Order Date]])</f>
        <v>2025</v>
      </c>
    </row>
    <row r="931" spans="1:15" x14ac:dyDescent="0.3">
      <c r="A931" s="4" t="s">
        <v>1544</v>
      </c>
      <c r="B931" s="5">
        <v>45761</v>
      </c>
      <c r="C931" s="4" t="s">
        <v>505</v>
      </c>
      <c r="D931" s="4" t="s">
        <v>459</v>
      </c>
      <c r="E931" s="4" t="s">
        <v>22</v>
      </c>
      <c r="F931" s="4" t="s">
        <v>23</v>
      </c>
      <c r="G931" s="4" t="s">
        <v>24</v>
      </c>
      <c r="H931" s="4" t="s">
        <v>166</v>
      </c>
      <c r="I931" s="6">
        <v>7</v>
      </c>
      <c r="J931" s="6">
        <v>25802</v>
      </c>
      <c r="K931" s="6">
        <v>21297.13</v>
      </c>
      <c r="L931" s="6">
        <v>4504.87</v>
      </c>
      <c r="M931" s="11">
        <f>Table13[[#This Row],[Profit]]/Table13[[#This Row],[Sales]]</f>
        <v>0.17459382993566389</v>
      </c>
      <c r="N931" s="6" t="str">
        <f>TEXT(Table13[[#This Row],[Order Date]],"mmm")</f>
        <v>Apr</v>
      </c>
      <c r="O931" s="6">
        <f>YEAR(Table13[[#This Row],[Order Date]])</f>
        <v>2025</v>
      </c>
    </row>
    <row r="932" spans="1:15" x14ac:dyDescent="0.3">
      <c r="A932" s="4" t="s">
        <v>1545</v>
      </c>
      <c r="B932" s="5">
        <v>45378</v>
      </c>
      <c r="C932" s="4" t="s">
        <v>535</v>
      </c>
      <c r="D932" s="4" t="s">
        <v>711</v>
      </c>
      <c r="E932" s="4" t="s">
        <v>15</v>
      </c>
      <c r="F932" s="4" t="s">
        <v>63</v>
      </c>
      <c r="G932" s="4" t="s">
        <v>24</v>
      </c>
      <c r="H932" s="4" t="s">
        <v>166</v>
      </c>
      <c r="I932" s="6">
        <v>1</v>
      </c>
      <c r="J932" s="6">
        <v>4538</v>
      </c>
      <c r="K932" s="6">
        <v>3780.58</v>
      </c>
      <c r="L932" s="6">
        <v>757.42</v>
      </c>
      <c r="M932" s="11">
        <f>Table13[[#This Row],[Profit]]/Table13[[#This Row],[Sales]]</f>
        <v>0.16690612604671662</v>
      </c>
      <c r="N932" s="6" t="str">
        <f>TEXT(Table13[[#This Row],[Order Date]],"mmm")</f>
        <v>Mar</v>
      </c>
      <c r="O932" s="6">
        <f>YEAR(Table13[[#This Row],[Order Date]])</f>
        <v>2024</v>
      </c>
    </row>
    <row r="933" spans="1:15" x14ac:dyDescent="0.3">
      <c r="A933" s="4" t="s">
        <v>1546</v>
      </c>
      <c r="B933" s="5">
        <v>45968</v>
      </c>
      <c r="C933" s="4" t="s">
        <v>477</v>
      </c>
      <c r="D933" s="4" t="s">
        <v>372</v>
      </c>
      <c r="E933" s="4" t="s">
        <v>22</v>
      </c>
      <c r="F933" s="4" t="s">
        <v>23</v>
      </c>
      <c r="G933" s="4" t="s">
        <v>35</v>
      </c>
      <c r="H933" s="4" t="s">
        <v>36</v>
      </c>
      <c r="I933" s="6">
        <v>1</v>
      </c>
      <c r="J933" s="6">
        <v>3521</v>
      </c>
      <c r="K933" s="6">
        <v>2738.48</v>
      </c>
      <c r="L933" s="6">
        <v>782.52</v>
      </c>
      <c r="M933" s="11">
        <f>Table13[[#This Row],[Profit]]/Table13[[#This Row],[Sales]]</f>
        <v>0.22224368077250781</v>
      </c>
      <c r="N933" s="6" t="str">
        <f>TEXT(Table13[[#This Row],[Order Date]],"mmm")</f>
        <v>Nov</v>
      </c>
      <c r="O933" s="6">
        <f>YEAR(Table13[[#This Row],[Order Date]])</f>
        <v>2025</v>
      </c>
    </row>
    <row r="934" spans="1:15" x14ac:dyDescent="0.3">
      <c r="A934" s="4" t="s">
        <v>1547</v>
      </c>
      <c r="B934" s="5">
        <v>45989</v>
      </c>
      <c r="C934" s="4" t="s">
        <v>474</v>
      </c>
      <c r="D934" s="4" t="s">
        <v>190</v>
      </c>
      <c r="E934" s="4" t="s">
        <v>15</v>
      </c>
      <c r="F934" s="4" t="s">
        <v>90</v>
      </c>
      <c r="G934" s="4" t="s">
        <v>17</v>
      </c>
      <c r="H934" s="4" t="s">
        <v>18</v>
      </c>
      <c r="I934" s="6">
        <v>9</v>
      </c>
      <c r="J934" s="6">
        <v>24498</v>
      </c>
      <c r="K934" s="6">
        <v>16555.54</v>
      </c>
      <c r="L934" s="6">
        <v>7942.46</v>
      </c>
      <c r="M934" s="11">
        <f>Table13[[#This Row],[Profit]]/Table13[[#This Row],[Sales]]</f>
        <v>0.32420850681688301</v>
      </c>
      <c r="N934" s="6" t="str">
        <f>TEXT(Table13[[#This Row],[Order Date]],"mmm")</f>
        <v>Nov</v>
      </c>
      <c r="O934" s="6">
        <f>YEAR(Table13[[#This Row],[Order Date]])</f>
        <v>2025</v>
      </c>
    </row>
    <row r="935" spans="1:15" x14ac:dyDescent="0.3">
      <c r="A935" s="4" t="s">
        <v>1548</v>
      </c>
      <c r="B935" s="5">
        <v>45442</v>
      </c>
      <c r="C935" s="4" t="s">
        <v>132</v>
      </c>
      <c r="D935" s="4" t="s">
        <v>639</v>
      </c>
      <c r="E935" s="4" t="s">
        <v>54</v>
      </c>
      <c r="F935" s="4" t="s">
        <v>55</v>
      </c>
      <c r="G935" s="4" t="s">
        <v>24</v>
      </c>
      <c r="H935" s="4" t="s">
        <v>25</v>
      </c>
      <c r="I935" s="6">
        <v>5</v>
      </c>
      <c r="J935" s="6">
        <v>23115</v>
      </c>
      <c r="K935" s="6">
        <v>16946.080000000002</v>
      </c>
      <c r="L935" s="6">
        <v>6168.92</v>
      </c>
      <c r="M935" s="11">
        <f>Table13[[#This Row],[Profit]]/Table13[[#This Row],[Sales]]</f>
        <v>0.26687951546614752</v>
      </c>
      <c r="N935" s="6" t="str">
        <f>TEXT(Table13[[#This Row],[Order Date]],"mmm")</f>
        <v>May</v>
      </c>
      <c r="O935" s="6">
        <f>YEAR(Table13[[#This Row],[Order Date]])</f>
        <v>2024</v>
      </c>
    </row>
    <row r="936" spans="1:15" x14ac:dyDescent="0.3">
      <c r="A936" s="4" t="s">
        <v>1549</v>
      </c>
      <c r="B936" s="5">
        <v>45956</v>
      </c>
      <c r="C936" s="4" t="s">
        <v>544</v>
      </c>
      <c r="D936" s="4" t="s">
        <v>243</v>
      </c>
      <c r="E936" s="4" t="s">
        <v>29</v>
      </c>
      <c r="F936" s="4" t="s">
        <v>30</v>
      </c>
      <c r="G936" s="4" t="s">
        <v>17</v>
      </c>
      <c r="H936" s="4" t="s">
        <v>72</v>
      </c>
      <c r="I936" s="6">
        <v>10</v>
      </c>
      <c r="J936" s="6">
        <v>39220</v>
      </c>
      <c r="K936" s="6">
        <v>29777.439999999999</v>
      </c>
      <c r="L936" s="6">
        <v>9442.56</v>
      </c>
      <c r="M936" s="11">
        <f>Table13[[#This Row],[Profit]]/Table13[[#This Row],[Sales]]</f>
        <v>0.24075879653238141</v>
      </c>
      <c r="N936" s="6" t="str">
        <f>TEXT(Table13[[#This Row],[Order Date]],"mmm")</f>
        <v>Oct</v>
      </c>
      <c r="O936" s="6">
        <f>YEAR(Table13[[#This Row],[Order Date]])</f>
        <v>2025</v>
      </c>
    </row>
    <row r="937" spans="1:15" x14ac:dyDescent="0.3">
      <c r="A937" s="4" t="s">
        <v>1550</v>
      </c>
      <c r="B937" s="5">
        <v>45421</v>
      </c>
      <c r="C937" s="4" t="s">
        <v>848</v>
      </c>
      <c r="D937" s="4" t="s">
        <v>496</v>
      </c>
      <c r="E937" s="4" t="s">
        <v>54</v>
      </c>
      <c r="F937" s="4" t="s">
        <v>142</v>
      </c>
      <c r="G937" s="4" t="s">
        <v>24</v>
      </c>
      <c r="H937" s="4" t="s">
        <v>25</v>
      </c>
      <c r="I937" s="6">
        <v>9</v>
      </c>
      <c r="J937" s="6">
        <v>27360</v>
      </c>
      <c r="K937" s="6">
        <v>18249.07</v>
      </c>
      <c r="L937" s="6">
        <v>9110.93</v>
      </c>
      <c r="M937" s="11">
        <f>Table13[[#This Row],[Profit]]/Table13[[#This Row],[Sales]]</f>
        <v>0.33300182748538015</v>
      </c>
      <c r="N937" s="6" t="str">
        <f>TEXT(Table13[[#This Row],[Order Date]],"mmm")</f>
        <v>May</v>
      </c>
      <c r="O937" s="6">
        <f>YEAR(Table13[[#This Row],[Order Date]])</f>
        <v>2024</v>
      </c>
    </row>
    <row r="938" spans="1:15" x14ac:dyDescent="0.3">
      <c r="A938" s="4" t="s">
        <v>1551</v>
      </c>
      <c r="B938" s="5">
        <v>45640</v>
      </c>
      <c r="C938" s="4" t="s">
        <v>1535</v>
      </c>
      <c r="D938" s="4" t="s">
        <v>663</v>
      </c>
      <c r="E938" s="4" t="s">
        <v>54</v>
      </c>
      <c r="F938" s="4" t="s">
        <v>142</v>
      </c>
      <c r="G938" s="4" t="s">
        <v>24</v>
      </c>
      <c r="H938" s="4" t="s">
        <v>50</v>
      </c>
      <c r="I938" s="6">
        <v>9</v>
      </c>
      <c r="J938" s="6">
        <v>43380</v>
      </c>
      <c r="K938" s="6">
        <v>27922.65</v>
      </c>
      <c r="L938" s="6">
        <v>15457.35</v>
      </c>
      <c r="M938" s="11">
        <f>Table13[[#This Row],[Profit]]/Table13[[#This Row],[Sales]]</f>
        <v>0.35632434301521437</v>
      </c>
      <c r="N938" s="6" t="str">
        <f>TEXT(Table13[[#This Row],[Order Date]],"mmm")</f>
        <v>Dec</v>
      </c>
      <c r="O938" s="6">
        <f>YEAR(Table13[[#This Row],[Order Date]])</f>
        <v>2024</v>
      </c>
    </row>
    <row r="939" spans="1:15" x14ac:dyDescent="0.3">
      <c r="A939" s="4" t="s">
        <v>1552</v>
      </c>
      <c r="B939" s="5">
        <v>45603</v>
      </c>
      <c r="C939" s="4" t="s">
        <v>95</v>
      </c>
      <c r="D939" s="4" t="s">
        <v>696</v>
      </c>
      <c r="E939" s="4" t="s">
        <v>15</v>
      </c>
      <c r="F939" s="4" t="s">
        <v>90</v>
      </c>
      <c r="G939" s="4" t="s">
        <v>17</v>
      </c>
      <c r="H939" s="4" t="s">
        <v>72</v>
      </c>
      <c r="I939" s="6">
        <v>5</v>
      </c>
      <c r="J939" s="6">
        <v>11385</v>
      </c>
      <c r="K939" s="6">
        <v>9104.23</v>
      </c>
      <c r="L939" s="6">
        <v>2280.77</v>
      </c>
      <c r="M939" s="11">
        <f>Table13[[#This Row],[Profit]]/Table13[[#This Row],[Sales]]</f>
        <v>0.20033113746157225</v>
      </c>
      <c r="N939" s="6" t="str">
        <f>TEXT(Table13[[#This Row],[Order Date]],"mmm")</f>
        <v>Nov</v>
      </c>
      <c r="O939" s="6">
        <f>YEAR(Table13[[#This Row],[Order Date]])</f>
        <v>2024</v>
      </c>
    </row>
    <row r="940" spans="1:15" x14ac:dyDescent="0.3">
      <c r="A940" s="4" t="s">
        <v>1553</v>
      </c>
      <c r="B940" s="5">
        <v>45654</v>
      </c>
      <c r="C940" s="4" t="s">
        <v>966</v>
      </c>
      <c r="D940" s="4" t="s">
        <v>793</v>
      </c>
      <c r="E940" s="4" t="s">
        <v>15</v>
      </c>
      <c r="F940" s="4" t="s">
        <v>90</v>
      </c>
      <c r="G940" s="4" t="s">
        <v>24</v>
      </c>
      <c r="H940" s="4" t="s">
        <v>25</v>
      </c>
      <c r="I940" s="6">
        <v>6</v>
      </c>
      <c r="J940" s="6">
        <v>14562</v>
      </c>
      <c r="K940" s="6">
        <v>10748.17</v>
      </c>
      <c r="L940" s="6">
        <v>3813.83</v>
      </c>
      <c r="M940" s="11">
        <f>Table13[[#This Row],[Profit]]/Table13[[#This Row],[Sales]]</f>
        <v>0.2619028979535778</v>
      </c>
      <c r="N940" s="6" t="str">
        <f>TEXT(Table13[[#This Row],[Order Date]],"mmm")</f>
        <v>Dec</v>
      </c>
      <c r="O940" s="6">
        <f>YEAR(Table13[[#This Row],[Order Date]])</f>
        <v>2024</v>
      </c>
    </row>
    <row r="941" spans="1:15" x14ac:dyDescent="0.3">
      <c r="A941" s="4" t="s">
        <v>1554</v>
      </c>
      <c r="B941" s="5">
        <v>45533</v>
      </c>
      <c r="C941" s="4" t="s">
        <v>951</v>
      </c>
      <c r="D941" s="4" t="s">
        <v>246</v>
      </c>
      <c r="E941" s="4" t="s">
        <v>15</v>
      </c>
      <c r="F941" s="4" t="s">
        <v>63</v>
      </c>
      <c r="G941" s="4" t="s">
        <v>40</v>
      </c>
      <c r="H941" s="4" t="s">
        <v>99</v>
      </c>
      <c r="I941" s="6">
        <v>10</v>
      </c>
      <c r="J941" s="6">
        <v>3420</v>
      </c>
      <c r="K941" s="6">
        <v>2345.9299999999998</v>
      </c>
      <c r="L941" s="6">
        <v>1074.07</v>
      </c>
      <c r="M941" s="11">
        <f>Table13[[#This Row],[Profit]]/Table13[[#This Row],[Sales]]</f>
        <v>0.31405555555555553</v>
      </c>
      <c r="N941" s="6" t="str">
        <f>TEXT(Table13[[#This Row],[Order Date]],"mmm")</f>
        <v>Aug</v>
      </c>
      <c r="O941" s="6">
        <f>YEAR(Table13[[#This Row],[Order Date]])</f>
        <v>2024</v>
      </c>
    </row>
    <row r="942" spans="1:15" x14ac:dyDescent="0.3">
      <c r="A942" s="4" t="s">
        <v>1555</v>
      </c>
      <c r="B942" s="5">
        <v>45678</v>
      </c>
      <c r="C942" s="4" t="s">
        <v>848</v>
      </c>
      <c r="D942" s="4" t="s">
        <v>1556</v>
      </c>
      <c r="E942" s="4" t="s">
        <v>29</v>
      </c>
      <c r="F942" s="4" t="s">
        <v>49</v>
      </c>
      <c r="G942" s="4" t="s">
        <v>40</v>
      </c>
      <c r="H942" s="4" t="s">
        <v>99</v>
      </c>
      <c r="I942" s="6">
        <v>5</v>
      </c>
      <c r="J942" s="6">
        <v>24960</v>
      </c>
      <c r="K942" s="6">
        <v>18763.18</v>
      </c>
      <c r="L942" s="6">
        <v>6196.82</v>
      </c>
      <c r="M942" s="11">
        <f>Table13[[#This Row],[Profit]]/Table13[[#This Row],[Sales]]</f>
        <v>0.24827003205128204</v>
      </c>
      <c r="N942" s="6" t="str">
        <f>TEXT(Table13[[#This Row],[Order Date]],"mmm")</f>
        <v>Jan</v>
      </c>
      <c r="O942" s="6">
        <f>YEAR(Table13[[#This Row],[Order Date]])</f>
        <v>2025</v>
      </c>
    </row>
    <row r="943" spans="1:15" x14ac:dyDescent="0.3">
      <c r="A943" s="4" t="s">
        <v>1557</v>
      </c>
      <c r="B943" s="5">
        <v>45661</v>
      </c>
      <c r="C943" s="4" t="s">
        <v>1240</v>
      </c>
      <c r="D943" s="4" t="s">
        <v>417</v>
      </c>
      <c r="E943" s="4" t="s">
        <v>15</v>
      </c>
      <c r="F943" s="4" t="s">
        <v>63</v>
      </c>
      <c r="G943" s="4" t="s">
        <v>35</v>
      </c>
      <c r="H943" s="4" t="s">
        <v>45</v>
      </c>
      <c r="I943" s="6">
        <v>10</v>
      </c>
      <c r="J943" s="6">
        <v>18770</v>
      </c>
      <c r="K943" s="6">
        <v>14956.93</v>
      </c>
      <c r="L943" s="6">
        <v>3813.07</v>
      </c>
      <c r="M943" s="11">
        <f>Table13[[#This Row],[Profit]]/Table13[[#This Row],[Sales]]</f>
        <v>0.20314704315396911</v>
      </c>
      <c r="N943" s="6" t="str">
        <f>TEXT(Table13[[#This Row],[Order Date]],"mmm")</f>
        <v>Jan</v>
      </c>
      <c r="O943" s="6">
        <f>YEAR(Table13[[#This Row],[Order Date]])</f>
        <v>2025</v>
      </c>
    </row>
    <row r="944" spans="1:15" x14ac:dyDescent="0.3">
      <c r="A944" s="4" t="s">
        <v>1558</v>
      </c>
      <c r="B944" s="5">
        <v>45727</v>
      </c>
      <c r="C944" s="4" t="s">
        <v>451</v>
      </c>
      <c r="D944" s="4" t="s">
        <v>198</v>
      </c>
      <c r="E944" s="4" t="s">
        <v>29</v>
      </c>
      <c r="F944" s="4" t="s">
        <v>30</v>
      </c>
      <c r="G944" s="4" t="s">
        <v>35</v>
      </c>
      <c r="H944" s="4" t="s">
        <v>36</v>
      </c>
      <c r="I944" s="6">
        <v>7</v>
      </c>
      <c r="J944" s="6">
        <v>6797</v>
      </c>
      <c r="K944" s="6">
        <v>3926.45</v>
      </c>
      <c r="L944" s="6">
        <v>2870.55</v>
      </c>
      <c r="M944" s="11">
        <f>Table13[[#This Row],[Profit]]/Table13[[#This Row],[Sales]]</f>
        <v>0.42232602618802417</v>
      </c>
      <c r="N944" s="6" t="str">
        <f>TEXT(Table13[[#This Row],[Order Date]],"mmm")</f>
        <v>Mar</v>
      </c>
      <c r="O944" s="6">
        <f>YEAR(Table13[[#This Row],[Order Date]])</f>
        <v>2025</v>
      </c>
    </row>
    <row r="945" spans="1:15" x14ac:dyDescent="0.3">
      <c r="A945" s="4" t="s">
        <v>1559</v>
      </c>
      <c r="B945" s="5">
        <v>45864</v>
      </c>
      <c r="C945" s="4" t="s">
        <v>1112</v>
      </c>
      <c r="D945" s="4" t="s">
        <v>462</v>
      </c>
      <c r="E945" s="4" t="s">
        <v>29</v>
      </c>
      <c r="F945" s="4" t="s">
        <v>49</v>
      </c>
      <c r="G945" s="4" t="s">
        <v>24</v>
      </c>
      <c r="H945" s="4" t="s">
        <v>50</v>
      </c>
      <c r="I945" s="6">
        <v>6</v>
      </c>
      <c r="J945" s="6">
        <v>27666</v>
      </c>
      <c r="K945" s="6">
        <v>18559.080000000002</v>
      </c>
      <c r="L945" s="6">
        <v>9106.92</v>
      </c>
      <c r="M945" s="11">
        <f>Table13[[#This Row],[Profit]]/Table13[[#This Row],[Sales]]</f>
        <v>0.32917371502927784</v>
      </c>
      <c r="N945" s="6" t="str">
        <f>TEXT(Table13[[#This Row],[Order Date]],"mmm")</f>
        <v>Jul</v>
      </c>
      <c r="O945" s="6">
        <f>YEAR(Table13[[#This Row],[Order Date]])</f>
        <v>2025</v>
      </c>
    </row>
    <row r="946" spans="1:15" x14ac:dyDescent="0.3">
      <c r="A946" s="4" t="s">
        <v>1560</v>
      </c>
      <c r="B946" s="5">
        <v>45793</v>
      </c>
      <c r="C946" s="4" t="s">
        <v>455</v>
      </c>
      <c r="D946" s="4" t="s">
        <v>48</v>
      </c>
      <c r="E946" s="4" t="s">
        <v>54</v>
      </c>
      <c r="F946" s="4" t="s">
        <v>71</v>
      </c>
      <c r="G946" s="4" t="s">
        <v>35</v>
      </c>
      <c r="H946" s="4" t="s">
        <v>80</v>
      </c>
      <c r="I946" s="6">
        <v>7</v>
      </c>
      <c r="J946" s="6">
        <v>27335</v>
      </c>
      <c r="K946" s="6">
        <v>20684.54</v>
      </c>
      <c r="L946" s="6">
        <v>6650.46</v>
      </c>
      <c r="M946" s="11">
        <f>Table13[[#This Row],[Profit]]/Table13[[#This Row],[Sales]]</f>
        <v>0.24329467715383207</v>
      </c>
      <c r="N946" s="6" t="str">
        <f>TEXT(Table13[[#This Row],[Order Date]],"mmm")</f>
        <v>May</v>
      </c>
      <c r="O946" s="6">
        <f>YEAR(Table13[[#This Row],[Order Date]])</f>
        <v>2025</v>
      </c>
    </row>
    <row r="947" spans="1:15" x14ac:dyDescent="0.3">
      <c r="A947" s="4" t="s">
        <v>1561</v>
      </c>
      <c r="B947" s="5">
        <v>46013</v>
      </c>
      <c r="C947" s="4" t="s">
        <v>933</v>
      </c>
      <c r="D947" s="4" t="s">
        <v>816</v>
      </c>
      <c r="E947" s="4" t="s">
        <v>29</v>
      </c>
      <c r="F947" s="4" t="s">
        <v>30</v>
      </c>
      <c r="G947" s="4" t="s">
        <v>24</v>
      </c>
      <c r="H947" s="4" t="s">
        <v>166</v>
      </c>
      <c r="I947" s="6">
        <v>8</v>
      </c>
      <c r="J947" s="6">
        <v>32392</v>
      </c>
      <c r="K947" s="6">
        <v>19072.91</v>
      </c>
      <c r="L947" s="6">
        <v>13319.09</v>
      </c>
      <c r="M947" s="11">
        <f>Table13[[#This Row],[Profit]]/Table13[[#This Row],[Sales]]</f>
        <v>0.41118455174117069</v>
      </c>
      <c r="N947" s="6" t="str">
        <f>TEXT(Table13[[#This Row],[Order Date]],"mmm")</f>
        <v>Dec</v>
      </c>
      <c r="O947" s="6">
        <f>YEAR(Table13[[#This Row],[Order Date]])</f>
        <v>2025</v>
      </c>
    </row>
    <row r="948" spans="1:15" x14ac:dyDescent="0.3">
      <c r="A948" s="4" t="s">
        <v>1562</v>
      </c>
      <c r="B948" s="5">
        <v>45452</v>
      </c>
      <c r="C948" s="4" t="s">
        <v>1294</v>
      </c>
      <c r="D948" s="4" t="s">
        <v>394</v>
      </c>
      <c r="E948" s="4" t="s">
        <v>15</v>
      </c>
      <c r="F948" s="4" t="s">
        <v>90</v>
      </c>
      <c r="G948" s="4" t="s">
        <v>40</v>
      </c>
      <c r="H948" s="4" t="s">
        <v>56</v>
      </c>
      <c r="I948" s="6">
        <v>8</v>
      </c>
      <c r="J948" s="6">
        <v>33416</v>
      </c>
      <c r="K948" s="6">
        <v>18705.68</v>
      </c>
      <c r="L948" s="6">
        <v>14710.32</v>
      </c>
      <c r="M948" s="11">
        <f>Table13[[#This Row],[Profit]]/Table13[[#This Row],[Sales]]</f>
        <v>0.44021785970792432</v>
      </c>
      <c r="N948" s="6" t="str">
        <f>TEXT(Table13[[#This Row],[Order Date]],"mmm")</f>
        <v>Jun</v>
      </c>
      <c r="O948" s="6">
        <f>YEAR(Table13[[#This Row],[Order Date]])</f>
        <v>2024</v>
      </c>
    </row>
    <row r="949" spans="1:15" x14ac:dyDescent="0.3">
      <c r="A949" s="4" t="s">
        <v>1563</v>
      </c>
      <c r="B949" s="5">
        <v>45588</v>
      </c>
      <c r="C949" s="4" t="s">
        <v>680</v>
      </c>
      <c r="D949" s="4" t="s">
        <v>135</v>
      </c>
      <c r="E949" s="4" t="s">
        <v>15</v>
      </c>
      <c r="F949" s="4" t="s">
        <v>90</v>
      </c>
      <c r="G949" s="4" t="s">
        <v>35</v>
      </c>
      <c r="H949" s="4" t="s">
        <v>36</v>
      </c>
      <c r="I949" s="6">
        <v>2</v>
      </c>
      <c r="J949" s="6">
        <v>2580</v>
      </c>
      <c r="K949" s="6">
        <v>1705.06</v>
      </c>
      <c r="L949" s="6">
        <v>874.94</v>
      </c>
      <c r="M949" s="11">
        <f>Table13[[#This Row],[Profit]]/Table13[[#This Row],[Sales]]</f>
        <v>0.33912403100775196</v>
      </c>
      <c r="N949" s="6" t="str">
        <f>TEXT(Table13[[#This Row],[Order Date]],"mmm")</f>
        <v>Oct</v>
      </c>
      <c r="O949" s="6">
        <f>YEAR(Table13[[#This Row],[Order Date]])</f>
        <v>2024</v>
      </c>
    </row>
    <row r="950" spans="1:15" x14ac:dyDescent="0.3">
      <c r="A950" s="4" t="s">
        <v>1564</v>
      </c>
      <c r="B950" s="5">
        <v>45789</v>
      </c>
      <c r="C950" s="4" t="s">
        <v>1255</v>
      </c>
      <c r="D950" s="4" t="s">
        <v>520</v>
      </c>
      <c r="E950" s="4" t="s">
        <v>29</v>
      </c>
      <c r="F950" s="4" t="s">
        <v>102</v>
      </c>
      <c r="G950" s="4" t="s">
        <v>40</v>
      </c>
      <c r="H950" s="4" t="s">
        <v>41</v>
      </c>
      <c r="I950" s="6">
        <v>5</v>
      </c>
      <c r="J950" s="6">
        <v>16835</v>
      </c>
      <c r="K950" s="6">
        <v>10790.87</v>
      </c>
      <c r="L950" s="6">
        <v>6044.13</v>
      </c>
      <c r="M950" s="11">
        <f>Table13[[#This Row],[Profit]]/Table13[[#This Row],[Sales]]</f>
        <v>0.35902168102168103</v>
      </c>
      <c r="N950" s="6" t="str">
        <f>TEXT(Table13[[#This Row],[Order Date]],"mmm")</f>
        <v>May</v>
      </c>
      <c r="O950" s="6">
        <f>YEAR(Table13[[#This Row],[Order Date]])</f>
        <v>2025</v>
      </c>
    </row>
    <row r="951" spans="1:15" x14ac:dyDescent="0.3">
      <c r="A951" s="4" t="s">
        <v>1565</v>
      </c>
      <c r="B951" s="5">
        <v>45512</v>
      </c>
      <c r="C951" s="4" t="s">
        <v>565</v>
      </c>
      <c r="D951" s="4" t="s">
        <v>762</v>
      </c>
      <c r="E951" s="4" t="s">
        <v>29</v>
      </c>
      <c r="F951" s="4" t="s">
        <v>30</v>
      </c>
      <c r="G951" s="4" t="s">
        <v>35</v>
      </c>
      <c r="H951" s="4" t="s">
        <v>36</v>
      </c>
      <c r="I951" s="6">
        <v>1</v>
      </c>
      <c r="J951" s="6">
        <v>2799</v>
      </c>
      <c r="K951" s="6">
        <v>2285.9899999999998</v>
      </c>
      <c r="L951" s="6">
        <v>513.01</v>
      </c>
      <c r="M951" s="11">
        <f>Table13[[#This Row],[Profit]]/Table13[[#This Row],[Sales]]</f>
        <v>0.18328331546981064</v>
      </c>
      <c r="N951" s="6" t="str">
        <f>TEXT(Table13[[#This Row],[Order Date]],"mmm")</f>
        <v>Aug</v>
      </c>
      <c r="O951" s="6">
        <f>YEAR(Table13[[#This Row],[Order Date]])</f>
        <v>2024</v>
      </c>
    </row>
    <row r="952" spans="1:15" x14ac:dyDescent="0.3">
      <c r="A952" s="4" t="s">
        <v>1566</v>
      </c>
      <c r="B952" s="5">
        <v>45719</v>
      </c>
      <c r="C952" s="4" t="s">
        <v>1156</v>
      </c>
      <c r="D952" s="4" t="s">
        <v>1274</v>
      </c>
      <c r="E952" s="4" t="s">
        <v>15</v>
      </c>
      <c r="F952" s="4" t="s">
        <v>16</v>
      </c>
      <c r="G952" s="4" t="s">
        <v>35</v>
      </c>
      <c r="H952" s="4" t="s">
        <v>45</v>
      </c>
      <c r="I952" s="6">
        <v>6</v>
      </c>
      <c r="J952" s="6">
        <v>5118</v>
      </c>
      <c r="K952" s="6">
        <v>4151.3500000000004</v>
      </c>
      <c r="L952" s="6">
        <v>966.65</v>
      </c>
      <c r="M952" s="11">
        <f>Table13[[#This Row],[Profit]]/Table13[[#This Row],[Sales]]</f>
        <v>0.18887260648690896</v>
      </c>
      <c r="N952" s="6" t="str">
        <f>TEXT(Table13[[#This Row],[Order Date]],"mmm")</f>
        <v>Mar</v>
      </c>
      <c r="O952" s="6">
        <f>YEAR(Table13[[#This Row],[Order Date]])</f>
        <v>2025</v>
      </c>
    </row>
    <row r="953" spans="1:15" x14ac:dyDescent="0.3">
      <c r="A953" s="4" t="s">
        <v>1567</v>
      </c>
      <c r="B953" s="5">
        <v>45912</v>
      </c>
      <c r="C953" s="4" t="s">
        <v>403</v>
      </c>
      <c r="D953" s="4" t="s">
        <v>377</v>
      </c>
      <c r="E953" s="4" t="s">
        <v>54</v>
      </c>
      <c r="F953" s="4" t="s">
        <v>71</v>
      </c>
      <c r="G953" s="4" t="s">
        <v>35</v>
      </c>
      <c r="H953" s="4" t="s">
        <v>80</v>
      </c>
      <c r="I953" s="6">
        <v>6</v>
      </c>
      <c r="J953" s="6">
        <v>20340</v>
      </c>
      <c r="K953" s="6">
        <v>14086.84</v>
      </c>
      <c r="L953" s="6">
        <v>6253.16</v>
      </c>
      <c r="M953" s="11">
        <f>Table13[[#This Row],[Profit]]/Table13[[#This Row],[Sales]]</f>
        <v>0.30743166175024583</v>
      </c>
      <c r="N953" s="6" t="str">
        <f>TEXT(Table13[[#This Row],[Order Date]],"mmm")</f>
        <v>Sep</v>
      </c>
      <c r="O953" s="6">
        <f>YEAR(Table13[[#This Row],[Order Date]])</f>
        <v>2025</v>
      </c>
    </row>
    <row r="954" spans="1:15" x14ac:dyDescent="0.3">
      <c r="A954" s="4" t="s">
        <v>1568</v>
      </c>
      <c r="B954" s="5">
        <v>45625</v>
      </c>
      <c r="C954" s="4" t="s">
        <v>890</v>
      </c>
      <c r="D954" s="4" t="s">
        <v>484</v>
      </c>
      <c r="E954" s="4" t="s">
        <v>22</v>
      </c>
      <c r="F954" s="4" t="s">
        <v>67</v>
      </c>
      <c r="G954" s="4" t="s">
        <v>17</v>
      </c>
      <c r="H954" s="4" t="s">
        <v>31</v>
      </c>
      <c r="I954" s="6">
        <v>8</v>
      </c>
      <c r="J954" s="6">
        <v>12160</v>
      </c>
      <c r="K954" s="6">
        <v>9848.43</v>
      </c>
      <c r="L954" s="6">
        <v>2311.5700000000002</v>
      </c>
      <c r="M954" s="11">
        <f>Table13[[#This Row],[Profit]]/Table13[[#This Row],[Sales]]</f>
        <v>0.19009621710526317</v>
      </c>
      <c r="N954" s="6" t="str">
        <f>TEXT(Table13[[#This Row],[Order Date]],"mmm")</f>
        <v>Nov</v>
      </c>
      <c r="O954" s="6">
        <f>YEAR(Table13[[#This Row],[Order Date]])</f>
        <v>2024</v>
      </c>
    </row>
    <row r="955" spans="1:15" x14ac:dyDescent="0.3">
      <c r="A955" s="4" t="s">
        <v>1569</v>
      </c>
      <c r="B955" s="5">
        <v>45978</v>
      </c>
      <c r="C955" s="4" t="s">
        <v>324</v>
      </c>
      <c r="D955" s="4" t="s">
        <v>1437</v>
      </c>
      <c r="E955" s="4" t="s">
        <v>22</v>
      </c>
      <c r="F955" s="4" t="s">
        <v>23</v>
      </c>
      <c r="G955" s="4" t="s">
        <v>35</v>
      </c>
      <c r="H955" s="4" t="s">
        <v>36</v>
      </c>
      <c r="I955" s="6">
        <v>6</v>
      </c>
      <c r="J955" s="6">
        <v>28386</v>
      </c>
      <c r="K955" s="6">
        <v>16002.49</v>
      </c>
      <c r="L955" s="6">
        <v>12383.51</v>
      </c>
      <c r="M955" s="11">
        <f>Table13[[#This Row],[Profit]]/Table13[[#This Row],[Sales]]</f>
        <v>0.43625413936447544</v>
      </c>
      <c r="N955" s="6" t="str">
        <f>TEXT(Table13[[#This Row],[Order Date]],"mmm")</f>
        <v>Nov</v>
      </c>
      <c r="O955" s="6">
        <f>YEAR(Table13[[#This Row],[Order Date]])</f>
        <v>2025</v>
      </c>
    </row>
    <row r="956" spans="1:15" x14ac:dyDescent="0.3">
      <c r="A956" s="4" t="s">
        <v>1570</v>
      </c>
      <c r="B956" s="5">
        <v>46016</v>
      </c>
      <c r="C956" s="4" t="s">
        <v>490</v>
      </c>
      <c r="D956" s="4" t="s">
        <v>21</v>
      </c>
      <c r="E956" s="4" t="s">
        <v>15</v>
      </c>
      <c r="F956" s="4" t="s">
        <v>16</v>
      </c>
      <c r="G956" s="4" t="s">
        <v>17</v>
      </c>
      <c r="H956" s="4" t="s">
        <v>18</v>
      </c>
      <c r="I956" s="6">
        <v>1</v>
      </c>
      <c r="J956" s="6">
        <v>4985</v>
      </c>
      <c r="K956" s="6">
        <v>3684.08</v>
      </c>
      <c r="L956" s="6">
        <v>1300.92</v>
      </c>
      <c r="M956" s="11">
        <f>Table13[[#This Row],[Profit]]/Table13[[#This Row],[Sales]]</f>
        <v>0.26096690070210632</v>
      </c>
      <c r="N956" s="6" t="str">
        <f>TEXT(Table13[[#This Row],[Order Date]],"mmm")</f>
        <v>Dec</v>
      </c>
      <c r="O956" s="6">
        <f>YEAR(Table13[[#This Row],[Order Date]])</f>
        <v>2025</v>
      </c>
    </row>
    <row r="957" spans="1:15" x14ac:dyDescent="0.3">
      <c r="A957" s="4" t="s">
        <v>1571</v>
      </c>
      <c r="B957" s="5">
        <v>45846</v>
      </c>
      <c r="C957" s="4" t="s">
        <v>107</v>
      </c>
      <c r="D957" s="4" t="s">
        <v>813</v>
      </c>
      <c r="E957" s="4" t="s">
        <v>15</v>
      </c>
      <c r="F957" s="4" t="s">
        <v>90</v>
      </c>
      <c r="G957" s="4" t="s">
        <v>35</v>
      </c>
      <c r="H957" s="4" t="s">
        <v>45</v>
      </c>
      <c r="I957" s="6">
        <v>2</v>
      </c>
      <c r="J957" s="6">
        <v>3752</v>
      </c>
      <c r="K957" s="6">
        <v>3138.74</v>
      </c>
      <c r="L957" s="6">
        <v>613.26</v>
      </c>
      <c r="M957" s="11">
        <f>Table13[[#This Row],[Profit]]/Table13[[#This Row],[Sales]]</f>
        <v>0.16344882729211088</v>
      </c>
      <c r="N957" s="6" t="str">
        <f>TEXT(Table13[[#This Row],[Order Date]],"mmm")</f>
        <v>Jul</v>
      </c>
      <c r="O957" s="6">
        <f>YEAR(Table13[[#This Row],[Order Date]])</f>
        <v>2025</v>
      </c>
    </row>
    <row r="958" spans="1:15" x14ac:dyDescent="0.3">
      <c r="A958" s="4" t="s">
        <v>1572</v>
      </c>
      <c r="B958" s="5">
        <v>45836</v>
      </c>
      <c r="C958" s="4" t="s">
        <v>361</v>
      </c>
      <c r="D958" s="4" t="s">
        <v>453</v>
      </c>
      <c r="E958" s="4" t="s">
        <v>29</v>
      </c>
      <c r="F958" s="4" t="s">
        <v>49</v>
      </c>
      <c r="G958" s="4" t="s">
        <v>35</v>
      </c>
      <c r="H958" s="4" t="s">
        <v>45</v>
      </c>
      <c r="I958" s="6">
        <v>1</v>
      </c>
      <c r="J958" s="6">
        <v>1285</v>
      </c>
      <c r="K958" s="6">
        <v>960.51</v>
      </c>
      <c r="L958" s="6">
        <v>324.49</v>
      </c>
      <c r="M958" s="11">
        <f>Table13[[#This Row],[Profit]]/Table13[[#This Row],[Sales]]</f>
        <v>0.25252140077821011</v>
      </c>
      <c r="N958" s="6" t="str">
        <f>TEXT(Table13[[#This Row],[Order Date]],"mmm")</f>
        <v>Jun</v>
      </c>
      <c r="O958" s="6">
        <f>YEAR(Table13[[#This Row],[Order Date]])</f>
        <v>2025</v>
      </c>
    </row>
    <row r="959" spans="1:15" x14ac:dyDescent="0.3">
      <c r="A959" s="4" t="s">
        <v>1573</v>
      </c>
      <c r="B959" s="5">
        <v>45838</v>
      </c>
      <c r="C959" s="4" t="s">
        <v>624</v>
      </c>
      <c r="D959" s="4" t="s">
        <v>839</v>
      </c>
      <c r="E959" s="4" t="s">
        <v>54</v>
      </c>
      <c r="F959" s="4" t="s">
        <v>142</v>
      </c>
      <c r="G959" s="4" t="s">
        <v>40</v>
      </c>
      <c r="H959" s="4" t="s">
        <v>56</v>
      </c>
      <c r="I959" s="6">
        <v>10</v>
      </c>
      <c r="J959" s="6">
        <v>39390</v>
      </c>
      <c r="K959" s="6">
        <v>22664.78</v>
      </c>
      <c r="L959" s="6">
        <v>16725.22</v>
      </c>
      <c r="M959" s="11">
        <f>Table13[[#This Row],[Profit]]/Table13[[#This Row],[Sales]]</f>
        <v>0.42460573749682662</v>
      </c>
      <c r="N959" s="6" t="str">
        <f>TEXT(Table13[[#This Row],[Order Date]],"mmm")</f>
        <v>Jun</v>
      </c>
      <c r="O959" s="6">
        <f>YEAR(Table13[[#This Row],[Order Date]])</f>
        <v>2025</v>
      </c>
    </row>
    <row r="960" spans="1:15" x14ac:dyDescent="0.3">
      <c r="A960" s="4" t="s">
        <v>1574</v>
      </c>
      <c r="B960" s="5">
        <v>45316</v>
      </c>
      <c r="C960" s="4" t="s">
        <v>514</v>
      </c>
      <c r="D960" s="4" t="s">
        <v>1471</v>
      </c>
      <c r="E960" s="4" t="s">
        <v>15</v>
      </c>
      <c r="F960" s="4" t="s">
        <v>63</v>
      </c>
      <c r="G960" s="4" t="s">
        <v>24</v>
      </c>
      <c r="H960" s="4" t="s">
        <v>25</v>
      </c>
      <c r="I960" s="6">
        <v>6</v>
      </c>
      <c r="J960" s="6">
        <v>23280</v>
      </c>
      <c r="K960" s="6">
        <v>14064.67</v>
      </c>
      <c r="L960" s="6">
        <v>9215.33</v>
      </c>
      <c r="M960" s="11">
        <f>Table13[[#This Row],[Profit]]/Table13[[#This Row],[Sales]]</f>
        <v>0.39584750859106527</v>
      </c>
      <c r="N960" s="6" t="str">
        <f>TEXT(Table13[[#This Row],[Order Date]],"mmm")</f>
        <v>Jan</v>
      </c>
      <c r="O960" s="6">
        <f>YEAR(Table13[[#This Row],[Order Date]])</f>
        <v>2024</v>
      </c>
    </row>
    <row r="961" spans="1:15" x14ac:dyDescent="0.3">
      <c r="A961" s="4" t="s">
        <v>1575</v>
      </c>
      <c r="B961" s="5">
        <v>45584</v>
      </c>
      <c r="C961" s="4" t="s">
        <v>364</v>
      </c>
      <c r="D961" s="4" t="s">
        <v>1497</v>
      </c>
      <c r="E961" s="4" t="s">
        <v>22</v>
      </c>
      <c r="F961" s="4" t="s">
        <v>67</v>
      </c>
      <c r="G961" s="4" t="s">
        <v>24</v>
      </c>
      <c r="H961" s="4" t="s">
        <v>50</v>
      </c>
      <c r="I961" s="6">
        <v>2</v>
      </c>
      <c r="J961" s="6">
        <v>2226</v>
      </c>
      <c r="K961" s="6">
        <v>1586.1</v>
      </c>
      <c r="L961" s="6">
        <v>639.9</v>
      </c>
      <c r="M961" s="11">
        <f>Table13[[#This Row],[Profit]]/Table13[[#This Row],[Sales]]</f>
        <v>0.28746630727762801</v>
      </c>
      <c r="N961" s="6" t="str">
        <f>TEXT(Table13[[#This Row],[Order Date]],"mmm")</f>
        <v>Oct</v>
      </c>
      <c r="O961" s="6">
        <f>YEAR(Table13[[#This Row],[Order Date]])</f>
        <v>2024</v>
      </c>
    </row>
    <row r="962" spans="1:15" x14ac:dyDescent="0.3">
      <c r="A962" s="4" t="s">
        <v>1576</v>
      </c>
      <c r="B962" s="5">
        <v>45352</v>
      </c>
      <c r="C962" s="4" t="s">
        <v>441</v>
      </c>
      <c r="D962" s="4" t="s">
        <v>436</v>
      </c>
      <c r="E962" s="4" t="s">
        <v>54</v>
      </c>
      <c r="F962" s="4" t="s">
        <v>142</v>
      </c>
      <c r="G962" s="4" t="s">
        <v>24</v>
      </c>
      <c r="H962" s="4" t="s">
        <v>166</v>
      </c>
      <c r="I962" s="6">
        <v>5</v>
      </c>
      <c r="J962" s="6">
        <v>18180</v>
      </c>
      <c r="K962" s="6">
        <v>13700.13</v>
      </c>
      <c r="L962" s="6">
        <v>4479.87</v>
      </c>
      <c r="M962" s="11">
        <f>Table13[[#This Row],[Profit]]/Table13[[#This Row],[Sales]]</f>
        <v>0.24641749174917491</v>
      </c>
      <c r="N962" s="6" t="str">
        <f>TEXT(Table13[[#This Row],[Order Date]],"mmm")</f>
        <v>Mar</v>
      </c>
      <c r="O962" s="6">
        <f>YEAR(Table13[[#This Row],[Order Date]])</f>
        <v>2024</v>
      </c>
    </row>
    <row r="963" spans="1:15" x14ac:dyDescent="0.3">
      <c r="A963" s="4" t="s">
        <v>1577</v>
      </c>
      <c r="B963" s="5">
        <v>45437</v>
      </c>
      <c r="C963" s="4" t="s">
        <v>419</v>
      </c>
      <c r="D963" s="4" t="s">
        <v>308</v>
      </c>
      <c r="E963" s="4" t="s">
        <v>15</v>
      </c>
      <c r="F963" s="4" t="s">
        <v>90</v>
      </c>
      <c r="G963" s="4" t="s">
        <v>24</v>
      </c>
      <c r="H963" s="4" t="s">
        <v>25</v>
      </c>
      <c r="I963" s="6">
        <v>5</v>
      </c>
      <c r="J963" s="6">
        <v>17470</v>
      </c>
      <c r="K963" s="6">
        <v>10126.02</v>
      </c>
      <c r="L963" s="6">
        <v>7343.98</v>
      </c>
      <c r="M963" s="11">
        <f>Table13[[#This Row],[Profit]]/Table13[[#This Row],[Sales]]</f>
        <v>0.42037664567830563</v>
      </c>
      <c r="N963" s="6" t="str">
        <f>TEXT(Table13[[#This Row],[Order Date]],"mmm")</f>
        <v>May</v>
      </c>
      <c r="O963" s="6">
        <f>YEAR(Table13[[#This Row],[Order Date]])</f>
        <v>2024</v>
      </c>
    </row>
    <row r="964" spans="1:15" x14ac:dyDescent="0.3">
      <c r="A964" s="4" t="s">
        <v>1578</v>
      </c>
      <c r="B964" s="5">
        <v>45903</v>
      </c>
      <c r="C964" s="4" t="s">
        <v>780</v>
      </c>
      <c r="D964" s="4" t="s">
        <v>70</v>
      </c>
      <c r="E964" s="4" t="s">
        <v>54</v>
      </c>
      <c r="F964" s="4" t="s">
        <v>55</v>
      </c>
      <c r="G964" s="4" t="s">
        <v>24</v>
      </c>
      <c r="H964" s="4" t="s">
        <v>50</v>
      </c>
      <c r="I964" s="6">
        <v>1</v>
      </c>
      <c r="J964" s="6">
        <v>1959</v>
      </c>
      <c r="K964" s="6">
        <v>1218.28</v>
      </c>
      <c r="L964" s="6">
        <v>740.72</v>
      </c>
      <c r="M964" s="11">
        <f>Table13[[#This Row],[Profit]]/Table13[[#This Row],[Sales]]</f>
        <v>0.378111281265952</v>
      </c>
      <c r="N964" s="6" t="str">
        <f>TEXT(Table13[[#This Row],[Order Date]],"mmm")</f>
        <v>Sep</v>
      </c>
      <c r="O964" s="6">
        <f>YEAR(Table13[[#This Row],[Order Date]])</f>
        <v>2025</v>
      </c>
    </row>
    <row r="965" spans="1:15" x14ac:dyDescent="0.3">
      <c r="A965" s="4" t="s">
        <v>1579</v>
      </c>
      <c r="B965" s="5">
        <v>45708</v>
      </c>
      <c r="C965" s="4" t="s">
        <v>1382</v>
      </c>
      <c r="D965" s="4" t="s">
        <v>340</v>
      </c>
      <c r="E965" s="4" t="s">
        <v>22</v>
      </c>
      <c r="F965" s="4" t="s">
        <v>23</v>
      </c>
      <c r="G965" s="4" t="s">
        <v>40</v>
      </c>
      <c r="H965" s="4" t="s">
        <v>99</v>
      </c>
      <c r="I965" s="6">
        <v>1</v>
      </c>
      <c r="J965" s="6">
        <v>2907</v>
      </c>
      <c r="K965" s="6">
        <v>2004.22</v>
      </c>
      <c r="L965" s="6">
        <v>902.78</v>
      </c>
      <c r="M965" s="11">
        <f>Table13[[#This Row],[Profit]]/Table13[[#This Row],[Sales]]</f>
        <v>0.31055383556931543</v>
      </c>
      <c r="N965" s="6" t="str">
        <f>TEXT(Table13[[#This Row],[Order Date]],"mmm")</f>
        <v>Feb</v>
      </c>
      <c r="O965" s="6">
        <f>YEAR(Table13[[#This Row],[Order Date]])</f>
        <v>2025</v>
      </c>
    </row>
    <row r="966" spans="1:15" x14ac:dyDescent="0.3">
      <c r="A966" s="4" t="s">
        <v>1580</v>
      </c>
      <c r="B966" s="5">
        <v>45892</v>
      </c>
      <c r="C966" s="4" t="s">
        <v>346</v>
      </c>
      <c r="D966" s="4" t="s">
        <v>1556</v>
      </c>
      <c r="E966" s="4" t="s">
        <v>15</v>
      </c>
      <c r="F966" s="4" t="s">
        <v>63</v>
      </c>
      <c r="G966" s="4" t="s">
        <v>17</v>
      </c>
      <c r="H966" s="4" t="s">
        <v>31</v>
      </c>
      <c r="I966" s="6">
        <v>4</v>
      </c>
      <c r="J966" s="6">
        <v>1808</v>
      </c>
      <c r="K966" s="6">
        <v>1140.3900000000001</v>
      </c>
      <c r="L966" s="6">
        <v>667.61</v>
      </c>
      <c r="M966" s="11">
        <f>Table13[[#This Row],[Profit]]/Table13[[#This Row],[Sales]]</f>
        <v>0.36925331858407079</v>
      </c>
      <c r="N966" s="6" t="str">
        <f>TEXT(Table13[[#This Row],[Order Date]],"mmm")</f>
        <v>Aug</v>
      </c>
      <c r="O966" s="6">
        <f>YEAR(Table13[[#This Row],[Order Date]])</f>
        <v>2025</v>
      </c>
    </row>
    <row r="967" spans="1:15" x14ac:dyDescent="0.3">
      <c r="A967" s="4" t="s">
        <v>1581</v>
      </c>
      <c r="B967" s="5">
        <v>45943</v>
      </c>
      <c r="C967" s="4" t="s">
        <v>596</v>
      </c>
      <c r="D967" s="4" t="s">
        <v>580</v>
      </c>
      <c r="E967" s="4" t="s">
        <v>29</v>
      </c>
      <c r="F967" s="4" t="s">
        <v>49</v>
      </c>
      <c r="G967" s="4" t="s">
        <v>17</v>
      </c>
      <c r="H967" s="4" t="s">
        <v>72</v>
      </c>
      <c r="I967" s="6">
        <v>7</v>
      </c>
      <c r="J967" s="6">
        <v>27671</v>
      </c>
      <c r="K967" s="6">
        <v>15915.6</v>
      </c>
      <c r="L967" s="6">
        <v>11755.4</v>
      </c>
      <c r="M967" s="11">
        <f>Table13[[#This Row],[Profit]]/Table13[[#This Row],[Sales]]</f>
        <v>0.42482743666654621</v>
      </c>
      <c r="N967" s="6" t="str">
        <f>TEXT(Table13[[#This Row],[Order Date]],"mmm")</f>
        <v>Oct</v>
      </c>
      <c r="O967" s="6">
        <f>YEAR(Table13[[#This Row],[Order Date]])</f>
        <v>2025</v>
      </c>
    </row>
    <row r="968" spans="1:15" x14ac:dyDescent="0.3">
      <c r="A968" s="4" t="s">
        <v>1582</v>
      </c>
      <c r="B968" s="5">
        <v>45725</v>
      </c>
      <c r="C968" s="4" t="s">
        <v>123</v>
      </c>
      <c r="D968" s="4" t="s">
        <v>408</v>
      </c>
      <c r="E968" s="4" t="s">
        <v>29</v>
      </c>
      <c r="F968" s="4" t="s">
        <v>49</v>
      </c>
      <c r="G968" s="4" t="s">
        <v>35</v>
      </c>
      <c r="H968" s="4" t="s">
        <v>45</v>
      </c>
      <c r="I968" s="6">
        <v>3</v>
      </c>
      <c r="J968" s="6">
        <v>6924</v>
      </c>
      <c r="K968" s="6">
        <v>4924.7700000000004</v>
      </c>
      <c r="L968" s="6">
        <v>1999.23</v>
      </c>
      <c r="M968" s="11">
        <f>Table13[[#This Row],[Profit]]/Table13[[#This Row],[Sales]]</f>
        <v>0.28873916811091854</v>
      </c>
      <c r="N968" s="6" t="str">
        <f>TEXT(Table13[[#This Row],[Order Date]],"mmm")</f>
        <v>Mar</v>
      </c>
      <c r="O968" s="6">
        <f>YEAR(Table13[[#This Row],[Order Date]])</f>
        <v>2025</v>
      </c>
    </row>
    <row r="969" spans="1:15" x14ac:dyDescent="0.3">
      <c r="A969" s="4" t="s">
        <v>1583</v>
      </c>
      <c r="B969" s="5">
        <v>45463</v>
      </c>
      <c r="C969" s="4" t="s">
        <v>189</v>
      </c>
      <c r="D969" s="4" t="s">
        <v>784</v>
      </c>
      <c r="E969" s="4" t="s">
        <v>15</v>
      </c>
      <c r="F969" s="4" t="s">
        <v>16</v>
      </c>
      <c r="G969" s="4" t="s">
        <v>35</v>
      </c>
      <c r="H969" s="4" t="s">
        <v>80</v>
      </c>
      <c r="I969" s="6">
        <v>10</v>
      </c>
      <c r="J969" s="6">
        <v>26690</v>
      </c>
      <c r="K969" s="6">
        <v>19908.54</v>
      </c>
      <c r="L969" s="6">
        <v>6781.46</v>
      </c>
      <c r="M969" s="11">
        <f>Table13[[#This Row],[Profit]]/Table13[[#This Row],[Sales]]</f>
        <v>0.25408242787560886</v>
      </c>
      <c r="N969" s="6" t="str">
        <f>TEXT(Table13[[#This Row],[Order Date]],"mmm")</f>
        <v>Jun</v>
      </c>
      <c r="O969" s="6">
        <f>YEAR(Table13[[#This Row],[Order Date]])</f>
        <v>2024</v>
      </c>
    </row>
    <row r="970" spans="1:15" x14ac:dyDescent="0.3">
      <c r="A970" s="4" t="s">
        <v>1584</v>
      </c>
      <c r="B970" s="5">
        <v>45939</v>
      </c>
      <c r="C970" s="4" t="s">
        <v>1252</v>
      </c>
      <c r="D970" s="4" t="s">
        <v>221</v>
      </c>
      <c r="E970" s="4" t="s">
        <v>22</v>
      </c>
      <c r="F970" s="4" t="s">
        <v>67</v>
      </c>
      <c r="G970" s="4" t="s">
        <v>17</v>
      </c>
      <c r="H970" s="4" t="s">
        <v>72</v>
      </c>
      <c r="I970" s="6">
        <v>5</v>
      </c>
      <c r="J970" s="6">
        <v>17070</v>
      </c>
      <c r="K970" s="6">
        <v>14505.62</v>
      </c>
      <c r="L970" s="6">
        <v>2564.38</v>
      </c>
      <c r="M970" s="11">
        <f>Table13[[#This Row],[Profit]]/Table13[[#This Row],[Sales]]</f>
        <v>0.15022729935559462</v>
      </c>
      <c r="N970" s="6" t="str">
        <f>TEXT(Table13[[#This Row],[Order Date]],"mmm")</f>
        <v>Oct</v>
      </c>
      <c r="O970" s="6">
        <f>YEAR(Table13[[#This Row],[Order Date]])</f>
        <v>2025</v>
      </c>
    </row>
    <row r="971" spans="1:15" x14ac:dyDescent="0.3">
      <c r="A971" s="4" t="s">
        <v>1585</v>
      </c>
      <c r="B971" s="5">
        <v>45383</v>
      </c>
      <c r="C971" s="4" t="s">
        <v>856</v>
      </c>
      <c r="D971" s="4" t="s">
        <v>327</v>
      </c>
      <c r="E971" s="4" t="s">
        <v>54</v>
      </c>
      <c r="F971" s="4" t="s">
        <v>142</v>
      </c>
      <c r="G971" s="4" t="s">
        <v>24</v>
      </c>
      <c r="H971" s="4" t="s">
        <v>166</v>
      </c>
      <c r="I971" s="6">
        <v>9</v>
      </c>
      <c r="J971" s="6">
        <v>44208</v>
      </c>
      <c r="K971" s="6">
        <v>25241.91</v>
      </c>
      <c r="L971" s="6">
        <v>18966.09</v>
      </c>
      <c r="M971" s="11">
        <f>Table13[[#This Row],[Profit]]/Table13[[#This Row],[Sales]]</f>
        <v>0.4290194082519001</v>
      </c>
      <c r="N971" s="6" t="str">
        <f>TEXT(Table13[[#This Row],[Order Date]],"mmm")</f>
        <v>Apr</v>
      </c>
      <c r="O971" s="6">
        <f>YEAR(Table13[[#This Row],[Order Date]])</f>
        <v>2024</v>
      </c>
    </row>
    <row r="972" spans="1:15" x14ac:dyDescent="0.3">
      <c r="A972" s="4" t="s">
        <v>1586</v>
      </c>
      <c r="B972" s="5">
        <v>45808</v>
      </c>
      <c r="C972" s="4" t="s">
        <v>614</v>
      </c>
      <c r="D972" s="4" t="s">
        <v>150</v>
      </c>
      <c r="E972" s="4" t="s">
        <v>29</v>
      </c>
      <c r="F972" s="4" t="s">
        <v>30</v>
      </c>
      <c r="G972" s="4" t="s">
        <v>35</v>
      </c>
      <c r="H972" s="4" t="s">
        <v>45</v>
      </c>
      <c r="I972" s="6">
        <v>5</v>
      </c>
      <c r="J972" s="6">
        <v>19190</v>
      </c>
      <c r="K972" s="6">
        <v>11768.36</v>
      </c>
      <c r="L972" s="6">
        <v>7421.64</v>
      </c>
      <c r="M972" s="11">
        <f>Table13[[#This Row],[Profit]]/Table13[[#This Row],[Sales]]</f>
        <v>0.38674517978113604</v>
      </c>
      <c r="N972" s="6" t="str">
        <f>TEXT(Table13[[#This Row],[Order Date]],"mmm")</f>
        <v>May</v>
      </c>
      <c r="O972" s="6">
        <f>YEAR(Table13[[#This Row],[Order Date]])</f>
        <v>2025</v>
      </c>
    </row>
    <row r="973" spans="1:15" x14ac:dyDescent="0.3">
      <c r="A973" s="4" t="s">
        <v>1587</v>
      </c>
      <c r="B973" s="5">
        <v>45621</v>
      </c>
      <c r="C973" s="4" t="s">
        <v>248</v>
      </c>
      <c r="D973" s="4" t="s">
        <v>781</v>
      </c>
      <c r="E973" s="4" t="s">
        <v>54</v>
      </c>
      <c r="F973" s="4" t="s">
        <v>71</v>
      </c>
      <c r="G973" s="4" t="s">
        <v>35</v>
      </c>
      <c r="H973" s="4" t="s">
        <v>80</v>
      </c>
      <c r="I973" s="6">
        <v>5</v>
      </c>
      <c r="J973" s="6">
        <v>11570</v>
      </c>
      <c r="K973" s="6">
        <v>8662.26</v>
      </c>
      <c r="L973" s="6">
        <v>2907.74</v>
      </c>
      <c r="M973" s="11">
        <f>Table13[[#This Row],[Profit]]/Table13[[#This Row],[Sales]]</f>
        <v>0.25131719965427829</v>
      </c>
      <c r="N973" s="6" t="str">
        <f>TEXT(Table13[[#This Row],[Order Date]],"mmm")</f>
        <v>Nov</v>
      </c>
      <c r="O973" s="6">
        <f>YEAR(Table13[[#This Row],[Order Date]])</f>
        <v>2024</v>
      </c>
    </row>
    <row r="974" spans="1:15" x14ac:dyDescent="0.3">
      <c r="A974" s="4" t="s">
        <v>1588</v>
      </c>
      <c r="B974" s="5">
        <v>45294</v>
      </c>
      <c r="C974" s="4" t="s">
        <v>1102</v>
      </c>
      <c r="D974" s="4" t="s">
        <v>512</v>
      </c>
      <c r="E974" s="4" t="s">
        <v>22</v>
      </c>
      <c r="F974" s="4" t="s">
        <v>79</v>
      </c>
      <c r="G974" s="4" t="s">
        <v>40</v>
      </c>
      <c r="H974" s="4" t="s">
        <v>41</v>
      </c>
      <c r="I974" s="6">
        <v>1</v>
      </c>
      <c r="J974" s="6">
        <v>1395</v>
      </c>
      <c r="K974" s="6">
        <v>1037.79</v>
      </c>
      <c r="L974" s="6">
        <v>357.21</v>
      </c>
      <c r="M974" s="11">
        <f>Table13[[#This Row],[Profit]]/Table13[[#This Row],[Sales]]</f>
        <v>0.25606451612903225</v>
      </c>
      <c r="N974" s="6" t="str">
        <f>TEXT(Table13[[#This Row],[Order Date]],"mmm")</f>
        <v>Jan</v>
      </c>
      <c r="O974" s="6">
        <f>YEAR(Table13[[#This Row],[Order Date]])</f>
        <v>2024</v>
      </c>
    </row>
    <row r="975" spans="1:15" x14ac:dyDescent="0.3">
      <c r="A975" s="4" t="s">
        <v>1589</v>
      </c>
      <c r="B975" s="5">
        <v>46012</v>
      </c>
      <c r="C975" s="4" t="s">
        <v>904</v>
      </c>
      <c r="D975" s="4" t="s">
        <v>1226</v>
      </c>
      <c r="E975" s="4" t="s">
        <v>15</v>
      </c>
      <c r="F975" s="4" t="s">
        <v>90</v>
      </c>
      <c r="G975" s="4" t="s">
        <v>24</v>
      </c>
      <c r="H975" s="4" t="s">
        <v>166</v>
      </c>
      <c r="I975" s="6">
        <v>7</v>
      </c>
      <c r="J975" s="6">
        <v>33971</v>
      </c>
      <c r="K975" s="6">
        <v>27808</v>
      </c>
      <c r="L975" s="6">
        <v>6163</v>
      </c>
      <c r="M975" s="11">
        <f>Table13[[#This Row],[Profit]]/Table13[[#This Row],[Sales]]</f>
        <v>0.18141944599805718</v>
      </c>
      <c r="N975" s="6" t="str">
        <f>TEXT(Table13[[#This Row],[Order Date]],"mmm")</f>
        <v>Dec</v>
      </c>
      <c r="O975" s="6">
        <f>YEAR(Table13[[#This Row],[Order Date]])</f>
        <v>2025</v>
      </c>
    </row>
    <row r="976" spans="1:15" x14ac:dyDescent="0.3">
      <c r="A976" s="4" t="s">
        <v>1590</v>
      </c>
      <c r="B976" s="5">
        <v>45979</v>
      </c>
      <c r="C976" s="4" t="s">
        <v>500</v>
      </c>
      <c r="D976" s="4" t="s">
        <v>39</v>
      </c>
      <c r="E976" s="4" t="s">
        <v>15</v>
      </c>
      <c r="F976" s="4" t="s">
        <v>90</v>
      </c>
      <c r="G976" s="4" t="s">
        <v>17</v>
      </c>
      <c r="H976" s="4" t="s">
        <v>31</v>
      </c>
      <c r="I976" s="6">
        <v>2</v>
      </c>
      <c r="J976" s="6">
        <v>9424</v>
      </c>
      <c r="K976" s="6">
        <v>5270.69</v>
      </c>
      <c r="L976" s="6">
        <v>4153.3100000000004</v>
      </c>
      <c r="M976" s="11">
        <f>Table13[[#This Row],[Profit]]/Table13[[#This Row],[Sales]]</f>
        <v>0.44071625636672329</v>
      </c>
      <c r="N976" s="6" t="str">
        <f>TEXT(Table13[[#This Row],[Order Date]],"mmm")</f>
        <v>Nov</v>
      </c>
      <c r="O976" s="6">
        <f>YEAR(Table13[[#This Row],[Order Date]])</f>
        <v>2025</v>
      </c>
    </row>
    <row r="977" spans="1:15" x14ac:dyDescent="0.3">
      <c r="A977" s="4" t="s">
        <v>1591</v>
      </c>
      <c r="B977" s="5">
        <v>46005</v>
      </c>
      <c r="C977" s="4" t="s">
        <v>841</v>
      </c>
      <c r="D977" s="4" t="s">
        <v>39</v>
      </c>
      <c r="E977" s="4" t="s">
        <v>54</v>
      </c>
      <c r="F977" s="4" t="s">
        <v>55</v>
      </c>
      <c r="G977" s="4" t="s">
        <v>17</v>
      </c>
      <c r="H977" s="4" t="s">
        <v>72</v>
      </c>
      <c r="I977" s="6">
        <v>6</v>
      </c>
      <c r="J977" s="6">
        <v>20808</v>
      </c>
      <c r="K977" s="6">
        <v>12550.47</v>
      </c>
      <c r="L977" s="6">
        <v>8257.5300000000007</v>
      </c>
      <c r="M977" s="11">
        <f>Table13[[#This Row],[Profit]]/Table13[[#This Row],[Sales]]</f>
        <v>0.39684400230680511</v>
      </c>
      <c r="N977" s="6" t="str">
        <f>TEXT(Table13[[#This Row],[Order Date]],"mmm")</f>
        <v>Dec</v>
      </c>
      <c r="O977" s="6">
        <f>YEAR(Table13[[#This Row],[Order Date]])</f>
        <v>2025</v>
      </c>
    </row>
    <row r="978" spans="1:15" x14ac:dyDescent="0.3">
      <c r="A978" s="4" t="s">
        <v>1592</v>
      </c>
      <c r="B978" s="5">
        <v>45312</v>
      </c>
      <c r="C978" s="4" t="s">
        <v>1108</v>
      </c>
      <c r="D978" s="4" t="s">
        <v>359</v>
      </c>
      <c r="E978" s="4" t="s">
        <v>22</v>
      </c>
      <c r="F978" s="4" t="s">
        <v>67</v>
      </c>
      <c r="G978" s="4" t="s">
        <v>40</v>
      </c>
      <c r="H978" s="4" t="s">
        <v>56</v>
      </c>
      <c r="I978" s="6">
        <v>8</v>
      </c>
      <c r="J978" s="6">
        <v>3008</v>
      </c>
      <c r="K978" s="6">
        <v>1854.3</v>
      </c>
      <c r="L978" s="6">
        <v>1153.7</v>
      </c>
      <c r="M978" s="11">
        <f>Table13[[#This Row],[Profit]]/Table13[[#This Row],[Sales]]</f>
        <v>0.38354388297872344</v>
      </c>
      <c r="N978" s="6" t="str">
        <f>TEXT(Table13[[#This Row],[Order Date]],"mmm")</f>
        <v>Jan</v>
      </c>
      <c r="O978" s="6">
        <f>YEAR(Table13[[#This Row],[Order Date]])</f>
        <v>2024</v>
      </c>
    </row>
    <row r="979" spans="1:15" x14ac:dyDescent="0.3">
      <c r="A979" s="4" t="s">
        <v>1593</v>
      </c>
      <c r="B979" s="5">
        <v>45797</v>
      </c>
      <c r="C979" s="4" t="s">
        <v>649</v>
      </c>
      <c r="D979" s="4" t="s">
        <v>319</v>
      </c>
      <c r="E979" s="4" t="s">
        <v>29</v>
      </c>
      <c r="F979" s="4" t="s">
        <v>102</v>
      </c>
      <c r="G979" s="4" t="s">
        <v>17</v>
      </c>
      <c r="H979" s="4" t="s">
        <v>72</v>
      </c>
      <c r="I979" s="6">
        <v>5</v>
      </c>
      <c r="J979" s="6">
        <v>10555</v>
      </c>
      <c r="K979" s="6">
        <v>6547.03</v>
      </c>
      <c r="L979" s="6">
        <v>4007.97</v>
      </c>
      <c r="M979" s="11">
        <f>Table13[[#This Row],[Profit]]/Table13[[#This Row],[Sales]]</f>
        <v>0.37972240644244432</v>
      </c>
      <c r="N979" s="6" t="str">
        <f>TEXT(Table13[[#This Row],[Order Date]],"mmm")</f>
        <v>May</v>
      </c>
      <c r="O979" s="6">
        <f>YEAR(Table13[[#This Row],[Order Date]])</f>
        <v>2025</v>
      </c>
    </row>
    <row r="980" spans="1:15" x14ac:dyDescent="0.3">
      <c r="A980" s="4" t="s">
        <v>1594</v>
      </c>
      <c r="B980" s="5">
        <v>45945</v>
      </c>
      <c r="C980" s="4" t="s">
        <v>856</v>
      </c>
      <c r="D980" s="4" t="s">
        <v>602</v>
      </c>
      <c r="E980" s="4" t="s">
        <v>54</v>
      </c>
      <c r="F980" s="4" t="s">
        <v>55</v>
      </c>
      <c r="G980" s="4" t="s">
        <v>17</v>
      </c>
      <c r="H980" s="4" t="s">
        <v>18</v>
      </c>
      <c r="I980" s="6">
        <v>10</v>
      </c>
      <c r="J980" s="6">
        <v>20120</v>
      </c>
      <c r="K980" s="6">
        <v>11109.07</v>
      </c>
      <c r="L980" s="6">
        <v>9010.93</v>
      </c>
      <c r="M980" s="11">
        <f>Table13[[#This Row],[Profit]]/Table13[[#This Row],[Sales]]</f>
        <v>0.44785934393638172</v>
      </c>
      <c r="N980" s="6" t="str">
        <f>TEXT(Table13[[#This Row],[Order Date]],"mmm")</f>
        <v>Oct</v>
      </c>
      <c r="O980" s="6">
        <f>YEAR(Table13[[#This Row],[Order Date]])</f>
        <v>2025</v>
      </c>
    </row>
    <row r="981" spans="1:15" x14ac:dyDescent="0.3">
      <c r="A981" s="4" t="s">
        <v>1595</v>
      </c>
      <c r="B981" s="5">
        <v>45967</v>
      </c>
      <c r="C981" s="4" t="s">
        <v>134</v>
      </c>
      <c r="D981" s="4" t="s">
        <v>246</v>
      </c>
      <c r="E981" s="4" t="s">
        <v>54</v>
      </c>
      <c r="F981" s="4" t="s">
        <v>71</v>
      </c>
      <c r="G981" s="4" t="s">
        <v>35</v>
      </c>
      <c r="H981" s="4" t="s">
        <v>45</v>
      </c>
      <c r="I981" s="6">
        <v>8</v>
      </c>
      <c r="J981" s="6">
        <v>13568</v>
      </c>
      <c r="K981" s="6">
        <v>9708.39</v>
      </c>
      <c r="L981" s="6">
        <v>3859.61</v>
      </c>
      <c r="M981" s="11">
        <f>Table13[[#This Row],[Profit]]/Table13[[#This Row],[Sales]]</f>
        <v>0.28446418042452831</v>
      </c>
      <c r="N981" s="6" t="str">
        <f>TEXT(Table13[[#This Row],[Order Date]],"mmm")</f>
        <v>Nov</v>
      </c>
      <c r="O981" s="6">
        <f>YEAR(Table13[[#This Row],[Order Date]])</f>
        <v>2025</v>
      </c>
    </row>
    <row r="982" spans="1:15" x14ac:dyDescent="0.3">
      <c r="A982" s="4" t="s">
        <v>1596</v>
      </c>
      <c r="B982" s="5">
        <v>45875</v>
      </c>
      <c r="C982" s="4" t="s">
        <v>1357</v>
      </c>
      <c r="D982" s="4" t="s">
        <v>135</v>
      </c>
      <c r="E982" s="4" t="s">
        <v>29</v>
      </c>
      <c r="F982" s="4" t="s">
        <v>102</v>
      </c>
      <c r="G982" s="4" t="s">
        <v>17</v>
      </c>
      <c r="H982" s="4" t="s">
        <v>72</v>
      </c>
      <c r="I982" s="6">
        <v>3</v>
      </c>
      <c r="J982" s="6">
        <v>2496</v>
      </c>
      <c r="K982" s="6">
        <v>1468.22</v>
      </c>
      <c r="L982" s="6">
        <v>1027.78</v>
      </c>
      <c r="M982" s="11">
        <f>Table13[[#This Row],[Profit]]/Table13[[#This Row],[Sales]]</f>
        <v>0.41177083333333331</v>
      </c>
      <c r="N982" s="6" t="str">
        <f>TEXT(Table13[[#This Row],[Order Date]],"mmm")</f>
        <v>Aug</v>
      </c>
      <c r="O982" s="6">
        <f>YEAR(Table13[[#This Row],[Order Date]])</f>
        <v>2025</v>
      </c>
    </row>
    <row r="983" spans="1:15" x14ac:dyDescent="0.3">
      <c r="A983" s="4" t="s">
        <v>1597</v>
      </c>
      <c r="B983" s="5">
        <v>45989</v>
      </c>
      <c r="C983" s="4" t="s">
        <v>1294</v>
      </c>
      <c r="D983" s="4" t="s">
        <v>1233</v>
      </c>
      <c r="E983" s="4" t="s">
        <v>54</v>
      </c>
      <c r="F983" s="4" t="s">
        <v>142</v>
      </c>
      <c r="G983" s="4" t="s">
        <v>17</v>
      </c>
      <c r="H983" s="4" t="s">
        <v>31</v>
      </c>
      <c r="I983" s="6">
        <v>1</v>
      </c>
      <c r="J983" s="6">
        <v>4665</v>
      </c>
      <c r="K983" s="6">
        <v>3425.68</v>
      </c>
      <c r="L983" s="6">
        <v>1239.32</v>
      </c>
      <c r="M983" s="11">
        <f>Table13[[#This Row],[Profit]]/Table13[[#This Row],[Sales]]</f>
        <v>0.26566345123258306</v>
      </c>
      <c r="N983" s="6" t="str">
        <f>TEXT(Table13[[#This Row],[Order Date]],"mmm")</f>
        <v>Nov</v>
      </c>
      <c r="O983" s="6">
        <f>YEAR(Table13[[#This Row],[Order Date]])</f>
        <v>2025</v>
      </c>
    </row>
    <row r="984" spans="1:15" x14ac:dyDescent="0.3">
      <c r="A984" s="4" t="s">
        <v>1598</v>
      </c>
      <c r="B984" s="5">
        <v>45708</v>
      </c>
      <c r="C984" s="4" t="s">
        <v>279</v>
      </c>
      <c r="D984" s="4" t="s">
        <v>327</v>
      </c>
      <c r="E984" s="4" t="s">
        <v>15</v>
      </c>
      <c r="F984" s="4" t="s">
        <v>63</v>
      </c>
      <c r="G984" s="4" t="s">
        <v>17</v>
      </c>
      <c r="H984" s="4" t="s">
        <v>31</v>
      </c>
      <c r="I984" s="6">
        <v>1</v>
      </c>
      <c r="J984" s="6">
        <v>2946</v>
      </c>
      <c r="K984" s="6">
        <v>2002.59</v>
      </c>
      <c r="L984" s="6">
        <v>943.41</v>
      </c>
      <c r="M984" s="11">
        <f>Table13[[#This Row],[Profit]]/Table13[[#This Row],[Sales]]</f>
        <v>0.32023421588594703</v>
      </c>
      <c r="N984" s="6" t="str">
        <f>TEXT(Table13[[#This Row],[Order Date]],"mmm")</f>
        <v>Feb</v>
      </c>
      <c r="O984" s="6">
        <f>YEAR(Table13[[#This Row],[Order Date]])</f>
        <v>2025</v>
      </c>
    </row>
    <row r="985" spans="1:15" x14ac:dyDescent="0.3">
      <c r="A985" s="4" t="s">
        <v>1599</v>
      </c>
      <c r="B985" s="5">
        <v>45521</v>
      </c>
      <c r="C985" s="4" t="s">
        <v>668</v>
      </c>
      <c r="D985" s="4" t="s">
        <v>1437</v>
      </c>
      <c r="E985" s="4" t="s">
        <v>22</v>
      </c>
      <c r="F985" s="4" t="s">
        <v>67</v>
      </c>
      <c r="G985" s="4" t="s">
        <v>40</v>
      </c>
      <c r="H985" s="4" t="s">
        <v>41</v>
      </c>
      <c r="I985" s="6">
        <v>9</v>
      </c>
      <c r="J985" s="6">
        <v>5904</v>
      </c>
      <c r="K985" s="6">
        <v>4812.59</v>
      </c>
      <c r="L985" s="6">
        <v>1091.4100000000001</v>
      </c>
      <c r="M985" s="11">
        <f>Table13[[#This Row],[Profit]]/Table13[[#This Row],[Sales]]</f>
        <v>0.18485941734417347</v>
      </c>
      <c r="N985" s="6" t="str">
        <f>TEXT(Table13[[#This Row],[Order Date]],"mmm")</f>
        <v>Aug</v>
      </c>
      <c r="O985" s="6">
        <f>YEAR(Table13[[#This Row],[Order Date]])</f>
        <v>2024</v>
      </c>
    </row>
    <row r="986" spans="1:15" x14ac:dyDescent="0.3">
      <c r="A986" s="4" t="s">
        <v>1600</v>
      </c>
      <c r="B986" s="5">
        <v>45634</v>
      </c>
      <c r="C986" s="4" t="s">
        <v>1601</v>
      </c>
      <c r="D986" s="4" t="s">
        <v>931</v>
      </c>
      <c r="E986" s="4" t="s">
        <v>22</v>
      </c>
      <c r="F986" s="4" t="s">
        <v>79</v>
      </c>
      <c r="G986" s="4" t="s">
        <v>35</v>
      </c>
      <c r="H986" s="4" t="s">
        <v>80</v>
      </c>
      <c r="I986" s="6">
        <v>6</v>
      </c>
      <c r="J986" s="6">
        <v>2052</v>
      </c>
      <c r="K986" s="6">
        <v>1369.83</v>
      </c>
      <c r="L986" s="6">
        <v>682.17</v>
      </c>
      <c r="M986" s="11">
        <f>Table13[[#This Row],[Profit]]/Table13[[#This Row],[Sales]]</f>
        <v>0.33244152046783626</v>
      </c>
      <c r="N986" s="6" t="str">
        <f>TEXT(Table13[[#This Row],[Order Date]],"mmm")</f>
        <v>Dec</v>
      </c>
      <c r="O986" s="6">
        <f>YEAR(Table13[[#This Row],[Order Date]])</f>
        <v>2024</v>
      </c>
    </row>
    <row r="987" spans="1:15" x14ac:dyDescent="0.3">
      <c r="A987" s="4" t="s">
        <v>1602</v>
      </c>
      <c r="B987" s="5">
        <v>45493</v>
      </c>
      <c r="C987" s="4" t="s">
        <v>652</v>
      </c>
      <c r="D987" s="4" t="s">
        <v>172</v>
      </c>
      <c r="E987" s="4" t="s">
        <v>15</v>
      </c>
      <c r="F987" s="4" t="s">
        <v>90</v>
      </c>
      <c r="G987" s="4" t="s">
        <v>40</v>
      </c>
      <c r="H987" s="4" t="s">
        <v>56</v>
      </c>
      <c r="I987" s="6">
        <v>7</v>
      </c>
      <c r="J987" s="6">
        <v>6363</v>
      </c>
      <c r="K987" s="6">
        <v>5250.1</v>
      </c>
      <c r="L987" s="6">
        <v>1112.9000000000001</v>
      </c>
      <c r="M987" s="11">
        <f>Table13[[#This Row],[Profit]]/Table13[[#This Row],[Sales]]</f>
        <v>0.17490177589187492</v>
      </c>
      <c r="N987" s="6" t="str">
        <f>TEXT(Table13[[#This Row],[Order Date]],"mmm")</f>
        <v>Jul</v>
      </c>
      <c r="O987" s="6">
        <f>YEAR(Table13[[#This Row],[Order Date]])</f>
        <v>2024</v>
      </c>
    </row>
    <row r="988" spans="1:15" x14ac:dyDescent="0.3">
      <c r="A988" s="4" t="s">
        <v>1603</v>
      </c>
      <c r="B988" s="5">
        <v>45316</v>
      </c>
      <c r="C988" s="4" t="s">
        <v>195</v>
      </c>
      <c r="D988" s="4" t="s">
        <v>1151</v>
      </c>
      <c r="E988" s="4" t="s">
        <v>54</v>
      </c>
      <c r="F988" s="4" t="s">
        <v>142</v>
      </c>
      <c r="G988" s="4" t="s">
        <v>17</v>
      </c>
      <c r="H988" s="4" t="s">
        <v>31</v>
      </c>
      <c r="I988" s="6">
        <v>2</v>
      </c>
      <c r="J988" s="6">
        <v>1056</v>
      </c>
      <c r="K988" s="6">
        <v>732.85</v>
      </c>
      <c r="L988" s="6">
        <v>323.14999999999998</v>
      </c>
      <c r="M988" s="11">
        <f>Table13[[#This Row],[Profit]]/Table13[[#This Row],[Sales]]</f>
        <v>0.30601325757575754</v>
      </c>
      <c r="N988" s="6" t="str">
        <f>TEXT(Table13[[#This Row],[Order Date]],"mmm")</f>
        <v>Jan</v>
      </c>
      <c r="O988" s="6">
        <f>YEAR(Table13[[#This Row],[Order Date]])</f>
        <v>2024</v>
      </c>
    </row>
    <row r="989" spans="1:15" x14ac:dyDescent="0.3">
      <c r="A989" s="4" t="s">
        <v>1604</v>
      </c>
      <c r="B989" s="5">
        <v>45633</v>
      </c>
      <c r="C989" s="4" t="s">
        <v>848</v>
      </c>
      <c r="D989" s="4" t="s">
        <v>673</v>
      </c>
      <c r="E989" s="4" t="s">
        <v>29</v>
      </c>
      <c r="F989" s="4" t="s">
        <v>102</v>
      </c>
      <c r="G989" s="4" t="s">
        <v>35</v>
      </c>
      <c r="H989" s="4" t="s">
        <v>80</v>
      </c>
      <c r="I989" s="6">
        <v>4</v>
      </c>
      <c r="J989" s="6">
        <v>12364</v>
      </c>
      <c r="K989" s="6">
        <v>9888.17</v>
      </c>
      <c r="L989" s="6">
        <v>2475.83</v>
      </c>
      <c r="M989" s="11">
        <f>Table13[[#This Row],[Profit]]/Table13[[#This Row],[Sales]]</f>
        <v>0.20024506632157876</v>
      </c>
      <c r="N989" s="6" t="str">
        <f>TEXT(Table13[[#This Row],[Order Date]],"mmm")</f>
        <v>Dec</v>
      </c>
      <c r="O989" s="6">
        <f>YEAR(Table13[[#This Row],[Order Date]])</f>
        <v>2024</v>
      </c>
    </row>
    <row r="990" spans="1:15" x14ac:dyDescent="0.3">
      <c r="A990" s="4" t="s">
        <v>1605</v>
      </c>
      <c r="B990" s="5">
        <v>45884</v>
      </c>
      <c r="C990" s="4" t="s">
        <v>966</v>
      </c>
      <c r="D990" s="4" t="s">
        <v>288</v>
      </c>
      <c r="E990" s="4" t="s">
        <v>15</v>
      </c>
      <c r="F990" s="4" t="s">
        <v>90</v>
      </c>
      <c r="G990" s="4" t="s">
        <v>17</v>
      </c>
      <c r="H990" s="4" t="s">
        <v>72</v>
      </c>
      <c r="I990" s="6">
        <v>8</v>
      </c>
      <c r="J990" s="6">
        <v>8664</v>
      </c>
      <c r="K990" s="6">
        <v>6390.61</v>
      </c>
      <c r="L990" s="6">
        <v>2273.39</v>
      </c>
      <c r="M990" s="11">
        <f>Table13[[#This Row],[Profit]]/Table13[[#This Row],[Sales]]</f>
        <v>0.26239496768236381</v>
      </c>
      <c r="N990" s="6" t="str">
        <f>TEXT(Table13[[#This Row],[Order Date]],"mmm")</f>
        <v>Aug</v>
      </c>
      <c r="O990" s="6">
        <f>YEAR(Table13[[#This Row],[Order Date]])</f>
        <v>2025</v>
      </c>
    </row>
    <row r="991" spans="1:15" x14ac:dyDescent="0.3">
      <c r="A991" s="4" t="s">
        <v>1606</v>
      </c>
      <c r="B991" s="5">
        <v>45355</v>
      </c>
      <c r="C991" s="4" t="s">
        <v>324</v>
      </c>
      <c r="D991" s="4" t="s">
        <v>654</v>
      </c>
      <c r="E991" s="4" t="s">
        <v>15</v>
      </c>
      <c r="F991" s="4" t="s">
        <v>16</v>
      </c>
      <c r="G991" s="4" t="s">
        <v>35</v>
      </c>
      <c r="H991" s="4" t="s">
        <v>36</v>
      </c>
      <c r="I991" s="6">
        <v>6</v>
      </c>
      <c r="J991" s="6">
        <v>4992</v>
      </c>
      <c r="K991" s="6">
        <v>3917.69</v>
      </c>
      <c r="L991" s="6">
        <v>1074.31</v>
      </c>
      <c r="M991" s="11">
        <f>Table13[[#This Row],[Profit]]/Table13[[#This Row],[Sales]]</f>
        <v>0.21520633012820511</v>
      </c>
      <c r="N991" s="6" t="str">
        <f>TEXT(Table13[[#This Row],[Order Date]],"mmm")</f>
        <v>Mar</v>
      </c>
      <c r="O991" s="6">
        <f>YEAR(Table13[[#This Row],[Order Date]])</f>
        <v>2024</v>
      </c>
    </row>
    <row r="992" spans="1:15" x14ac:dyDescent="0.3">
      <c r="A992" s="4" t="s">
        <v>1607</v>
      </c>
      <c r="B992" s="5">
        <v>45349</v>
      </c>
      <c r="C992" s="4" t="s">
        <v>1294</v>
      </c>
      <c r="D992" s="4" t="s">
        <v>325</v>
      </c>
      <c r="E992" s="4" t="s">
        <v>54</v>
      </c>
      <c r="F992" s="4" t="s">
        <v>71</v>
      </c>
      <c r="G992" s="4" t="s">
        <v>17</v>
      </c>
      <c r="H992" s="4" t="s">
        <v>31</v>
      </c>
      <c r="I992" s="6">
        <v>7</v>
      </c>
      <c r="J992" s="6">
        <v>5866</v>
      </c>
      <c r="K992" s="6">
        <v>3405.5</v>
      </c>
      <c r="L992" s="6">
        <v>2460.5</v>
      </c>
      <c r="M992" s="11">
        <f>Table13[[#This Row],[Profit]]/Table13[[#This Row],[Sales]]</f>
        <v>0.41945107398568021</v>
      </c>
      <c r="N992" s="6" t="str">
        <f>TEXT(Table13[[#This Row],[Order Date]],"mmm")</f>
        <v>Feb</v>
      </c>
      <c r="O992" s="6">
        <f>YEAR(Table13[[#This Row],[Order Date]])</f>
        <v>2024</v>
      </c>
    </row>
    <row r="993" spans="1:15" x14ac:dyDescent="0.3">
      <c r="A993" s="4" t="s">
        <v>1608</v>
      </c>
      <c r="B993" s="5">
        <v>45905</v>
      </c>
      <c r="C993" s="4" t="s">
        <v>1090</v>
      </c>
      <c r="D993" s="4" t="s">
        <v>1233</v>
      </c>
      <c r="E993" s="4" t="s">
        <v>54</v>
      </c>
      <c r="F993" s="4" t="s">
        <v>55</v>
      </c>
      <c r="G993" s="4" t="s">
        <v>35</v>
      </c>
      <c r="H993" s="4" t="s">
        <v>36</v>
      </c>
      <c r="I993" s="6">
        <v>2</v>
      </c>
      <c r="J993" s="6">
        <v>7334</v>
      </c>
      <c r="K993" s="6">
        <v>4546.59</v>
      </c>
      <c r="L993" s="6">
        <v>2787.41</v>
      </c>
      <c r="M993" s="11">
        <f>Table13[[#This Row],[Profit]]/Table13[[#This Row],[Sales]]</f>
        <v>0.38006681210799015</v>
      </c>
      <c r="N993" s="6" t="str">
        <f>TEXT(Table13[[#This Row],[Order Date]],"mmm")</f>
        <v>Sep</v>
      </c>
      <c r="O993" s="6">
        <f>YEAR(Table13[[#This Row],[Order Date]])</f>
        <v>2025</v>
      </c>
    </row>
    <row r="994" spans="1:15" x14ac:dyDescent="0.3">
      <c r="A994" s="4" t="s">
        <v>1609</v>
      </c>
      <c r="B994" s="5">
        <v>45983</v>
      </c>
      <c r="C994" s="4" t="s">
        <v>20</v>
      </c>
      <c r="D994" s="4" t="s">
        <v>1233</v>
      </c>
      <c r="E994" s="4" t="s">
        <v>22</v>
      </c>
      <c r="F994" s="4" t="s">
        <v>67</v>
      </c>
      <c r="G994" s="4" t="s">
        <v>35</v>
      </c>
      <c r="H994" s="4" t="s">
        <v>36</v>
      </c>
      <c r="I994" s="6">
        <v>10</v>
      </c>
      <c r="J994" s="6">
        <v>11290</v>
      </c>
      <c r="K994" s="6">
        <v>7359.78</v>
      </c>
      <c r="L994" s="6">
        <v>3930.22</v>
      </c>
      <c r="M994" s="11">
        <f>Table13[[#This Row],[Profit]]/Table13[[#This Row],[Sales]]</f>
        <v>0.34811514614703276</v>
      </c>
      <c r="N994" s="6" t="str">
        <f>TEXT(Table13[[#This Row],[Order Date]],"mmm")</f>
        <v>Nov</v>
      </c>
      <c r="O994" s="6">
        <f>YEAR(Table13[[#This Row],[Order Date]])</f>
        <v>2025</v>
      </c>
    </row>
    <row r="995" spans="1:15" x14ac:dyDescent="0.3">
      <c r="A995" s="4" t="s">
        <v>1610</v>
      </c>
      <c r="B995" s="5">
        <v>46022</v>
      </c>
      <c r="C995" s="4" t="s">
        <v>1024</v>
      </c>
      <c r="D995" s="4" t="s">
        <v>1048</v>
      </c>
      <c r="E995" s="4" t="s">
        <v>54</v>
      </c>
      <c r="F995" s="4" t="s">
        <v>71</v>
      </c>
      <c r="G995" s="4" t="s">
        <v>40</v>
      </c>
      <c r="H995" s="4" t="s">
        <v>56</v>
      </c>
      <c r="I995" s="6">
        <v>2</v>
      </c>
      <c r="J995" s="6">
        <v>2282</v>
      </c>
      <c r="K995" s="6">
        <v>1263.51</v>
      </c>
      <c r="L995" s="6">
        <v>1018.49</v>
      </c>
      <c r="M995" s="11">
        <f>Table13[[#This Row],[Profit]]/Table13[[#This Row],[Sales]]</f>
        <v>0.44631463628396145</v>
      </c>
      <c r="N995" s="6" t="str">
        <f>TEXT(Table13[[#This Row],[Order Date]],"mmm")</f>
        <v>Dec</v>
      </c>
      <c r="O995" s="6">
        <f>YEAR(Table13[[#This Row],[Order Date]])</f>
        <v>2025</v>
      </c>
    </row>
    <row r="996" spans="1:15" x14ac:dyDescent="0.3">
      <c r="A996" s="4" t="s">
        <v>1611</v>
      </c>
      <c r="B996" s="5">
        <v>45927</v>
      </c>
      <c r="C996" s="4" t="s">
        <v>500</v>
      </c>
      <c r="D996" s="4" t="s">
        <v>536</v>
      </c>
      <c r="E996" s="4" t="s">
        <v>29</v>
      </c>
      <c r="F996" s="4" t="s">
        <v>30</v>
      </c>
      <c r="G996" s="4" t="s">
        <v>35</v>
      </c>
      <c r="H996" s="4" t="s">
        <v>45</v>
      </c>
      <c r="I996" s="6">
        <v>5</v>
      </c>
      <c r="J996" s="6">
        <v>16055</v>
      </c>
      <c r="K996" s="6">
        <v>10858.03</v>
      </c>
      <c r="L996" s="6">
        <v>5196.97</v>
      </c>
      <c r="M996" s="11">
        <f>Table13[[#This Row],[Profit]]/Table13[[#This Row],[Sales]]</f>
        <v>0.32369791342260978</v>
      </c>
      <c r="N996" s="6" t="str">
        <f>TEXT(Table13[[#This Row],[Order Date]],"mmm")</f>
        <v>Sep</v>
      </c>
      <c r="O996" s="6">
        <f>YEAR(Table13[[#This Row],[Order Date]])</f>
        <v>2025</v>
      </c>
    </row>
    <row r="997" spans="1:15" x14ac:dyDescent="0.3">
      <c r="A997" s="4" t="s">
        <v>1612</v>
      </c>
      <c r="B997" s="5">
        <v>45738</v>
      </c>
      <c r="C997" s="4" t="s">
        <v>933</v>
      </c>
      <c r="D997" s="4" t="s">
        <v>359</v>
      </c>
      <c r="E997" s="4" t="s">
        <v>29</v>
      </c>
      <c r="F997" s="4" t="s">
        <v>102</v>
      </c>
      <c r="G997" s="4" t="s">
        <v>24</v>
      </c>
      <c r="H997" s="4" t="s">
        <v>25</v>
      </c>
      <c r="I997" s="6">
        <v>1</v>
      </c>
      <c r="J997" s="6">
        <v>1345</v>
      </c>
      <c r="K997" s="6">
        <v>865.51</v>
      </c>
      <c r="L997" s="6">
        <v>479.49</v>
      </c>
      <c r="M997" s="11">
        <f>Table13[[#This Row],[Profit]]/Table13[[#This Row],[Sales]]</f>
        <v>0.35649814126394053</v>
      </c>
      <c r="N997" s="6" t="str">
        <f>TEXT(Table13[[#This Row],[Order Date]],"mmm")</f>
        <v>Mar</v>
      </c>
      <c r="O997" s="6">
        <f>YEAR(Table13[[#This Row],[Order Date]])</f>
        <v>2025</v>
      </c>
    </row>
    <row r="998" spans="1:15" x14ac:dyDescent="0.3">
      <c r="A998" s="4" t="s">
        <v>1613</v>
      </c>
      <c r="B998" s="5">
        <v>45909</v>
      </c>
      <c r="C998" s="4" t="s">
        <v>792</v>
      </c>
      <c r="D998" s="4" t="s">
        <v>332</v>
      </c>
      <c r="E998" s="4" t="s">
        <v>54</v>
      </c>
      <c r="F998" s="4" t="s">
        <v>71</v>
      </c>
      <c r="G998" s="4" t="s">
        <v>35</v>
      </c>
      <c r="H998" s="4" t="s">
        <v>45</v>
      </c>
      <c r="I998" s="6">
        <v>3</v>
      </c>
      <c r="J998" s="6">
        <v>4521</v>
      </c>
      <c r="K998" s="6">
        <v>3123.37</v>
      </c>
      <c r="L998" s="6">
        <v>1397.63</v>
      </c>
      <c r="M998" s="11">
        <f>Table13[[#This Row],[Profit]]/Table13[[#This Row],[Sales]]</f>
        <v>0.30914178279141785</v>
      </c>
      <c r="N998" s="6" t="str">
        <f>TEXT(Table13[[#This Row],[Order Date]],"mmm")</f>
        <v>Sep</v>
      </c>
      <c r="O998" s="6">
        <f>YEAR(Table13[[#This Row],[Order Date]])</f>
        <v>2025</v>
      </c>
    </row>
    <row r="999" spans="1:15" x14ac:dyDescent="0.3">
      <c r="A999" s="4" t="s">
        <v>1614</v>
      </c>
      <c r="B999" s="5">
        <v>45811</v>
      </c>
      <c r="C999" s="4" t="s">
        <v>1294</v>
      </c>
      <c r="D999" s="4" t="s">
        <v>813</v>
      </c>
      <c r="E999" s="4" t="s">
        <v>54</v>
      </c>
      <c r="F999" s="4" t="s">
        <v>142</v>
      </c>
      <c r="G999" s="4" t="s">
        <v>35</v>
      </c>
      <c r="H999" s="4" t="s">
        <v>45</v>
      </c>
      <c r="I999" s="6">
        <v>10</v>
      </c>
      <c r="J999" s="6">
        <v>14840</v>
      </c>
      <c r="K999" s="6">
        <v>8417.18</v>
      </c>
      <c r="L999" s="6">
        <v>6422.82</v>
      </c>
      <c r="M999" s="11">
        <f>Table13[[#This Row],[Profit]]/Table13[[#This Row],[Sales]]</f>
        <v>0.43280458221024259</v>
      </c>
      <c r="N999" s="6" t="str">
        <f>TEXT(Table13[[#This Row],[Order Date]],"mmm")</f>
        <v>Jun</v>
      </c>
      <c r="O999" s="6">
        <f>YEAR(Table13[[#This Row],[Order Date]])</f>
        <v>2025</v>
      </c>
    </row>
    <row r="1000" spans="1:15" x14ac:dyDescent="0.3">
      <c r="A1000" s="4" t="s">
        <v>1615</v>
      </c>
      <c r="B1000" s="5">
        <v>45641</v>
      </c>
      <c r="C1000" s="4" t="s">
        <v>342</v>
      </c>
      <c r="D1000" s="4" t="s">
        <v>198</v>
      </c>
      <c r="E1000" s="4" t="s">
        <v>22</v>
      </c>
      <c r="F1000" s="4" t="s">
        <v>67</v>
      </c>
      <c r="G1000" s="4" t="s">
        <v>40</v>
      </c>
      <c r="H1000" s="4" t="s">
        <v>56</v>
      </c>
      <c r="I1000" s="6">
        <v>4</v>
      </c>
      <c r="J1000" s="6">
        <v>7792</v>
      </c>
      <c r="K1000" s="6">
        <v>6121.23</v>
      </c>
      <c r="L1000" s="6">
        <v>1670.77</v>
      </c>
      <c r="M1000" s="11">
        <f>Table13[[#This Row],[Profit]]/Table13[[#This Row],[Sales]]</f>
        <v>0.21442120123203284</v>
      </c>
      <c r="N1000" s="6" t="str">
        <f>TEXT(Table13[[#This Row],[Order Date]],"mmm")</f>
        <v>Dec</v>
      </c>
      <c r="O1000" s="6">
        <f>YEAR(Table13[[#This Row],[Order Date]])</f>
        <v>2024</v>
      </c>
    </row>
    <row r="1001" spans="1:15" x14ac:dyDescent="0.3">
      <c r="A1001" s="4" t="s">
        <v>1616</v>
      </c>
      <c r="B1001" s="5">
        <v>45922</v>
      </c>
      <c r="C1001" s="4" t="s">
        <v>137</v>
      </c>
      <c r="D1001" s="4" t="s">
        <v>223</v>
      </c>
      <c r="E1001" s="4" t="s">
        <v>22</v>
      </c>
      <c r="F1001" s="4" t="s">
        <v>79</v>
      </c>
      <c r="G1001" s="4" t="s">
        <v>17</v>
      </c>
      <c r="H1001" s="4" t="s">
        <v>18</v>
      </c>
      <c r="I1001" s="6">
        <v>6</v>
      </c>
      <c r="J1001" s="6">
        <v>29622</v>
      </c>
      <c r="K1001" s="6">
        <v>24850.47</v>
      </c>
      <c r="L1001" s="6">
        <v>4771.53</v>
      </c>
      <c r="M1001" s="11">
        <f>Table13[[#This Row],[Profit]]/Table13[[#This Row],[Sales]]</f>
        <v>0.16108061575855781</v>
      </c>
      <c r="N1001" s="6" t="str">
        <f>TEXT(Table13[[#This Row],[Order Date]],"mmm")</f>
        <v>Sep</v>
      </c>
      <c r="O1001" s="6">
        <f>YEAR(Table13[[#This Row],[Order Date]])</f>
        <v>2025</v>
      </c>
    </row>
    <row r="1002" spans="1:15" x14ac:dyDescent="0.3">
      <c r="A1002" s="4" t="s">
        <v>1617</v>
      </c>
      <c r="B1002" s="5">
        <v>45295</v>
      </c>
      <c r="C1002" s="4" t="s">
        <v>236</v>
      </c>
      <c r="D1002" s="4" t="s">
        <v>59</v>
      </c>
      <c r="E1002" s="4" t="s">
        <v>54</v>
      </c>
      <c r="F1002" s="4" t="s">
        <v>142</v>
      </c>
      <c r="G1002" s="4" t="s">
        <v>24</v>
      </c>
      <c r="H1002" s="4" t="s">
        <v>50</v>
      </c>
      <c r="I1002" s="6">
        <v>8</v>
      </c>
      <c r="J1002" s="6">
        <v>5160</v>
      </c>
      <c r="K1002" s="6">
        <v>3605.7</v>
      </c>
      <c r="L1002" s="6">
        <v>1554.3</v>
      </c>
      <c r="M1002" s="11">
        <f>Table13[[#This Row],[Profit]]/Table13[[#This Row],[Sales]]</f>
        <v>0.30122093023255814</v>
      </c>
      <c r="N1002" s="6" t="str">
        <f>TEXT(Table13[[#This Row],[Order Date]],"mmm")</f>
        <v>Jan</v>
      </c>
      <c r="O1002" s="6">
        <f>YEAR(Table13[[#This Row],[Order Date]])</f>
        <v>2024</v>
      </c>
    </row>
    <row r="1003" spans="1:15" x14ac:dyDescent="0.3">
      <c r="A1003" s="4" t="s">
        <v>1618</v>
      </c>
      <c r="B1003" s="5">
        <v>45631</v>
      </c>
      <c r="C1003" s="4" t="s">
        <v>718</v>
      </c>
      <c r="D1003" s="4" t="s">
        <v>754</v>
      </c>
      <c r="E1003" s="4" t="s">
        <v>22</v>
      </c>
      <c r="F1003" s="4" t="s">
        <v>79</v>
      </c>
      <c r="G1003" s="4" t="s">
        <v>40</v>
      </c>
      <c r="H1003" s="4" t="s">
        <v>56</v>
      </c>
      <c r="I1003" s="6">
        <v>4</v>
      </c>
      <c r="J1003" s="6">
        <v>16952</v>
      </c>
      <c r="K1003" s="6">
        <v>13059.41</v>
      </c>
      <c r="L1003" s="6">
        <v>3892.59</v>
      </c>
      <c r="M1003" s="11">
        <f>Table13[[#This Row],[Profit]]/Table13[[#This Row],[Sales]]</f>
        <v>0.22962423312883437</v>
      </c>
      <c r="N1003" s="6" t="str">
        <f>TEXT(Table13[[#This Row],[Order Date]],"mmm")</f>
        <v>Dec</v>
      </c>
      <c r="O1003" s="6">
        <f>YEAR(Table13[[#This Row],[Order Date]])</f>
        <v>2024</v>
      </c>
    </row>
    <row r="1004" spans="1:15" x14ac:dyDescent="0.3">
      <c r="A1004" s="4" t="s">
        <v>1619</v>
      </c>
      <c r="B1004" s="5">
        <v>45322</v>
      </c>
      <c r="C1004" s="4" t="s">
        <v>123</v>
      </c>
      <c r="D1004" s="4" t="s">
        <v>285</v>
      </c>
      <c r="E1004" s="4" t="s">
        <v>22</v>
      </c>
      <c r="F1004" s="4" t="s">
        <v>23</v>
      </c>
      <c r="G1004" s="4" t="s">
        <v>24</v>
      </c>
      <c r="H1004" s="4" t="s">
        <v>25</v>
      </c>
      <c r="I1004" s="6">
        <v>6</v>
      </c>
      <c r="J1004" s="6">
        <v>2286</v>
      </c>
      <c r="K1004" s="6">
        <v>1307.8599999999999</v>
      </c>
      <c r="L1004" s="6">
        <v>978.14</v>
      </c>
      <c r="M1004" s="11">
        <f>Table13[[#This Row],[Profit]]/Table13[[#This Row],[Sales]]</f>
        <v>0.42788276465441821</v>
      </c>
      <c r="N1004" s="6" t="str">
        <f>TEXT(Table13[[#This Row],[Order Date]],"mmm")</f>
        <v>Jan</v>
      </c>
      <c r="O1004" s="6">
        <f>YEAR(Table13[[#This Row],[Order Date]])</f>
        <v>2024</v>
      </c>
    </row>
    <row r="1005" spans="1:15" x14ac:dyDescent="0.3">
      <c r="A1005" s="4" t="s">
        <v>1620</v>
      </c>
      <c r="B1005" s="5">
        <v>45322</v>
      </c>
      <c r="C1005" s="4" t="s">
        <v>301</v>
      </c>
      <c r="D1005" s="4" t="s">
        <v>243</v>
      </c>
      <c r="E1005" s="4" t="s">
        <v>29</v>
      </c>
      <c r="F1005" s="4" t="s">
        <v>49</v>
      </c>
      <c r="G1005" s="4" t="s">
        <v>35</v>
      </c>
      <c r="H1005" s="4" t="s">
        <v>80</v>
      </c>
      <c r="I1005" s="6">
        <v>4</v>
      </c>
      <c r="J1005" s="6">
        <v>12992</v>
      </c>
      <c r="K1005" s="6">
        <v>7316.72</v>
      </c>
      <c r="L1005" s="6">
        <v>5675.28</v>
      </c>
      <c r="M1005" s="11">
        <f>Table13[[#This Row],[Profit]]/Table13[[#This Row],[Sales]]</f>
        <v>0.43682881773399013</v>
      </c>
      <c r="N1005" s="6" t="str">
        <f>TEXT(Table13[[#This Row],[Order Date]],"mmm")</f>
        <v>Jan</v>
      </c>
      <c r="O1005" s="6">
        <f>YEAR(Table13[[#This Row],[Order Date]])</f>
        <v>2024</v>
      </c>
    </row>
    <row r="1006" spans="1:15" x14ac:dyDescent="0.3">
      <c r="A1006" s="4" t="s">
        <v>1621</v>
      </c>
      <c r="B1006" s="5">
        <v>45859</v>
      </c>
      <c r="C1006" s="4" t="s">
        <v>197</v>
      </c>
      <c r="D1006" s="4" t="s">
        <v>1011</v>
      </c>
      <c r="E1006" s="4" t="s">
        <v>54</v>
      </c>
      <c r="F1006" s="4" t="s">
        <v>142</v>
      </c>
      <c r="G1006" s="4" t="s">
        <v>40</v>
      </c>
      <c r="H1006" s="4" t="s">
        <v>56</v>
      </c>
      <c r="I1006" s="6">
        <v>5</v>
      </c>
      <c r="J1006" s="6">
        <v>8635</v>
      </c>
      <c r="K1006" s="6">
        <v>5629.55</v>
      </c>
      <c r="L1006" s="6">
        <v>3005.45</v>
      </c>
      <c r="M1006" s="11">
        <f>Table13[[#This Row],[Profit]]/Table13[[#This Row],[Sales]]</f>
        <v>0.34805442964678629</v>
      </c>
      <c r="N1006" s="6" t="str">
        <f>TEXT(Table13[[#This Row],[Order Date]],"mmm")</f>
        <v>Jul</v>
      </c>
      <c r="O1006" s="6">
        <f>YEAR(Table13[[#This Row],[Order Date]])</f>
        <v>2025</v>
      </c>
    </row>
    <row r="1007" spans="1:15" x14ac:dyDescent="0.3">
      <c r="A1007" s="4" t="s">
        <v>1622</v>
      </c>
      <c r="B1007" s="5">
        <v>45985</v>
      </c>
      <c r="C1007" s="4" t="s">
        <v>449</v>
      </c>
      <c r="D1007" s="4" t="s">
        <v>258</v>
      </c>
      <c r="E1007" s="4" t="s">
        <v>29</v>
      </c>
      <c r="F1007" s="4" t="s">
        <v>102</v>
      </c>
      <c r="G1007" s="4" t="s">
        <v>24</v>
      </c>
      <c r="H1007" s="4" t="s">
        <v>166</v>
      </c>
      <c r="I1007" s="6">
        <v>5</v>
      </c>
      <c r="J1007" s="6">
        <v>5640</v>
      </c>
      <c r="K1007" s="6">
        <v>3137.52</v>
      </c>
      <c r="L1007" s="6">
        <v>2502.48</v>
      </c>
      <c r="M1007" s="11">
        <f>Table13[[#This Row],[Profit]]/Table13[[#This Row],[Sales]]</f>
        <v>0.44370212765957445</v>
      </c>
      <c r="N1007" s="6" t="str">
        <f>TEXT(Table13[[#This Row],[Order Date]],"mmm")</f>
        <v>Nov</v>
      </c>
      <c r="O1007" s="6">
        <f>YEAR(Table13[[#This Row],[Order Date]])</f>
        <v>2025</v>
      </c>
    </row>
    <row r="1008" spans="1:15" x14ac:dyDescent="0.3">
      <c r="A1008" s="4" t="s">
        <v>1623</v>
      </c>
      <c r="B1008" s="5">
        <v>45673</v>
      </c>
      <c r="C1008" s="4" t="s">
        <v>1364</v>
      </c>
      <c r="D1008" s="4" t="s">
        <v>561</v>
      </c>
      <c r="E1008" s="4" t="s">
        <v>15</v>
      </c>
      <c r="F1008" s="4" t="s">
        <v>63</v>
      </c>
      <c r="G1008" s="4" t="s">
        <v>40</v>
      </c>
      <c r="H1008" s="4" t="s">
        <v>56</v>
      </c>
      <c r="I1008" s="6">
        <v>5</v>
      </c>
      <c r="J1008" s="6">
        <v>20185</v>
      </c>
      <c r="K1008" s="6">
        <v>12555.98</v>
      </c>
      <c r="L1008" s="6">
        <v>7629.02</v>
      </c>
      <c r="M1008" s="11">
        <f>Table13[[#This Row],[Profit]]/Table13[[#This Row],[Sales]]</f>
        <v>0.37795491701758732</v>
      </c>
      <c r="N1008" s="6" t="str">
        <f>TEXT(Table13[[#This Row],[Order Date]],"mmm")</f>
        <v>Jan</v>
      </c>
      <c r="O1008" s="6">
        <f>YEAR(Table13[[#This Row],[Order Date]])</f>
        <v>2025</v>
      </c>
    </row>
    <row r="1009" spans="1:15" x14ac:dyDescent="0.3">
      <c r="A1009" s="4" t="s">
        <v>1624</v>
      </c>
      <c r="B1009" s="5">
        <v>45425</v>
      </c>
      <c r="C1009" s="4" t="s">
        <v>179</v>
      </c>
      <c r="D1009" s="4" t="s">
        <v>187</v>
      </c>
      <c r="E1009" s="4" t="s">
        <v>22</v>
      </c>
      <c r="F1009" s="4" t="s">
        <v>79</v>
      </c>
      <c r="G1009" s="4" t="s">
        <v>24</v>
      </c>
      <c r="H1009" s="4" t="s">
        <v>50</v>
      </c>
      <c r="I1009" s="6">
        <v>2</v>
      </c>
      <c r="J1009" s="6">
        <v>2966</v>
      </c>
      <c r="K1009" s="6">
        <v>2416.75</v>
      </c>
      <c r="L1009" s="6">
        <v>549.25</v>
      </c>
      <c r="M1009" s="11">
        <f>Table13[[#This Row],[Profit]]/Table13[[#This Row],[Sales]]</f>
        <v>0.18518206338503035</v>
      </c>
      <c r="N1009" s="6" t="str">
        <f>TEXT(Table13[[#This Row],[Order Date]],"mmm")</f>
        <v>May</v>
      </c>
      <c r="O1009" s="6">
        <f>YEAR(Table13[[#This Row],[Order Date]])</f>
        <v>2024</v>
      </c>
    </row>
    <row r="1010" spans="1:15" x14ac:dyDescent="0.3">
      <c r="A1010" s="4" t="s">
        <v>1625</v>
      </c>
      <c r="B1010" s="5">
        <v>45542</v>
      </c>
      <c r="C1010" s="4" t="s">
        <v>446</v>
      </c>
      <c r="D1010" s="4" t="s">
        <v>1145</v>
      </c>
      <c r="E1010" s="4" t="s">
        <v>22</v>
      </c>
      <c r="F1010" s="4" t="s">
        <v>79</v>
      </c>
      <c r="G1010" s="4" t="s">
        <v>40</v>
      </c>
      <c r="H1010" s="4" t="s">
        <v>41</v>
      </c>
      <c r="I1010" s="6">
        <v>6</v>
      </c>
      <c r="J1010" s="6">
        <v>22908</v>
      </c>
      <c r="K1010" s="6">
        <v>19313.61</v>
      </c>
      <c r="L1010" s="6">
        <v>3594.39</v>
      </c>
      <c r="M1010" s="11">
        <f>Table13[[#This Row],[Profit]]/Table13[[#This Row],[Sales]]</f>
        <v>0.15690544787847041</v>
      </c>
      <c r="N1010" s="6" t="str">
        <f>TEXT(Table13[[#This Row],[Order Date]],"mmm")</f>
        <v>Sep</v>
      </c>
      <c r="O1010" s="6">
        <f>YEAR(Table13[[#This Row],[Order Date]])</f>
        <v>2024</v>
      </c>
    </row>
    <row r="1011" spans="1:15" x14ac:dyDescent="0.3">
      <c r="A1011" s="4" t="s">
        <v>1626</v>
      </c>
      <c r="B1011" s="5">
        <v>45578</v>
      </c>
      <c r="C1011" s="4" t="s">
        <v>239</v>
      </c>
      <c r="D1011" s="4" t="s">
        <v>492</v>
      </c>
      <c r="E1011" s="4" t="s">
        <v>54</v>
      </c>
      <c r="F1011" s="4" t="s">
        <v>142</v>
      </c>
      <c r="G1011" s="4" t="s">
        <v>40</v>
      </c>
      <c r="H1011" s="4" t="s">
        <v>41</v>
      </c>
      <c r="I1011" s="6">
        <v>4</v>
      </c>
      <c r="J1011" s="6">
        <v>2944</v>
      </c>
      <c r="K1011" s="6">
        <v>2175.14</v>
      </c>
      <c r="L1011" s="6">
        <v>768.86</v>
      </c>
      <c r="M1011" s="11">
        <f>Table13[[#This Row],[Profit]]/Table13[[#This Row],[Sales]]</f>
        <v>0.26116168478260871</v>
      </c>
      <c r="N1011" s="6" t="str">
        <f>TEXT(Table13[[#This Row],[Order Date]],"mmm")</f>
        <v>Oct</v>
      </c>
      <c r="O1011" s="6">
        <f>YEAR(Table13[[#This Row],[Order Date]])</f>
        <v>2024</v>
      </c>
    </row>
    <row r="1012" spans="1:15" x14ac:dyDescent="0.3">
      <c r="A1012" s="4" t="s">
        <v>1627</v>
      </c>
      <c r="B1012" s="5">
        <v>45921</v>
      </c>
      <c r="C1012" s="4" t="s">
        <v>1382</v>
      </c>
      <c r="D1012" s="4" t="s">
        <v>743</v>
      </c>
      <c r="E1012" s="4" t="s">
        <v>22</v>
      </c>
      <c r="F1012" s="4" t="s">
        <v>23</v>
      </c>
      <c r="G1012" s="4" t="s">
        <v>17</v>
      </c>
      <c r="H1012" s="4" t="s">
        <v>18</v>
      </c>
      <c r="I1012" s="6">
        <v>2</v>
      </c>
      <c r="J1012" s="6">
        <v>8310</v>
      </c>
      <c r="K1012" s="6">
        <v>6542.46</v>
      </c>
      <c r="L1012" s="6">
        <v>1767.54</v>
      </c>
      <c r="M1012" s="11">
        <f>Table13[[#This Row],[Profit]]/Table13[[#This Row],[Sales]]</f>
        <v>0.21270036101083031</v>
      </c>
      <c r="N1012" s="6" t="str">
        <f>TEXT(Table13[[#This Row],[Order Date]],"mmm")</f>
        <v>Sep</v>
      </c>
      <c r="O1012" s="6">
        <f>YEAR(Table13[[#This Row],[Order Date]])</f>
        <v>2025</v>
      </c>
    </row>
    <row r="1013" spans="1:15" x14ac:dyDescent="0.3">
      <c r="A1013" s="4" t="s">
        <v>1628</v>
      </c>
      <c r="B1013" s="5">
        <v>45475</v>
      </c>
      <c r="C1013" s="4" t="s">
        <v>624</v>
      </c>
      <c r="D1013" s="4" t="s">
        <v>423</v>
      </c>
      <c r="E1013" s="4" t="s">
        <v>22</v>
      </c>
      <c r="F1013" s="4" t="s">
        <v>79</v>
      </c>
      <c r="G1013" s="4" t="s">
        <v>35</v>
      </c>
      <c r="H1013" s="4" t="s">
        <v>45</v>
      </c>
      <c r="I1013" s="6">
        <v>6</v>
      </c>
      <c r="J1013" s="6">
        <v>26304</v>
      </c>
      <c r="K1013" s="6">
        <v>18561.88</v>
      </c>
      <c r="L1013" s="6">
        <v>7742.12</v>
      </c>
      <c r="M1013" s="11">
        <f>Table13[[#This Row],[Profit]]/Table13[[#This Row],[Sales]]</f>
        <v>0.29433242092457418</v>
      </c>
      <c r="N1013" s="6" t="str">
        <f>TEXT(Table13[[#This Row],[Order Date]],"mmm")</f>
        <v>Jul</v>
      </c>
      <c r="O1013" s="6">
        <f>YEAR(Table13[[#This Row],[Order Date]])</f>
        <v>2024</v>
      </c>
    </row>
    <row r="1014" spans="1:15" x14ac:dyDescent="0.3">
      <c r="A1014" s="4" t="s">
        <v>1629</v>
      </c>
      <c r="B1014" s="5">
        <v>45945</v>
      </c>
      <c r="C1014" s="4" t="s">
        <v>1371</v>
      </c>
      <c r="D1014" s="4" t="s">
        <v>319</v>
      </c>
      <c r="E1014" s="4" t="s">
        <v>22</v>
      </c>
      <c r="F1014" s="4" t="s">
        <v>79</v>
      </c>
      <c r="G1014" s="4" t="s">
        <v>35</v>
      </c>
      <c r="H1014" s="4" t="s">
        <v>80</v>
      </c>
      <c r="I1014" s="6">
        <v>8</v>
      </c>
      <c r="J1014" s="6">
        <v>19984</v>
      </c>
      <c r="K1014" s="6">
        <v>14475.53</v>
      </c>
      <c r="L1014" s="6">
        <v>5508.47</v>
      </c>
      <c r="M1014" s="11">
        <f>Table13[[#This Row],[Profit]]/Table13[[#This Row],[Sales]]</f>
        <v>0.27564401521216975</v>
      </c>
      <c r="N1014" s="6" t="str">
        <f>TEXT(Table13[[#This Row],[Order Date]],"mmm")</f>
        <v>Oct</v>
      </c>
      <c r="O1014" s="6">
        <f>YEAR(Table13[[#This Row],[Order Date]])</f>
        <v>2025</v>
      </c>
    </row>
    <row r="1015" spans="1:15" x14ac:dyDescent="0.3">
      <c r="A1015" s="4" t="s">
        <v>1630</v>
      </c>
      <c r="B1015" s="5">
        <v>45605</v>
      </c>
      <c r="C1015" s="4" t="s">
        <v>538</v>
      </c>
      <c r="D1015" s="4" t="s">
        <v>894</v>
      </c>
      <c r="E1015" s="4" t="s">
        <v>29</v>
      </c>
      <c r="F1015" s="4" t="s">
        <v>102</v>
      </c>
      <c r="G1015" s="4" t="s">
        <v>40</v>
      </c>
      <c r="H1015" s="4" t="s">
        <v>56</v>
      </c>
      <c r="I1015" s="6">
        <v>8</v>
      </c>
      <c r="J1015" s="6">
        <v>17760</v>
      </c>
      <c r="K1015" s="6">
        <v>11877.36</v>
      </c>
      <c r="L1015" s="6">
        <v>5882.64</v>
      </c>
      <c r="M1015" s="11">
        <f>Table13[[#This Row],[Profit]]/Table13[[#This Row],[Sales]]</f>
        <v>0.33122972972972975</v>
      </c>
      <c r="N1015" s="6" t="str">
        <f>TEXT(Table13[[#This Row],[Order Date]],"mmm")</f>
        <v>Nov</v>
      </c>
      <c r="O1015" s="6">
        <f>YEAR(Table13[[#This Row],[Order Date]])</f>
        <v>2024</v>
      </c>
    </row>
    <row r="1016" spans="1:15" x14ac:dyDescent="0.3">
      <c r="A1016" s="4" t="s">
        <v>1631</v>
      </c>
      <c r="B1016" s="5">
        <v>45378</v>
      </c>
      <c r="C1016" s="4" t="s">
        <v>812</v>
      </c>
      <c r="D1016" s="4" t="s">
        <v>356</v>
      </c>
      <c r="E1016" s="4" t="s">
        <v>29</v>
      </c>
      <c r="F1016" s="4" t="s">
        <v>49</v>
      </c>
      <c r="G1016" s="4" t="s">
        <v>40</v>
      </c>
      <c r="H1016" s="4" t="s">
        <v>99</v>
      </c>
      <c r="I1016" s="6">
        <v>9</v>
      </c>
      <c r="J1016" s="6">
        <v>8946</v>
      </c>
      <c r="K1016" s="6">
        <v>5280.82</v>
      </c>
      <c r="L1016" s="6">
        <v>3665.18</v>
      </c>
      <c r="M1016" s="11">
        <f>Table13[[#This Row],[Profit]]/Table13[[#This Row],[Sales]]</f>
        <v>0.40970042477084728</v>
      </c>
      <c r="N1016" s="6" t="str">
        <f>TEXT(Table13[[#This Row],[Order Date]],"mmm")</f>
        <v>Mar</v>
      </c>
      <c r="O1016" s="6">
        <f>YEAR(Table13[[#This Row],[Order Date]])</f>
        <v>2024</v>
      </c>
    </row>
    <row r="1017" spans="1:15" x14ac:dyDescent="0.3">
      <c r="A1017" s="4" t="s">
        <v>1632</v>
      </c>
      <c r="B1017" s="5">
        <v>45636</v>
      </c>
      <c r="C1017" s="4" t="s">
        <v>1082</v>
      </c>
      <c r="D1017" s="4" t="s">
        <v>563</v>
      </c>
      <c r="E1017" s="4" t="s">
        <v>54</v>
      </c>
      <c r="F1017" s="4" t="s">
        <v>142</v>
      </c>
      <c r="G1017" s="4" t="s">
        <v>17</v>
      </c>
      <c r="H1017" s="4" t="s">
        <v>72</v>
      </c>
      <c r="I1017" s="6">
        <v>1</v>
      </c>
      <c r="J1017" s="6">
        <v>4111</v>
      </c>
      <c r="K1017" s="6">
        <v>2892.82</v>
      </c>
      <c r="L1017" s="6">
        <v>1218.18</v>
      </c>
      <c r="M1017" s="11">
        <f>Table13[[#This Row],[Profit]]/Table13[[#This Row],[Sales]]</f>
        <v>0.29632206275845296</v>
      </c>
      <c r="N1017" s="6" t="str">
        <f>TEXT(Table13[[#This Row],[Order Date]],"mmm")</f>
        <v>Dec</v>
      </c>
      <c r="O1017" s="6">
        <f>YEAR(Table13[[#This Row],[Order Date]])</f>
        <v>2024</v>
      </c>
    </row>
    <row r="1018" spans="1:15" x14ac:dyDescent="0.3">
      <c r="A1018" s="4" t="s">
        <v>1633</v>
      </c>
      <c r="B1018" s="5">
        <v>45683</v>
      </c>
      <c r="C1018" s="4" t="s">
        <v>1199</v>
      </c>
      <c r="D1018" s="4" t="s">
        <v>1011</v>
      </c>
      <c r="E1018" s="4" t="s">
        <v>22</v>
      </c>
      <c r="F1018" s="4" t="s">
        <v>67</v>
      </c>
      <c r="G1018" s="4" t="s">
        <v>35</v>
      </c>
      <c r="H1018" s="4" t="s">
        <v>36</v>
      </c>
      <c r="I1018" s="6">
        <v>6</v>
      </c>
      <c r="J1018" s="6">
        <v>26250</v>
      </c>
      <c r="K1018" s="6">
        <v>16934.04</v>
      </c>
      <c r="L1018" s="6">
        <v>9315.9599999999991</v>
      </c>
      <c r="M1018" s="11">
        <f>Table13[[#This Row],[Profit]]/Table13[[#This Row],[Sales]]</f>
        <v>0.35489371428571426</v>
      </c>
      <c r="N1018" s="6" t="str">
        <f>TEXT(Table13[[#This Row],[Order Date]],"mmm")</f>
        <v>Jan</v>
      </c>
      <c r="O1018" s="6">
        <f>YEAR(Table13[[#This Row],[Order Date]])</f>
        <v>2025</v>
      </c>
    </row>
    <row r="1019" spans="1:15" x14ac:dyDescent="0.3">
      <c r="A1019" s="4" t="s">
        <v>1634</v>
      </c>
      <c r="B1019" s="5">
        <v>45593</v>
      </c>
      <c r="C1019" s="4" t="s">
        <v>596</v>
      </c>
      <c r="D1019" s="4" t="s">
        <v>857</v>
      </c>
      <c r="E1019" s="4" t="s">
        <v>22</v>
      </c>
      <c r="F1019" s="4" t="s">
        <v>23</v>
      </c>
      <c r="G1019" s="4" t="s">
        <v>40</v>
      </c>
      <c r="H1019" s="4" t="s">
        <v>99</v>
      </c>
      <c r="I1019" s="6">
        <v>2</v>
      </c>
      <c r="J1019" s="6">
        <v>6482</v>
      </c>
      <c r="K1019" s="6">
        <v>5318.11</v>
      </c>
      <c r="L1019" s="6">
        <v>1163.8900000000001</v>
      </c>
      <c r="M1019" s="11">
        <f>Table13[[#This Row],[Profit]]/Table13[[#This Row],[Sales]]</f>
        <v>0.17955723542116633</v>
      </c>
      <c r="N1019" s="6" t="str">
        <f>TEXT(Table13[[#This Row],[Order Date]],"mmm")</f>
        <v>Oct</v>
      </c>
      <c r="O1019" s="6">
        <f>YEAR(Table13[[#This Row],[Order Date]])</f>
        <v>2024</v>
      </c>
    </row>
    <row r="1020" spans="1:15" x14ac:dyDescent="0.3">
      <c r="A1020" s="4" t="s">
        <v>1635</v>
      </c>
      <c r="B1020" s="5">
        <v>45331</v>
      </c>
      <c r="C1020" s="4" t="s">
        <v>13</v>
      </c>
      <c r="D1020" s="4" t="s">
        <v>169</v>
      </c>
      <c r="E1020" s="4" t="s">
        <v>15</v>
      </c>
      <c r="F1020" s="4" t="s">
        <v>63</v>
      </c>
      <c r="G1020" s="4" t="s">
        <v>40</v>
      </c>
      <c r="H1020" s="4" t="s">
        <v>56</v>
      </c>
      <c r="I1020" s="6">
        <v>2</v>
      </c>
      <c r="J1020" s="6">
        <v>2542</v>
      </c>
      <c r="K1020" s="6">
        <v>1452.51</v>
      </c>
      <c r="L1020" s="6">
        <v>1089.49</v>
      </c>
      <c r="M1020" s="11">
        <f>Table13[[#This Row],[Profit]]/Table13[[#This Row],[Sales]]</f>
        <v>0.42859559402045633</v>
      </c>
      <c r="N1020" s="6" t="str">
        <f>TEXT(Table13[[#This Row],[Order Date]],"mmm")</f>
        <v>Feb</v>
      </c>
      <c r="O1020" s="6">
        <f>YEAR(Table13[[#This Row],[Order Date]])</f>
        <v>2024</v>
      </c>
    </row>
    <row r="1021" spans="1:15" x14ac:dyDescent="0.3">
      <c r="A1021" s="4" t="s">
        <v>1636</v>
      </c>
      <c r="B1021" s="5">
        <v>45991</v>
      </c>
      <c r="C1021" s="4" t="s">
        <v>279</v>
      </c>
      <c r="D1021" s="4" t="s">
        <v>335</v>
      </c>
      <c r="E1021" s="4" t="s">
        <v>54</v>
      </c>
      <c r="F1021" s="4" t="s">
        <v>142</v>
      </c>
      <c r="G1021" s="4" t="s">
        <v>17</v>
      </c>
      <c r="H1021" s="4" t="s">
        <v>31</v>
      </c>
      <c r="I1021" s="6">
        <v>6</v>
      </c>
      <c r="J1021" s="6">
        <v>14088</v>
      </c>
      <c r="K1021" s="6">
        <v>9027.7999999999993</v>
      </c>
      <c r="L1021" s="6">
        <v>5060.2</v>
      </c>
      <c r="M1021" s="11">
        <f>Table13[[#This Row],[Profit]]/Table13[[#This Row],[Sales]]</f>
        <v>0.35918512208972175</v>
      </c>
      <c r="N1021" s="6" t="str">
        <f>TEXT(Table13[[#This Row],[Order Date]],"mmm")</f>
        <v>Nov</v>
      </c>
      <c r="O1021" s="6">
        <f>YEAR(Table13[[#This Row],[Order Date]])</f>
        <v>2025</v>
      </c>
    </row>
    <row r="1022" spans="1:15" x14ac:dyDescent="0.3">
      <c r="A1022" s="4" t="s">
        <v>1637</v>
      </c>
      <c r="B1022" s="5">
        <v>45598</v>
      </c>
      <c r="C1022" s="4" t="s">
        <v>938</v>
      </c>
      <c r="D1022" s="4" t="s">
        <v>554</v>
      </c>
      <c r="E1022" s="4" t="s">
        <v>29</v>
      </c>
      <c r="F1022" s="4" t="s">
        <v>30</v>
      </c>
      <c r="G1022" s="4" t="s">
        <v>17</v>
      </c>
      <c r="H1022" s="4" t="s">
        <v>18</v>
      </c>
      <c r="I1022" s="6">
        <v>9</v>
      </c>
      <c r="J1022" s="6">
        <v>21951</v>
      </c>
      <c r="K1022" s="6">
        <v>12129.25</v>
      </c>
      <c r="L1022" s="6">
        <v>9821.75</v>
      </c>
      <c r="M1022" s="11">
        <f>Table13[[#This Row],[Profit]]/Table13[[#This Row],[Sales]]</f>
        <v>0.44743975217529952</v>
      </c>
      <c r="N1022" s="6" t="str">
        <f>TEXT(Table13[[#This Row],[Order Date]],"mmm")</f>
        <v>Nov</v>
      </c>
      <c r="O1022" s="6">
        <f>YEAR(Table13[[#This Row],[Order Date]])</f>
        <v>2024</v>
      </c>
    </row>
    <row r="1023" spans="1:15" x14ac:dyDescent="0.3">
      <c r="A1023" s="4" t="s">
        <v>1638</v>
      </c>
      <c r="B1023" s="5">
        <v>45444</v>
      </c>
      <c r="C1023" s="4" t="s">
        <v>242</v>
      </c>
      <c r="D1023" s="4" t="s">
        <v>909</v>
      </c>
      <c r="E1023" s="4" t="s">
        <v>22</v>
      </c>
      <c r="F1023" s="4" t="s">
        <v>67</v>
      </c>
      <c r="G1023" s="4" t="s">
        <v>17</v>
      </c>
      <c r="H1023" s="4" t="s">
        <v>72</v>
      </c>
      <c r="I1023" s="6">
        <v>1</v>
      </c>
      <c r="J1023" s="6">
        <v>4166</v>
      </c>
      <c r="K1023" s="6">
        <v>3108.78</v>
      </c>
      <c r="L1023" s="6">
        <v>1057.22</v>
      </c>
      <c r="M1023" s="11">
        <f>Table13[[#This Row],[Profit]]/Table13[[#This Row],[Sales]]</f>
        <v>0.25377340374459917</v>
      </c>
      <c r="N1023" s="6" t="str">
        <f>TEXT(Table13[[#This Row],[Order Date]],"mmm")</f>
        <v>Jun</v>
      </c>
      <c r="O1023" s="6">
        <f>YEAR(Table13[[#This Row],[Order Date]])</f>
        <v>2024</v>
      </c>
    </row>
    <row r="1024" spans="1:15" x14ac:dyDescent="0.3">
      <c r="A1024" s="4" t="s">
        <v>1639</v>
      </c>
      <c r="B1024" s="5">
        <v>45893</v>
      </c>
      <c r="C1024" s="4" t="s">
        <v>329</v>
      </c>
      <c r="D1024" s="4" t="s">
        <v>383</v>
      </c>
      <c r="E1024" s="4" t="s">
        <v>29</v>
      </c>
      <c r="F1024" s="4" t="s">
        <v>30</v>
      </c>
      <c r="G1024" s="4" t="s">
        <v>17</v>
      </c>
      <c r="H1024" s="4" t="s">
        <v>18</v>
      </c>
      <c r="I1024" s="6">
        <v>4</v>
      </c>
      <c r="J1024" s="6">
        <v>16744</v>
      </c>
      <c r="K1024" s="6">
        <v>10383.24</v>
      </c>
      <c r="L1024" s="6">
        <v>6360.76</v>
      </c>
      <c r="M1024" s="11">
        <f>Table13[[#This Row],[Profit]]/Table13[[#This Row],[Sales]]</f>
        <v>0.37988294314381271</v>
      </c>
      <c r="N1024" s="6" t="str">
        <f>TEXT(Table13[[#This Row],[Order Date]],"mmm")</f>
        <v>Aug</v>
      </c>
      <c r="O1024" s="6">
        <f>YEAR(Table13[[#This Row],[Order Date]])</f>
        <v>2025</v>
      </c>
    </row>
    <row r="1025" spans="1:15" x14ac:dyDescent="0.3">
      <c r="A1025" s="4" t="s">
        <v>1640</v>
      </c>
      <c r="B1025" s="5">
        <v>46006</v>
      </c>
      <c r="C1025" s="4" t="s">
        <v>455</v>
      </c>
      <c r="D1025" s="4" t="s">
        <v>781</v>
      </c>
      <c r="E1025" s="4" t="s">
        <v>22</v>
      </c>
      <c r="F1025" s="4" t="s">
        <v>67</v>
      </c>
      <c r="G1025" s="4" t="s">
        <v>24</v>
      </c>
      <c r="H1025" s="4" t="s">
        <v>50</v>
      </c>
      <c r="I1025" s="6">
        <v>6</v>
      </c>
      <c r="J1025" s="6">
        <v>11028</v>
      </c>
      <c r="K1025" s="6">
        <v>7484.02</v>
      </c>
      <c r="L1025" s="6">
        <v>3543.98</v>
      </c>
      <c r="M1025" s="11">
        <f>Table13[[#This Row],[Profit]]/Table13[[#This Row],[Sales]]</f>
        <v>0.32136198766775481</v>
      </c>
      <c r="N1025" s="6" t="str">
        <f>TEXT(Table13[[#This Row],[Order Date]],"mmm")</f>
        <v>Dec</v>
      </c>
      <c r="O1025" s="6">
        <f>YEAR(Table13[[#This Row],[Order Date]])</f>
        <v>2025</v>
      </c>
    </row>
    <row r="1026" spans="1:15" x14ac:dyDescent="0.3">
      <c r="A1026" s="4" t="s">
        <v>1641</v>
      </c>
      <c r="B1026" s="5">
        <v>45423</v>
      </c>
      <c r="C1026" s="4" t="s">
        <v>935</v>
      </c>
      <c r="D1026" s="4" t="s">
        <v>629</v>
      </c>
      <c r="E1026" s="4" t="s">
        <v>22</v>
      </c>
      <c r="F1026" s="4" t="s">
        <v>67</v>
      </c>
      <c r="G1026" s="4" t="s">
        <v>35</v>
      </c>
      <c r="H1026" s="4" t="s">
        <v>45</v>
      </c>
      <c r="I1026" s="6">
        <v>1</v>
      </c>
      <c r="J1026" s="6">
        <v>3369</v>
      </c>
      <c r="K1026" s="6">
        <v>1993.39</v>
      </c>
      <c r="L1026" s="6">
        <v>1375.61</v>
      </c>
      <c r="M1026" s="11">
        <f>Table13[[#This Row],[Profit]]/Table13[[#This Row],[Sales]]</f>
        <v>0.40831403977441372</v>
      </c>
      <c r="N1026" s="6" t="str">
        <f>TEXT(Table13[[#This Row],[Order Date]],"mmm")</f>
        <v>May</v>
      </c>
      <c r="O1026" s="6">
        <f>YEAR(Table13[[#This Row],[Order Date]])</f>
        <v>2024</v>
      </c>
    </row>
    <row r="1027" spans="1:15" x14ac:dyDescent="0.3">
      <c r="A1027" s="4" t="s">
        <v>1642</v>
      </c>
      <c r="B1027" s="5">
        <v>45994</v>
      </c>
      <c r="C1027" s="4" t="s">
        <v>132</v>
      </c>
      <c r="D1027" s="4" t="s">
        <v>66</v>
      </c>
      <c r="E1027" s="4" t="s">
        <v>22</v>
      </c>
      <c r="F1027" s="4" t="s">
        <v>79</v>
      </c>
      <c r="G1027" s="4" t="s">
        <v>40</v>
      </c>
      <c r="H1027" s="4" t="s">
        <v>41</v>
      </c>
      <c r="I1027" s="6">
        <v>6</v>
      </c>
      <c r="J1027" s="6">
        <v>12882</v>
      </c>
      <c r="K1027" s="6">
        <v>8704.94</v>
      </c>
      <c r="L1027" s="6">
        <v>4177.0600000000004</v>
      </c>
      <c r="M1027" s="11">
        <f>Table13[[#This Row],[Profit]]/Table13[[#This Row],[Sales]]</f>
        <v>0.32425555038037573</v>
      </c>
      <c r="N1027" s="6" t="str">
        <f>TEXT(Table13[[#This Row],[Order Date]],"mmm")</f>
        <v>Dec</v>
      </c>
      <c r="O1027" s="6">
        <f>YEAR(Table13[[#This Row],[Order Date]])</f>
        <v>2025</v>
      </c>
    </row>
    <row r="1028" spans="1:15" x14ac:dyDescent="0.3">
      <c r="A1028" s="4" t="s">
        <v>1643</v>
      </c>
      <c r="B1028" s="5">
        <v>45434</v>
      </c>
      <c r="C1028" s="4" t="s">
        <v>251</v>
      </c>
      <c r="D1028" s="4" t="s">
        <v>1026</v>
      </c>
      <c r="E1028" s="4" t="s">
        <v>54</v>
      </c>
      <c r="F1028" s="4" t="s">
        <v>55</v>
      </c>
      <c r="G1028" s="4" t="s">
        <v>17</v>
      </c>
      <c r="H1028" s="4" t="s">
        <v>72</v>
      </c>
      <c r="I1028" s="6">
        <v>1</v>
      </c>
      <c r="J1028" s="6">
        <v>4949</v>
      </c>
      <c r="K1028" s="6">
        <v>3887.97</v>
      </c>
      <c r="L1028" s="6">
        <v>1061.03</v>
      </c>
      <c r="M1028" s="11">
        <f>Table13[[#This Row],[Profit]]/Table13[[#This Row],[Sales]]</f>
        <v>0.21439280662760152</v>
      </c>
      <c r="N1028" s="6" t="str">
        <f>TEXT(Table13[[#This Row],[Order Date]],"mmm")</f>
        <v>May</v>
      </c>
      <c r="O1028" s="6">
        <f>YEAR(Table13[[#This Row],[Order Date]])</f>
        <v>2024</v>
      </c>
    </row>
    <row r="1029" spans="1:15" x14ac:dyDescent="0.3">
      <c r="A1029" s="4" t="s">
        <v>1644</v>
      </c>
      <c r="B1029" s="5">
        <v>45484</v>
      </c>
      <c r="C1029" s="4" t="s">
        <v>1102</v>
      </c>
      <c r="D1029" s="4" t="s">
        <v>852</v>
      </c>
      <c r="E1029" s="4" t="s">
        <v>22</v>
      </c>
      <c r="F1029" s="4" t="s">
        <v>67</v>
      </c>
      <c r="G1029" s="4" t="s">
        <v>40</v>
      </c>
      <c r="H1029" s="4" t="s">
        <v>56</v>
      </c>
      <c r="I1029" s="6">
        <v>7</v>
      </c>
      <c r="J1029" s="6">
        <v>5747</v>
      </c>
      <c r="K1029" s="6">
        <v>4082.37</v>
      </c>
      <c r="L1029" s="6">
        <v>1664.63</v>
      </c>
      <c r="M1029" s="11">
        <f>Table13[[#This Row],[Profit]]/Table13[[#This Row],[Sales]]</f>
        <v>0.2896519923438316</v>
      </c>
      <c r="N1029" s="6" t="str">
        <f>TEXT(Table13[[#This Row],[Order Date]],"mmm")</f>
        <v>Jul</v>
      </c>
      <c r="O1029" s="6">
        <f>YEAR(Table13[[#This Row],[Order Date]])</f>
        <v>2024</v>
      </c>
    </row>
    <row r="1030" spans="1:15" x14ac:dyDescent="0.3">
      <c r="A1030" s="4" t="s">
        <v>1645</v>
      </c>
      <c r="B1030" s="5">
        <v>45983</v>
      </c>
      <c r="C1030" s="4" t="s">
        <v>474</v>
      </c>
      <c r="D1030" s="4" t="s">
        <v>1334</v>
      </c>
      <c r="E1030" s="4" t="s">
        <v>54</v>
      </c>
      <c r="F1030" s="4" t="s">
        <v>71</v>
      </c>
      <c r="G1030" s="4" t="s">
        <v>35</v>
      </c>
      <c r="H1030" s="4" t="s">
        <v>80</v>
      </c>
      <c r="I1030" s="6">
        <v>5</v>
      </c>
      <c r="J1030" s="6">
        <v>5315</v>
      </c>
      <c r="K1030" s="6">
        <v>3196.59</v>
      </c>
      <c r="L1030" s="6">
        <v>2118.41</v>
      </c>
      <c r="M1030" s="11">
        <f>Table13[[#This Row],[Profit]]/Table13[[#This Row],[Sales]]</f>
        <v>0.39857196613358414</v>
      </c>
      <c r="N1030" s="6" t="str">
        <f>TEXT(Table13[[#This Row],[Order Date]],"mmm")</f>
        <v>Nov</v>
      </c>
      <c r="O1030" s="6">
        <f>YEAR(Table13[[#This Row],[Order Date]])</f>
        <v>2025</v>
      </c>
    </row>
    <row r="1031" spans="1:15" x14ac:dyDescent="0.3">
      <c r="A1031" s="4" t="s">
        <v>1646</v>
      </c>
      <c r="B1031" s="5">
        <v>45363</v>
      </c>
      <c r="C1031" s="4" t="s">
        <v>1647</v>
      </c>
      <c r="D1031" s="4" t="s">
        <v>282</v>
      </c>
      <c r="E1031" s="4" t="s">
        <v>15</v>
      </c>
      <c r="F1031" s="4" t="s">
        <v>90</v>
      </c>
      <c r="G1031" s="4" t="s">
        <v>17</v>
      </c>
      <c r="H1031" s="4" t="s">
        <v>72</v>
      </c>
      <c r="I1031" s="6">
        <v>8</v>
      </c>
      <c r="J1031" s="6">
        <v>4152</v>
      </c>
      <c r="K1031" s="6">
        <v>2516.14</v>
      </c>
      <c r="L1031" s="6">
        <v>1635.86</v>
      </c>
      <c r="M1031" s="11">
        <f>Table13[[#This Row],[Profit]]/Table13[[#This Row],[Sales]]</f>
        <v>0.39399325626204235</v>
      </c>
      <c r="N1031" s="6" t="str">
        <f>TEXT(Table13[[#This Row],[Order Date]],"mmm")</f>
        <v>Mar</v>
      </c>
      <c r="O1031" s="6">
        <f>YEAR(Table13[[#This Row],[Order Date]])</f>
        <v>2024</v>
      </c>
    </row>
    <row r="1032" spans="1:15" x14ac:dyDescent="0.3">
      <c r="A1032" s="4" t="s">
        <v>1648</v>
      </c>
      <c r="B1032" s="5">
        <v>45669</v>
      </c>
      <c r="C1032" s="4" t="s">
        <v>1112</v>
      </c>
      <c r="D1032" s="4" t="s">
        <v>746</v>
      </c>
      <c r="E1032" s="4" t="s">
        <v>29</v>
      </c>
      <c r="F1032" s="4" t="s">
        <v>102</v>
      </c>
      <c r="G1032" s="4" t="s">
        <v>40</v>
      </c>
      <c r="H1032" s="4" t="s">
        <v>99</v>
      </c>
      <c r="I1032" s="6">
        <v>9</v>
      </c>
      <c r="J1032" s="6">
        <v>7857</v>
      </c>
      <c r="K1032" s="6">
        <v>5393.04</v>
      </c>
      <c r="L1032" s="6">
        <v>2463.96</v>
      </c>
      <c r="M1032" s="11">
        <f>Table13[[#This Row],[Profit]]/Table13[[#This Row],[Sales]]</f>
        <v>0.31360061092019853</v>
      </c>
      <c r="N1032" s="6" t="str">
        <f>TEXT(Table13[[#This Row],[Order Date]],"mmm")</f>
        <v>Jan</v>
      </c>
      <c r="O1032" s="6">
        <f>YEAR(Table13[[#This Row],[Order Date]])</f>
        <v>2025</v>
      </c>
    </row>
    <row r="1033" spans="1:15" x14ac:dyDescent="0.3">
      <c r="A1033" s="4" t="s">
        <v>1649</v>
      </c>
      <c r="B1033" s="5">
        <v>45424</v>
      </c>
      <c r="C1033" s="4" t="s">
        <v>38</v>
      </c>
      <c r="D1033" s="4" t="s">
        <v>223</v>
      </c>
      <c r="E1033" s="4" t="s">
        <v>29</v>
      </c>
      <c r="F1033" s="4" t="s">
        <v>49</v>
      </c>
      <c r="G1033" s="4" t="s">
        <v>35</v>
      </c>
      <c r="H1033" s="4" t="s">
        <v>36</v>
      </c>
      <c r="I1033" s="6">
        <v>7</v>
      </c>
      <c r="J1033" s="6">
        <v>11102</v>
      </c>
      <c r="K1033" s="6">
        <v>9402.0499999999993</v>
      </c>
      <c r="L1033" s="6">
        <v>1699.95</v>
      </c>
      <c r="M1033" s="11">
        <f>Table13[[#This Row],[Profit]]/Table13[[#This Row],[Sales]]</f>
        <v>0.15312105926860026</v>
      </c>
      <c r="N1033" s="6" t="str">
        <f>TEXT(Table13[[#This Row],[Order Date]],"mmm")</f>
        <v>May</v>
      </c>
      <c r="O1033" s="6">
        <f>YEAR(Table13[[#This Row],[Order Date]])</f>
        <v>2024</v>
      </c>
    </row>
    <row r="1034" spans="1:15" x14ac:dyDescent="0.3">
      <c r="A1034" s="4" t="s">
        <v>1650</v>
      </c>
      <c r="B1034" s="5">
        <v>45502</v>
      </c>
      <c r="C1034" s="4" t="s">
        <v>490</v>
      </c>
      <c r="D1034" s="4" t="s">
        <v>719</v>
      </c>
      <c r="E1034" s="4" t="s">
        <v>22</v>
      </c>
      <c r="F1034" s="4" t="s">
        <v>79</v>
      </c>
      <c r="G1034" s="4" t="s">
        <v>24</v>
      </c>
      <c r="H1034" s="4" t="s">
        <v>50</v>
      </c>
      <c r="I1034" s="6">
        <v>7</v>
      </c>
      <c r="J1034" s="6">
        <v>13937</v>
      </c>
      <c r="K1034" s="6">
        <v>8208.61</v>
      </c>
      <c r="L1034" s="6">
        <v>5728.39</v>
      </c>
      <c r="M1034" s="11">
        <f>Table13[[#This Row],[Profit]]/Table13[[#This Row],[Sales]]</f>
        <v>0.41102030566118969</v>
      </c>
      <c r="N1034" s="6" t="str">
        <f>TEXT(Table13[[#This Row],[Order Date]],"mmm")</f>
        <v>Jul</v>
      </c>
      <c r="O1034" s="6">
        <f>YEAR(Table13[[#This Row],[Order Date]])</f>
        <v>2024</v>
      </c>
    </row>
    <row r="1035" spans="1:15" x14ac:dyDescent="0.3">
      <c r="A1035" s="4" t="s">
        <v>1651</v>
      </c>
      <c r="B1035" s="5">
        <v>45806</v>
      </c>
      <c r="C1035" s="4" t="s">
        <v>516</v>
      </c>
      <c r="D1035" s="4" t="s">
        <v>401</v>
      </c>
      <c r="E1035" s="4" t="s">
        <v>22</v>
      </c>
      <c r="F1035" s="4" t="s">
        <v>23</v>
      </c>
      <c r="G1035" s="4" t="s">
        <v>17</v>
      </c>
      <c r="H1035" s="4" t="s">
        <v>72</v>
      </c>
      <c r="I1035" s="6">
        <v>10</v>
      </c>
      <c r="J1035" s="6">
        <v>28420</v>
      </c>
      <c r="K1035" s="6">
        <v>20639.96</v>
      </c>
      <c r="L1035" s="6">
        <v>7780.04</v>
      </c>
      <c r="M1035" s="11">
        <f>Table13[[#This Row],[Profit]]/Table13[[#This Row],[Sales]]</f>
        <v>0.27375228712174526</v>
      </c>
      <c r="N1035" s="6" t="str">
        <f>TEXT(Table13[[#This Row],[Order Date]],"mmm")</f>
        <v>May</v>
      </c>
      <c r="O1035" s="6">
        <f>YEAR(Table13[[#This Row],[Order Date]])</f>
        <v>2025</v>
      </c>
    </row>
    <row r="1036" spans="1:15" x14ac:dyDescent="0.3">
      <c r="A1036" s="4" t="s">
        <v>1652</v>
      </c>
      <c r="B1036" s="5">
        <v>45911</v>
      </c>
      <c r="C1036" s="4" t="s">
        <v>480</v>
      </c>
      <c r="D1036" s="4" t="s">
        <v>561</v>
      </c>
      <c r="E1036" s="4" t="s">
        <v>29</v>
      </c>
      <c r="F1036" s="4" t="s">
        <v>102</v>
      </c>
      <c r="G1036" s="4" t="s">
        <v>24</v>
      </c>
      <c r="H1036" s="4" t="s">
        <v>166</v>
      </c>
      <c r="I1036" s="6">
        <v>8</v>
      </c>
      <c r="J1036" s="6">
        <v>6592</v>
      </c>
      <c r="K1036" s="6">
        <v>5256.29</v>
      </c>
      <c r="L1036" s="6">
        <v>1335.71</v>
      </c>
      <c r="M1036" s="11">
        <f>Table13[[#This Row],[Profit]]/Table13[[#This Row],[Sales]]</f>
        <v>0.20262591019417475</v>
      </c>
      <c r="N1036" s="6" t="str">
        <f>TEXT(Table13[[#This Row],[Order Date]],"mmm")</f>
        <v>Sep</v>
      </c>
      <c r="O1036" s="6">
        <f>YEAR(Table13[[#This Row],[Order Date]])</f>
        <v>2025</v>
      </c>
    </row>
    <row r="1037" spans="1:15" x14ac:dyDescent="0.3">
      <c r="A1037" s="4" t="s">
        <v>1653</v>
      </c>
      <c r="B1037" s="5">
        <v>45385</v>
      </c>
      <c r="C1037" s="4" t="s">
        <v>298</v>
      </c>
      <c r="D1037" s="4" t="s">
        <v>369</v>
      </c>
      <c r="E1037" s="4" t="s">
        <v>54</v>
      </c>
      <c r="F1037" s="4" t="s">
        <v>71</v>
      </c>
      <c r="G1037" s="4" t="s">
        <v>35</v>
      </c>
      <c r="H1037" s="4" t="s">
        <v>80</v>
      </c>
      <c r="I1037" s="6">
        <v>8</v>
      </c>
      <c r="J1037" s="6">
        <v>32720</v>
      </c>
      <c r="K1037" s="6">
        <v>23651.32</v>
      </c>
      <c r="L1037" s="6">
        <v>9068.68</v>
      </c>
      <c r="M1037" s="11">
        <f>Table13[[#This Row],[Profit]]/Table13[[#This Row],[Sales]]</f>
        <v>0.27716014669926653</v>
      </c>
      <c r="N1037" s="6" t="str">
        <f>TEXT(Table13[[#This Row],[Order Date]],"mmm")</f>
        <v>Apr</v>
      </c>
      <c r="O1037" s="6">
        <f>YEAR(Table13[[#This Row],[Order Date]])</f>
        <v>2024</v>
      </c>
    </row>
    <row r="1038" spans="1:15" x14ac:dyDescent="0.3">
      <c r="A1038" s="4" t="s">
        <v>1654</v>
      </c>
      <c r="B1038" s="5">
        <v>45471</v>
      </c>
      <c r="C1038" s="4" t="s">
        <v>217</v>
      </c>
      <c r="D1038" s="4" t="s">
        <v>114</v>
      </c>
      <c r="E1038" s="4" t="s">
        <v>54</v>
      </c>
      <c r="F1038" s="4" t="s">
        <v>71</v>
      </c>
      <c r="G1038" s="4" t="s">
        <v>17</v>
      </c>
      <c r="H1038" s="4" t="s">
        <v>18</v>
      </c>
      <c r="I1038" s="6">
        <v>5</v>
      </c>
      <c r="J1038" s="6">
        <v>17515</v>
      </c>
      <c r="K1038" s="6">
        <v>12854.4</v>
      </c>
      <c r="L1038" s="6">
        <v>4660.6000000000004</v>
      </c>
      <c r="M1038" s="11">
        <f>Table13[[#This Row],[Profit]]/Table13[[#This Row],[Sales]]</f>
        <v>0.2660919212103911</v>
      </c>
      <c r="N1038" s="6" t="str">
        <f>TEXT(Table13[[#This Row],[Order Date]],"mmm")</f>
        <v>Jun</v>
      </c>
      <c r="O1038" s="6">
        <f>YEAR(Table13[[#This Row],[Order Date]])</f>
        <v>2024</v>
      </c>
    </row>
    <row r="1039" spans="1:15" x14ac:dyDescent="0.3">
      <c r="A1039" s="4" t="s">
        <v>1655</v>
      </c>
      <c r="B1039" s="5">
        <v>45966</v>
      </c>
      <c r="C1039" s="4" t="s">
        <v>565</v>
      </c>
      <c r="D1039" s="4" t="s">
        <v>989</v>
      </c>
      <c r="E1039" s="4" t="s">
        <v>29</v>
      </c>
      <c r="F1039" s="4" t="s">
        <v>30</v>
      </c>
      <c r="G1039" s="4" t="s">
        <v>17</v>
      </c>
      <c r="H1039" s="4" t="s">
        <v>18</v>
      </c>
      <c r="I1039" s="6">
        <v>7</v>
      </c>
      <c r="J1039" s="6">
        <v>28350</v>
      </c>
      <c r="K1039" s="6">
        <v>18864.080000000002</v>
      </c>
      <c r="L1039" s="6">
        <v>9485.92</v>
      </c>
      <c r="M1039" s="11">
        <f>Table13[[#This Row],[Profit]]/Table13[[#This Row],[Sales]]</f>
        <v>0.33460035273368605</v>
      </c>
      <c r="N1039" s="6" t="str">
        <f>TEXT(Table13[[#This Row],[Order Date]],"mmm")</f>
        <v>Nov</v>
      </c>
      <c r="O1039" s="6">
        <f>YEAR(Table13[[#This Row],[Order Date]])</f>
        <v>2025</v>
      </c>
    </row>
    <row r="1040" spans="1:15" x14ac:dyDescent="0.3">
      <c r="A1040" s="4" t="s">
        <v>1656</v>
      </c>
      <c r="B1040" s="5">
        <v>45453</v>
      </c>
      <c r="C1040" s="4" t="s">
        <v>279</v>
      </c>
      <c r="D1040" s="4" t="s">
        <v>66</v>
      </c>
      <c r="E1040" s="4" t="s">
        <v>15</v>
      </c>
      <c r="F1040" s="4" t="s">
        <v>63</v>
      </c>
      <c r="G1040" s="4" t="s">
        <v>17</v>
      </c>
      <c r="H1040" s="4" t="s">
        <v>18</v>
      </c>
      <c r="I1040" s="6">
        <v>1</v>
      </c>
      <c r="J1040" s="6">
        <v>2263</v>
      </c>
      <c r="K1040" s="6">
        <v>1845.84</v>
      </c>
      <c r="L1040" s="6">
        <v>417.16</v>
      </c>
      <c r="M1040" s="11">
        <f>Table13[[#This Row],[Profit]]/Table13[[#This Row],[Sales]]</f>
        <v>0.18433937251436147</v>
      </c>
      <c r="N1040" s="6" t="str">
        <f>TEXT(Table13[[#This Row],[Order Date]],"mmm")</f>
        <v>Jun</v>
      </c>
      <c r="O1040" s="6">
        <f>YEAR(Table13[[#This Row],[Order Date]])</f>
        <v>2024</v>
      </c>
    </row>
    <row r="1041" spans="1:15" x14ac:dyDescent="0.3">
      <c r="A1041" s="4" t="s">
        <v>1657</v>
      </c>
      <c r="B1041" s="5">
        <v>45858</v>
      </c>
      <c r="C1041" s="4" t="s">
        <v>427</v>
      </c>
      <c r="D1041" s="4" t="s">
        <v>431</v>
      </c>
      <c r="E1041" s="4" t="s">
        <v>54</v>
      </c>
      <c r="F1041" s="4" t="s">
        <v>71</v>
      </c>
      <c r="G1041" s="4" t="s">
        <v>24</v>
      </c>
      <c r="H1041" s="4" t="s">
        <v>50</v>
      </c>
      <c r="I1041" s="6">
        <v>4</v>
      </c>
      <c r="J1041" s="6">
        <v>17368</v>
      </c>
      <c r="K1041" s="6">
        <v>11695.32</v>
      </c>
      <c r="L1041" s="6">
        <v>5672.68</v>
      </c>
      <c r="M1041" s="11">
        <f>Table13[[#This Row],[Profit]]/Table13[[#This Row],[Sales]]</f>
        <v>0.32661676646706589</v>
      </c>
      <c r="N1041" s="6" t="str">
        <f>TEXT(Table13[[#This Row],[Order Date]],"mmm")</f>
        <v>Jul</v>
      </c>
      <c r="O1041" s="6">
        <f>YEAR(Table13[[#This Row],[Order Date]])</f>
        <v>2025</v>
      </c>
    </row>
    <row r="1042" spans="1:15" x14ac:dyDescent="0.3">
      <c r="A1042" s="4" t="s">
        <v>1658</v>
      </c>
      <c r="B1042" s="5">
        <v>45550</v>
      </c>
      <c r="C1042" s="4" t="s">
        <v>976</v>
      </c>
      <c r="D1042" s="4" t="s">
        <v>184</v>
      </c>
      <c r="E1042" s="4" t="s">
        <v>15</v>
      </c>
      <c r="F1042" s="4" t="s">
        <v>16</v>
      </c>
      <c r="G1042" s="4" t="s">
        <v>35</v>
      </c>
      <c r="H1042" s="4" t="s">
        <v>45</v>
      </c>
      <c r="I1042" s="6">
        <v>6</v>
      </c>
      <c r="J1042" s="6">
        <v>21954</v>
      </c>
      <c r="K1042" s="6">
        <v>15044.65</v>
      </c>
      <c r="L1042" s="6">
        <v>6909.35</v>
      </c>
      <c r="M1042" s="11">
        <f>Table13[[#This Row],[Profit]]/Table13[[#This Row],[Sales]]</f>
        <v>0.31471941331875741</v>
      </c>
      <c r="N1042" s="6" t="str">
        <f>TEXT(Table13[[#This Row],[Order Date]],"mmm")</f>
        <v>Sep</v>
      </c>
      <c r="O1042" s="6">
        <f>YEAR(Table13[[#This Row],[Order Date]])</f>
        <v>2024</v>
      </c>
    </row>
    <row r="1043" spans="1:15" x14ac:dyDescent="0.3">
      <c r="A1043" s="4" t="s">
        <v>1659</v>
      </c>
      <c r="B1043" s="5">
        <v>45700</v>
      </c>
      <c r="C1043" s="4" t="s">
        <v>276</v>
      </c>
      <c r="D1043" s="4" t="s">
        <v>531</v>
      </c>
      <c r="E1043" s="4" t="s">
        <v>15</v>
      </c>
      <c r="F1043" s="4" t="s">
        <v>63</v>
      </c>
      <c r="G1043" s="4" t="s">
        <v>24</v>
      </c>
      <c r="H1043" s="4" t="s">
        <v>25</v>
      </c>
      <c r="I1043" s="6">
        <v>2</v>
      </c>
      <c r="J1043" s="6">
        <v>8166</v>
      </c>
      <c r="K1043" s="6">
        <v>5425.05</v>
      </c>
      <c r="L1043" s="6">
        <v>2740.95</v>
      </c>
      <c r="M1043" s="11">
        <f>Table13[[#This Row],[Profit]]/Table13[[#This Row],[Sales]]</f>
        <v>0.33565393093313739</v>
      </c>
      <c r="N1043" s="6" t="str">
        <f>TEXT(Table13[[#This Row],[Order Date]],"mmm")</f>
        <v>Feb</v>
      </c>
      <c r="O1043" s="6">
        <f>YEAR(Table13[[#This Row],[Order Date]])</f>
        <v>2025</v>
      </c>
    </row>
    <row r="1044" spans="1:15" x14ac:dyDescent="0.3">
      <c r="A1044" s="4" t="s">
        <v>1660</v>
      </c>
      <c r="B1044" s="5">
        <v>45767</v>
      </c>
      <c r="C1044" s="4" t="s">
        <v>212</v>
      </c>
      <c r="D1044" s="4" t="s">
        <v>1282</v>
      </c>
      <c r="E1044" s="4" t="s">
        <v>15</v>
      </c>
      <c r="F1044" s="4" t="s">
        <v>16</v>
      </c>
      <c r="G1044" s="4" t="s">
        <v>40</v>
      </c>
      <c r="H1044" s="4" t="s">
        <v>99</v>
      </c>
      <c r="I1044" s="6">
        <v>2</v>
      </c>
      <c r="J1044" s="6">
        <v>2836</v>
      </c>
      <c r="K1044" s="6">
        <v>1838.11</v>
      </c>
      <c r="L1044" s="6">
        <v>997.89</v>
      </c>
      <c r="M1044" s="11">
        <f>Table13[[#This Row],[Profit]]/Table13[[#This Row],[Sales]]</f>
        <v>0.35186530324400561</v>
      </c>
      <c r="N1044" s="6" t="str">
        <f>TEXT(Table13[[#This Row],[Order Date]],"mmm")</f>
        <v>Apr</v>
      </c>
      <c r="O1044" s="6">
        <f>YEAR(Table13[[#This Row],[Order Date]])</f>
        <v>2025</v>
      </c>
    </row>
    <row r="1045" spans="1:15" x14ac:dyDescent="0.3">
      <c r="A1045" s="4" t="s">
        <v>1661</v>
      </c>
      <c r="B1045" s="5">
        <v>45577</v>
      </c>
      <c r="C1045" s="4" t="s">
        <v>154</v>
      </c>
      <c r="D1045" s="4" t="s">
        <v>362</v>
      </c>
      <c r="E1045" s="4" t="s">
        <v>15</v>
      </c>
      <c r="F1045" s="4" t="s">
        <v>16</v>
      </c>
      <c r="G1045" s="4" t="s">
        <v>35</v>
      </c>
      <c r="H1045" s="4" t="s">
        <v>45</v>
      </c>
      <c r="I1045" s="6">
        <v>4</v>
      </c>
      <c r="J1045" s="6">
        <v>15540</v>
      </c>
      <c r="K1045" s="6">
        <v>9200.8700000000008</v>
      </c>
      <c r="L1045" s="6">
        <v>6339.13</v>
      </c>
      <c r="M1045" s="11">
        <f>Table13[[#This Row],[Profit]]/Table13[[#This Row],[Sales]]</f>
        <v>0.40792342342342341</v>
      </c>
      <c r="N1045" s="6" t="str">
        <f>TEXT(Table13[[#This Row],[Order Date]],"mmm")</f>
        <v>Oct</v>
      </c>
      <c r="O1045" s="6">
        <f>YEAR(Table13[[#This Row],[Order Date]])</f>
        <v>2024</v>
      </c>
    </row>
    <row r="1046" spans="1:15" x14ac:dyDescent="0.3">
      <c r="A1046" s="4" t="s">
        <v>1662</v>
      </c>
      <c r="B1046" s="5">
        <v>45692</v>
      </c>
      <c r="C1046" s="4" t="s">
        <v>570</v>
      </c>
      <c r="D1046" s="4" t="s">
        <v>650</v>
      </c>
      <c r="E1046" s="4" t="s">
        <v>15</v>
      </c>
      <c r="F1046" s="4" t="s">
        <v>90</v>
      </c>
      <c r="G1046" s="4" t="s">
        <v>24</v>
      </c>
      <c r="H1046" s="4" t="s">
        <v>50</v>
      </c>
      <c r="I1046" s="6">
        <v>3</v>
      </c>
      <c r="J1046" s="6">
        <v>8127</v>
      </c>
      <c r="K1046" s="6">
        <v>4772.54</v>
      </c>
      <c r="L1046" s="6">
        <v>3354.46</v>
      </c>
      <c r="M1046" s="11">
        <f>Table13[[#This Row],[Profit]]/Table13[[#This Row],[Sales]]</f>
        <v>0.41275501415036298</v>
      </c>
      <c r="N1046" s="6" t="str">
        <f>TEXT(Table13[[#This Row],[Order Date]],"mmm")</f>
        <v>Feb</v>
      </c>
      <c r="O1046" s="6">
        <f>YEAR(Table13[[#This Row],[Order Date]])</f>
        <v>2025</v>
      </c>
    </row>
    <row r="1047" spans="1:15" x14ac:dyDescent="0.3">
      <c r="A1047" s="4" t="s">
        <v>1663</v>
      </c>
      <c r="B1047" s="5">
        <v>45513</v>
      </c>
      <c r="C1047" s="4" t="s">
        <v>1328</v>
      </c>
      <c r="D1047" s="4" t="s">
        <v>610</v>
      </c>
      <c r="E1047" s="4" t="s">
        <v>15</v>
      </c>
      <c r="F1047" s="4" t="s">
        <v>90</v>
      </c>
      <c r="G1047" s="4" t="s">
        <v>40</v>
      </c>
      <c r="H1047" s="4" t="s">
        <v>99</v>
      </c>
      <c r="I1047" s="6">
        <v>3</v>
      </c>
      <c r="J1047" s="6">
        <v>11727</v>
      </c>
      <c r="K1047" s="6">
        <v>7709.64</v>
      </c>
      <c r="L1047" s="6">
        <v>4017.36</v>
      </c>
      <c r="M1047" s="11">
        <f>Table13[[#This Row],[Profit]]/Table13[[#This Row],[Sales]]</f>
        <v>0.34257354822205166</v>
      </c>
      <c r="N1047" s="6" t="str">
        <f>TEXT(Table13[[#This Row],[Order Date]],"mmm")</f>
        <v>Aug</v>
      </c>
      <c r="O1047" s="6">
        <f>YEAR(Table13[[#This Row],[Order Date]])</f>
        <v>2024</v>
      </c>
    </row>
    <row r="1048" spans="1:15" x14ac:dyDescent="0.3">
      <c r="A1048" s="4" t="s">
        <v>1664</v>
      </c>
      <c r="B1048" s="5">
        <v>45967</v>
      </c>
      <c r="C1048" s="4" t="s">
        <v>33</v>
      </c>
      <c r="D1048" s="4" t="s">
        <v>1016</v>
      </c>
      <c r="E1048" s="4" t="s">
        <v>29</v>
      </c>
      <c r="F1048" s="4" t="s">
        <v>49</v>
      </c>
      <c r="G1048" s="4" t="s">
        <v>17</v>
      </c>
      <c r="H1048" s="4" t="s">
        <v>18</v>
      </c>
      <c r="I1048" s="6">
        <v>1</v>
      </c>
      <c r="J1048" s="6">
        <v>4583</v>
      </c>
      <c r="K1048" s="6">
        <v>3401.98</v>
      </c>
      <c r="L1048" s="6">
        <v>1181.02</v>
      </c>
      <c r="M1048" s="11">
        <f>Table13[[#This Row],[Profit]]/Table13[[#This Row],[Sales]]</f>
        <v>0.25769583242417632</v>
      </c>
      <c r="N1048" s="6" t="str">
        <f>TEXT(Table13[[#This Row],[Order Date]],"mmm")</f>
        <v>Nov</v>
      </c>
      <c r="O1048" s="6">
        <f>YEAR(Table13[[#This Row],[Order Date]])</f>
        <v>2025</v>
      </c>
    </row>
    <row r="1049" spans="1:15" x14ac:dyDescent="0.3">
      <c r="A1049" s="4" t="s">
        <v>1665</v>
      </c>
      <c r="B1049" s="5">
        <v>45678</v>
      </c>
      <c r="C1049" s="4" t="s">
        <v>1232</v>
      </c>
      <c r="D1049" s="4" t="s">
        <v>114</v>
      </c>
      <c r="E1049" s="4" t="s">
        <v>54</v>
      </c>
      <c r="F1049" s="4" t="s">
        <v>55</v>
      </c>
      <c r="G1049" s="4" t="s">
        <v>24</v>
      </c>
      <c r="H1049" s="4" t="s">
        <v>25</v>
      </c>
      <c r="I1049" s="6">
        <v>10</v>
      </c>
      <c r="J1049" s="6">
        <v>3380</v>
      </c>
      <c r="K1049" s="6">
        <v>1908.35</v>
      </c>
      <c r="L1049" s="6">
        <v>1471.65</v>
      </c>
      <c r="M1049" s="11">
        <f>Table13[[#This Row],[Profit]]/Table13[[#This Row],[Sales]]</f>
        <v>0.43539940828402368</v>
      </c>
      <c r="N1049" s="6" t="str">
        <f>TEXT(Table13[[#This Row],[Order Date]],"mmm")</f>
        <v>Jan</v>
      </c>
      <c r="O1049" s="6">
        <f>YEAR(Table13[[#This Row],[Order Date]])</f>
        <v>2025</v>
      </c>
    </row>
    <row r="1050" spans="1:15" x14ac:dyDescent="0.3">
      <c r="A1050" s="4" t="s">
        <v>1666</v>
      </c>
      <c r="B1050" s="5">
        <v>45306</v>
      </c>
      <c r="C1050" s="4" t="s">
        <v>225</v>
      </c>
      <c r="D1050" s="4" t="s">
        <v>187</v>
      </c>
      <c r="E1050" s="4" t="s">
        <v>54</v>
      </c>
      <c r="F1050" s="4" t="s">
        <v>142</v>
      </c>
      <c r="G1050" s="4" t="s">
        <v>40</v>
      </c>
      <c r="H1050" s="4" t="s">
        <v>56</v>
      </c>
      <c r="I1050" s="6">
        <v>2</v>
      </c>
      <c r="J1050" s="6">
        <v>862</v>
      </c>
      <c r="K1050" s="6">
        <v>583.15</v>
      </c>
      <c r="L1050" s="6">
        <v>278.85000000000002</v>
      </c>
      <c r="M1050" s="11">
        <f>Table13[[#This Row],[Profit]]/Table13[[#This Row],[Sales]]</f>
        <v>0.32349187935034807</v>
      </c>
      <c r="N1050" s="6" t="str">
        <f>TEXT(Table13[[#This Row],[Order Date]],"mmm")</f>
        <v>Jan</v>
      </c>
      <c r="O1050" s="6">
        <f>YEAR(Table13[[#This Row],[Order Date]])</f>
        <v>2024</v>
      </c>
    </row>
    <row r="1051" spans="1:15" x14ac:dyDescent="0.3">
      <c r="A1051" s="4" t="s">
        <v>1667</v>
      </c>
      <c r="B1051" s="5">
        <v>45816</v>
      </c>
      <c r="C1051" s="4" t="s">
        <v>113</v>
      </c>
      <c r="D1051" s="4" t="s">
        <v>232</v>
      </c>
      <c r="E1051" s="4" t="s">
        <v>15</v>
      </c>
      <c r="F1051" s="4" t="s">
        <v>16</v>
      </c>
      <c r="G1051" s="4" t="s">
        <v>24</v>
      </c>
      <c r="H1051" s="4" t="s">
        <v>50</v>
      </c>
      <c r="I1051" s="6">
        <v>3</v>
      </c>
      <c r="J1051" s="6">
        <v>5004</v>
      </c>
      <c r="K1051" s="6">
        <v>2818.27</v>
      </c>
      <c r="L1051" s="6">
        <v>2185.73</v>
      </c>
      <c r="M1051" s="11">
        <f>Table13[[#This Row],[Profit]]/Table13[[#This Row],[Sales]]</f>
        <v>0.43679656274980017</v>
      </c>
      <c r="N1051" s="6" t="str">
        <f>TEXT(Table13[[#This Row],[Order Date]],"mmm")</f>
        <v>Jun</v>
      </c>
      <c r="O1051" s="6">
        <f>YEAR(Table13[[#This Row],[Order Date]])</f>
        <v>2025</v>
      </c>
    </row>
    <row r="1052" spans="1:15" x14ac:dyDescent="0.3">
      <c r="A1052" s="4" t="s">
        <v>1668</v>
      </c>
      <c r="B1052" s="5">
        <v>45696</v>
      </c>
      <c r="C1052" s="4" t="s">
        <v>1669</v>
      </c>
      <c r="D1052" s="4" t="s">
        <v>98</v>
      </c>
      <c r="E1052" s="4" t="s">
        <v>54</v>
      </c>
      <c r="F1052" s="4" t="s">
        <v>71</v>
      </c>
      <c r="G1052" s="4" t="s">
        <v>17</v>
      </c>
      <c r="H1052" s="4" t="s">
        <v>31</v>
      </c>
      <c r="I1052" s="6">
        <v>4</v>
      </c>
      <c r="J1052" s="6">
        <v>7984</v>
      </c>
      <c r="K1052" s="6">
        <v>6629.1</v>
      </c>
      <c r="L1052" s="6">
        <v>1354.9</v>
      </c>
      <c r="M1052" s="11">
        <f>Table13[[#This Row],[Profit]]/Table13[[#This Row],[Sales]]</f>
        <v>0.16970190380761524</v>
      </c>
      <c r="N1052" s="6" t="str">
        <f>TEXT(Table13[[#This Row],[Order Date]],"mmm")</f>
        <v>Feb</v>
      </c>
      <c r="O1052" s="6">
        <f>YEAR(Table13[[#This Row],[Order Date]])</f>
        <v>2025</v>
      </c>
    </row>
    <row r="1053" spans="1:15" x14ac:dyDescent="0.3">
      <c r="A1053" s="4" t="s">
        <v>1670</v>
      </c>
      <c r="B1053" s="5">
        <v>45703</v>
      </c>
      <c r="C1053" s="4" t="s">
        <v>61</v>
      </c>
      <c r="D1053" s="4" t="s">
        <v>249</v>
      </c>
      <c r="E1053" s="4" t="s">
        <v>29</v>
      </c>
      <c r="F1053" s="4" t="s">
        <v>102</v>
      </c>
      <c r="G1053" s="4" t="s">
        <v>24</v>
      </c>
      <c r="H1053" s="4" t="s">
        <v>50</v>
      </c>
      <c r="I1053" s="6">
        <v>6</v>
      </c>
      <c r="J1053" s="6">
        <v>17694</v>
      </c>
      <c r="K1053" s="6">
        <v>10653.32</v>
      </c>
      <c r="L1053" s="6">
        <v>7040.68</v>
      </c>
      <c r="M1053" s="11">
        <f>Table13[[#This Row],[Profit]]/Table13[[#This Row],[Sales]]</f>
        <v>0.39791341697750654</v>
      </c>
      <c r="N1053" s="6" t="str">
        <f>TEXT(Table13[[#This Row],[Order Date]],"mmm")</f>
        <v>Feb</v>
      </c>
      <c r="O1053" s="6">
        <f>YEAR(Table13[[#This Row],[Order Date]])</f>
        <v>2025</v>
      </c>
    </row>
    <row r="1054" spans="1:15" x14ac:dyDescent="0.3">
      <c r="A1054" s="4" t="s">
        <v>1671</v>
      </c>
      <c r="B1054" s="5">
        <v>45577</v>
      </c>
      <c r="C1054" s="4" t="s">
        <v>269</v>
      </c>
      <c r="D1054" s="4" t="s">
        <v>1672</v>
      </c>
      <c r="E1054" s="4" t="s">
        <v>22</v>
      </c>
      <c r="F1054" s="4" t="s">
        <v>23</v>
      </c>
      <c r="G1054" s="4" t="s">
        <v>35</v>
      </c>
      <c r="H1054" s="4" t="s">
        <v>80</v>
      </c>
      <c r="I1054" s="6">
        <v>4</v>
      </c>
      <c r="J1054" s="6">
        <v>3360</v>
      </c>
      <c r="K1054" s="6">
        <v>2511.23</v>
      </c>
      <c r="L1054" s="6">
        <v>848.77</v>
      </c>
      <c r="M1054" s="11">
        <f>Table13[[#This Row],[Profit]]/Table13[[#This Row],[Sales]]</f>
        <v>0.25261011904761904</v>
      </c>
      <c r="N1054" s="6" t="str">
        <f>TEXT(Table13[[#This Row],[Order Date]],"mmm")</f>
        <v>Oct</v>
      </c>
      <c r="O1054" s="6">
        <f>YEAR(Table13[[#This Row],[Order Date]])</f>
        <v>2024</v>
      </c>
    </row>
    <row r="1055" spans="1:15" x14ac:dyDescent="0.3">
      <c r="A1055" s="4" t="s">
        <v>1673</v>
      </c>
      <c r="B1055" s="5">
        <v>45396</v>
      </c>
      <c r="C1055" s="4" t="s">
        <v>38</v>
      </c>
      <c r="D1055" s="4" t="s">
        <v>989</v>
      </c>
      <c r="E1055" s="4" t="s">
        <v>15</v>
      </c>
      <c r="F1055" s="4" t="s">
        <v>16</v>
      </c>
      <c r="G1055" s="4" t="s">
        <v>35</v>
      </c>
      <c r="H1055" s="4" t="s">
        <v>36</v>
      </c>
      <c r="I1055" s="6">
        <v>5</v>
      </c>
      <c r="J1055" s="6">
        <v>21960</v>
      </c>
      <c r="K1055" s="6">
        <v>18554.68</v>
      </c>
      <c r="L1055" s="6">
        <v>3405.32</v>
      </c>
      <c r="M1055" s="11">
        <f>Table13[[#This Row],[Profit]]/Table13[[#This Row],[Sales]]</f>
        <v>0.15506921675774135</v>
      </c>
      <c r="N1055" s="6" t="str">
        <f>TEXT(Table13[[#This Row],[Order Date]],"mmm")</f>
        <v>Apr</v>
      </c>
      <c r="O1055" s="6">
        <f>YEAR(Table13[[#This Row],[Order Date]])</f>
        <v>2024</v>
      </c>
    </row>
    <row r="1056" spans="1:15" x14ac:dyDescent="0.3">
      <c r="A1056" s="4" t="s">
        <v>1674</v>
      </c>
      <c r="B1056" s="5">
        <v>46005</v>
      </c>
      <c r="C1056" s="4" t="s">
        <v>483</v>
      </c>
      <c r="D1056" s="4" t="s">
        <v>661</v>
      </c>
      <c r="E1056" s="4" t="s">
        <v>29</v>
      </c>
      <c r="F1056" s="4" t="s">
        <v>49</v>
      </c>
      <c r="G1056" s="4" t="s">
        <v>24</v>
      </c>
      <c r="H1056" s="4" t="s">
        <v>50</v>
      </c>
      <c r="I1056" s="6">
        <v>10</v>
      </c>
      <c r="J1056" s="6">
        <v>29570</v>
      </c>
      <c r="K1056" s="6">
        <v>24969.64</v>
      </c>
      <c r="L1056" s="6">
        <v>4600.3599999999997</v>
      </c>
      <c r="M1056" s="11">
        <f>Table13[[#This Row],[Profit]]/Table13[[#This Row],[Sales]]</f>
        <v>0.15557524518092661</v>
      </c>
      <c r="N1056" s="6" t="str">
        <f>TEXT(Table13[[#This Row],[Order Date]],"mmm")</f>
        <v>Dec</v>
      </c>
      <c r="O1056" s="6">
        <f>YEAR(Table13[[#This Row],[Order Date]])</f>
        <v>2025</v>
      </c>
    </row>
    <row r="1057" spans="1:15" x14ac:dyDescent="0.3">
      <c r="A1057" s="4" t="s">
        <v>1675</v>
      </c>
      <c r="B1057" s="5">
        <v>45310</v>
      </c>
      <c r="C1057" s="4" t="s">
        <v>313</v>
      </c>
      <c r="D1057" s="4" t="s">
        <v>468</v>
      </c>
      <c r="E1057" s="4" t="s">
        <v>54</v>
      </c>
      <c r="F1057" s="4" t="s">
        <v>142</v>
      </c>
      <c r="G1057" s="4" t="s">
        <v>17</v>
      </c>
      <c r="H1057" s="4" t="s">
        <v>31</v>
      </c>
      <c r="I1057" s="6">
        <v>6</v>
      </c>
      <c r="J1057" s="6">
        <v>25494</v>
      </c>
      <c r="K1057" s="6">
        <v>14538.06</v>
      </c>
      <c r="L1057" s="6">
        <v>10955.94</v>
      </c>
      <c r="M1057" s="11">
        <f>Table13[[#This Row],[Profit]]/Table13[[#This Row],[Sales]]</f>
        <v>0.42974582254648153</v>
      </c>
      <c r="N1057" s="6" t="str">
        <f>TEXT(Table13[[#This Row],[Order Date]],"mmm")</f>
        <v>Jan</v>
      </c>
      <c r="O1057" s="6">
        <f>YEAR(Table13[[#This Row],[Order Date]])</f>
        <v>2024</v>
      </c>
    </row>
    <row r="1058" spans="1:15" x14ac:dyDescent="0.3">
      <c r="A1058" s="4" t="s">
        <v>1676</v>
      </c>
      <c r="B1058" s="5">
        <v>45305</v>
      </c>
      <c r="C1058" s="4" t="s">
        <v>799</v>
      </c>
      <c r="D1058" s="4" t="s">
        <v>524</v>
      </c>
      <c r="E1058" s="4" t="s">
        <v>22</v>
      </c>
      <c r="F1058" s="4" t="s">
        <v>79</v>
      </c>
      <c r="G1058" s="4" t="s">
        <v>17</v>
      </c>
      <c r="H1058" s="4" t="s">
        <v>31</v>
      </c>
      <c r="I1058" s="6">
        <v>4</v>
      </c>
      <c r="J1058" s="6">
        <v>17696</v>
      </c>
      <c r="K1058" s="6">
        <v>12851.55</v>
      </c>
      <c r="L1058" s="6">
        <v>4844.45</v>
      </c>
      <c r="M1058" s="11">
        <f>Table13[[#This Row],[Profit]]/Table13[[#This Row],[Sales]]</f>
        <v>0.27375960669077759</v>
      </c>
      <c r="N1058" s="6" t="str">
        <f>TEXT(Table13[[#This Row],[Order Date]],"mmm")</f>
        <v>Jan</v>
      </c>
      <c r="O1058" s="6">
        <f>YEAR(Table13[[#This Row],[Order Date]])</f>
        <v>2024</v>
      </c>
    </row>
    <row r="1059" spans="1:15" x14ac:dyDescent="0.3">
      <c r="A1059" s="4" t="s">
        <v>1677</v>
      </c>
      <c r="B1059" s="5">
        <v>45353</v>
      </c>
      <c r="C1059" s="4" t="s">
        <v>449</v>
      </c>
      <c r="D1059" s="4" t="s">
        <v>423</v>
      </c>
      <c r="E1059" s="4" t="s">
        <v>15</v>
      </c>
      <c r="F1059" s="4" t="s">
        <v>63</v>
      </c>
      <c r="G1059" s="4" t="s">
        <v>40</v>
      </c>
      <c r="H1059" s="4" t="s">
        <v>56</v>
      </c>
      <c r="I1059" s="6">
        <v>7</v>
      </c>
      <c r="J1059" s="6">
        <v>16065</v>
      </c>
      <c r="K1059" s="6">
        <v>11822.71</v>
      </c>
      <c r="L1059" s="6">
        <v>4242.29</v>
      </c>
      <c r="M1059" s="11">
        <f>Table13[[#This Row],[Profit]]/Table13[[#This Row],[Sales]]</f>
        <v>0.26407033924680984</v>
      </c>
      <c r="N1059" s="6" t="str">
        <f>TEXT(Table13[[#This Row],[Order Date]],"mmm")</f>
        <v>Mar</v>
      </c>
      <c r="O1059" s="6">
        <f>YEAR(Table13[[#This Row],[Order Date]])</f>
        <v>2024</v>
      </c>
    </row>
    <row r="1060" spans="1:15" x14ac:dyDescent="0.3">
      <c r="A1060" s="4" t="s">
        <v>1678</v>
      </c>
      <c r="B1060" s="5">
        <v>45330</v>
      </c>
      <c r="C1060" s="4" t="s">
        <v>780</v>
      </c>
      <c r="D1060" s="4" t="s">
        <v>356</v>
      </c>
      <c r="E1060" s="4" t="s">
        <v>22</v>
      </c>
      <c r="F1060" s="4" t="s">
        <v>67</v>
      </c>
      <c r="G1060" s="4" t="s">
        <v>40</v>
      </c>
      <c r="H1060" s="4" t="s">
        <v>56</v>
      </c>
      <c r="I1060" s="6">
        <v>3</v>
      </c>
      <c r="J1060" s="6">
        <v>10134</v>
      </c>
      <c r="K1060" s="6">
        <v>6195.07</v>
      </c>
      <c r="L1060" s="6">
        <v>3938.93</v>
      </c>
      <c r="M1060" s="11">
        <f>Table13[[#This Row],[Profit]]/Table13[[#This Row],[Sales]]</f>
        <v>0.3886846260114466</v>
      </c>
      <c r="N1060" s="6" t="str">
        <f>TEXT(Table13[[#This Row],[Order Date]],"mmm")</f>
        <v>Feb</v>
      </c>
      <c r="O1060" s="6">
        <f>YEAR(Table13[[#This Row],[Order Date]])</f>
        <v>2024</v>
      </c>
    </row>
    <row r="1061" spans="1:15" x14ac:dyDescent="0.3">
      <c r="A1061" s="4" t="s">
        <v>1679</v>
      </c>
      <c r="B1061" s="5">
        <v>45716</v>
      </c>
      <c r="C1061" s="4" t="s">
        <v>298</v>
      </c>
      <c r="D1061" s="4" t="s">
        <v>1372</v>
      </c>
      <c r="E1061" s="4" t="s">
        <v>54</v>
      </c>
      <c r="F1061" s="4" t="s">
        <v>142</v>
      </c>
      <c r="G1061" s="4" t="s">
        <v>40</v>
      </c>
      <c r="H1061" s="4" t="s">
        <v>99</v>
      </c>
      <c r="I1061" s="6">
        <v>6</v>
      </c>
      <c r="J1061" s="6">
        <v>3744</v>
      </c>
      <c r="K1061" s="6">
        <v>2644.24</v>
      </c>
      <c r="L1061" s="6">
        <v>1099.76</v>
      </c>
      <c r="M1061" s="11">
        <f>Table13[[#This Row],[Profit]]/Table13[[#This Row],[Sales]]</f>
        <v>0.29373931623931626</v>
      </c>
      <c r="N1061" s="6" t="str">
        <f>TEXT(Table13[[#This Row],[Order Date]],"mmm")</f>
        <v>Feb</v>
      </c>
      <c r="O1061" s="6">
        <f>YEAR(Table13[[#This Row],[Order Date]])</f>
        <v>2025</v>
      </c>
    </row>
    <row r="1062" spans="1:15" x14ac:dyDescent="0.3">
      <c r="A1062" s="4" t="s">
        <v>1680</v>
      </c>
      <c r="B1062" s="5">
        <v>45347</v>
      </c>
      <c r="C1062" s="4" t="s">
        <v>959</v>
      </c>
      <c r="D1062" s="4" t="s">
        <v>749</v>
      </c>
      <c r="E1062" s="4" t="s">
        <v>29</v>
      </c>
      <c r="F1062" s="4" t="s">
        <v>30</v>
      </c>
      <c r="G1062" s="4" t="s">
        <v>40</v>
      </c>
      <c r="H1062" s="4" t="s">
        <v>41</v>
      </c>
      <c r="I1062" s="6">
        <v>6</v>
      </c>
      <c r="J1062" s="6">
        <v>13704</v>
      </c>
      <c r="K1062" s="6">
        <v>8383.36</v>
      </c>
      <c r="L1062" s="6">
        <v>5320.64</v>
      </c>
      <c r="M1062" s="11">
        <f>Table13[[#This Row],[Profit]]/Table13[[#This Row],[Sales]]</f>
        <v>0.38825452422650325</v>
      </c>
      <c r="N1062" s="6" t="str">
        <f>TEXT(Table13[[#This Row],[Order Date]],"mmm")</f>
        <v>Feb</v>
      </c>
      <c r="O1062" s="6">
        <f>YEAR(Table13[[#This Row],[Order Date]])</f>
        <v>2024</v>
      </c>
    </row>
    <row r="1063" spans="1:15" x14ac:dyDescent="0.3">
      <c r="A1063" s="4" t="s">
        <v>1681</v>
      </c>
      <c r="B1063" s="5">
        <v>45358</v>
      </c>
      <c r="C1063" s="4" t="s">
        <v>737</v>
      </c>
      <c r="D1063" s="4" t="s">
        <v>237</v>
      </c>
      <c r="E1063" s="4" t="s">
        <v>22</v>
      </c>
      <c r="F1063" s="4" t="s">
        <v>79</v>
      </c>
      <c r="G1063" s="4" t="s">
        <v>40</v>
      </c>
      <c r="H1063" s="4" t="s">
        <v>41</v>
      </c>
      <c r="I1063" s="6">
        <v>3</v>
      </c>
      <c r="J1063" s="6">
        <v>11769</v>
      </c>
      <c r="K1063" s="6">
        <v>8696.52</v>
      </c>
      <c r="L1063" s="6">
        <v>3072.48</v>
      </c>
      <c r="M1063" s="11">
        <f>Table13[[#This Row],[Profit]]/Table13[[#This Row],[Sales]]</f>
        <v>0.26106551108845272</v>
      </c>
      <c r="N1063" s="6" t="str">
        <f>TEXT(Table13[[#This Row],[Order Date]],"mmm")</f>
        <v>Mar</v>
      </c>
      <c r="O1063" s="6">
        <f>YEAR(Table13[[#This Row],[Order Date]])</f>
        <v>2024</v>
      </c>
    </row>
    <row r="1064" spans="1:15" x14ac:dyDescent="0.3">
      <c r="A1064" s="4" t="s">
        <v>1682</v>
      </c>
      <c r="B1064" s="5">
        <v>45469</v>
      </c>
      <c r="C1064" s="4" t="s">
        <v>318</v>
      </c>
      <c r="D1064" s="4" t="s">
        <v>580</v>
      </c>
      <c r="E1064" s="4" t="s">
        <v>29</v>
      </c>
      <c r="F1064" s="4" t="s">
        <v>102</v>
      </c>
      <c r="G1064" s="4" t="s">
        <v>17</v>
      </c>
      <c r="H1064" s="4" t="s">
        <v>31</v>
      </c>
      <c r="I1064" s="6">
        <v>3</v>
      </c>
      <c r="J1064" s="6">
        <v>5916</v>
      </c>
      <c r="K1064" s="6">
        <v>3476.65</v>
      </c>
      <c r="L1064" s="6">
        <v>2439.35</v>
      </c>
      <c r="M1064" s="11">
        <f>Table13[[#This Row],[Profit]]/Table13[[#This Row],[Sales]]</f>
        <v>0.41233096686950643</v>
      </c>
      <c r="N1064" s="6" t="str">
        <f>TEXT(Table13[[#This Row],[Order Date]],"mmm")</f>
        <v>Jun</v>
      </c>
      <c r="O1064" s="6">
        <f>YEAR(Table13[[#This Row],[Order Date]])</f>
        <v>2024</v>
      </c>
    </row>
    <row r="1065" spans="1:15" x14ac:dyDescent="0.3">
      <c r="A1065" s="4" t="s">
        <v>1683</v>
      </c>
      <c r="B1065" s="5">
        <v>45494</v>
      </c>
      <c r="C1065" s="4" t="s">
        <v>197</v>
      </c>
      <c r="D1065" s="4" t="s">
        <v>302</v>
      </c>
      <c r="E1065" s="4" t="s">
        <v>29</v>
      </c>
      <c r="F1065" s="4" t="s">
        <v>30</v>
      </c>
      <c r="G1065" s="4" t="s">
        <v>24</v>
      </c>
      <c r="H1065" s="4" t="s">
        <v>50</v>
      </c>
      <c r="I1065" s="6">
        <v>7</v>
      </c>
      <c r="J1065" s="6">
        <v>28882</v>
      </c>
      <c r="K1065" s="6">
        <v>18583.8</v>
      </c>
      <c r="L1065" s="6">
        <v>10298.200000000001</v>
      </c>
      <c r="M1065" s="11">
        <f>Table13[[#This Row],[Profit]]/Table13[[#This Row],[Sales]]</f>
        <v>0.35656117997368608</v>
      </c>
      <c r="N1065" s="6" t="str">
        <f>TEXT(Table13[[#This Row],[Order Date]],"mmm")</f>
        <v>Jul</v>
      </c>
      <c r="O1065" s="6">
        <f>YEAR(Table13[[#This Row],[Order Date]])</f>
        <v>2024</v>
      </c>
    </row>
    <row r="1066" spans="1:15" x14ac:dyDescent="0.3">
      <c r="A1066" s="4" t="s">
        <v>1684</v>
      </c>
      <c r="B1066" s="5">
        <v>45942</v>
      </c>
      <c r="C1066" s="4" t="s">
        <v>1232</v>
      </c>
      <c r="D1066" s="4" t="s">
        <v>533</v>
      </c>
      <c r="E1066" s="4" t="s">
        <v>29</v>
      </c>
      <c r="F1066" s="4" t="s">
        <v>30</v>
      </c>
      <c r="G1066" s="4" t="s">
        <v>40</v>
      </c>
      <c r="H1066" s="4" t="s">
        <v>56</v>
      </c>
      <c r="I1066" s="6">
        <v>5</v>
      </c>
      <c r="J1066" s="6">
        <v>13185</v>
      </c>
      <c r="K1066" s="6">
        <v>9531.7900000000009</v>
      </c>
      <c r="L1066" s="6">
        <v>3653.21</v>
      </c>
      <c r="M1066" s="11">
        <f>Table13[[#This Row],[Profit]]/Table13[[#This Row],[Sales]]</f>
        <v>0.27707318923018581</v>
      </c>
      <c r="N1066" s="6" t="str">
        <f>TEXT(Table13[[#This Row],[Order Date]],"mmm")</f>
        <v>Oct</v>
      </c>
      <c r="O1066" s="6">
        <f>YEAR(Table13[[#This Row],[Order Date]])</f>
        <v>2025</v>
      </c>
    </row>
    <row r="1067" spans="1:15" x14ac:dyDescent="0.3">
      <c r="A1067" s="4" t="s">
        <v>1685</v>
      </c>
      <c r="B1067" s="5">
        <v>45743</v>
      </c>
      <c r="C1067" s="4" t="s">
        <v>95</v>
      </c>
      <c r="D1067" s="4" t="s">
        <v>696</v>
      </c>
      <c r="E1067" s="4" t="s">
        <v>22</v>
      </c>
      <c r="F1067" s="4" t="s">
        <v>23</v>
      </c>
      <c r="G1067" s="4" t="s">
        <v>40</v>
      </c>
      <c r="H1067" s="4" t="s">
        <v>41</v>
      </c>
      <c r="I1067" s="6">
        <v>7</v>
      </c>
      <c r="J1067" s="6">
        <v>23758</v>
      </c>
      <c r="K1067" s="6">
        <v>14262.64</v>
      </c>
      <c r="L1067" s="6">
        <v>9495.36</v>
      </c>
      <c r="M1067" s="11">
        <f>Table13[[#This Row],[Profit]]/Table13[[#This Row],[Sales]]</f>
        <v>0.39967000589275192</v>
      </c>
      <c r="N1067" s="6" t="str">
        <f>TEXT(Table13[[#This Row],[Order Date]],"mmm")</f>
        <v>Mar</v>
      </c>
      <c r="O1067" s="6">
        <f>YEAR(Table13[[#This Row],[Order Date]])</f>
        <v>2025</v>
      </c>
    </row>
    <row r="1068" spans="1:15" x14ac:dyDescent="0.3">
      <c r="A1068" s="4" t="s">
        <v>1686</v>
      </c>
      <c r="B1068" s="5">
        <v>45377</v>
      </c>
      <c r="C1068" s="4" t="s">
        <v>137</v>
      </c>
      <c r="D1068" s="4" t="s">
        <v>66</v>
      </c>
      <c r="E1068" s="4" t="s">
        <v>22</v>
      </c>
      <c r="F1068" s="4" t="s">
        <v>23</v>
      </c>
      <c r="G1068" s="4" t="s">
        <v>35</v>
      </c>
      <c r="H1068" s="4" t="s">
        <v>80</v>
      </c>
      <c r="I1068" s="6">
        <v>1</v>
      </c>
      <c r="J1068" s="6">
        <v>3424</v>
      </c>
      <c r="K1068" s="6">
        <v>2322.2199999999998</v>
      </c>
      <c r="L1068" s="6">
        <v>1101.78</v>
      </c>
      <c r="M1068" s="11">
        <f>Table13[[#This Row],[Profit]]/Table13[[#This Row],[Sales]]</f>
        <v>0.32178154205607473</v>
      </c>
      <c r="N1068" s="6" t="str">
        <f>TEXT(Table13[[#This Row],[Order Date]],"mmm")</f>
        <v>Mar</v>
      </c>
      <c r="O1068" s="6">
        <f>YEAR(Table13[[#This Row],[Order Date]])</f>
        <v>2024</v>
      </c>
    </row>
    <row r="1069" spans="1:15" x14ac:dyDescent="0.3">
      <c r="A1069" s="4" t="s">
        <v>1687</v>
      </c>
      <c r="B1069" s="5">
        <v>45605</v>
      </c>
      <c r="C1069" s="4" t="s">
        <v>1240</v>
      </c>
      <c r="D1069" s="4" t="s">
        <v>282</v>
      </c>
      <c r="E1069" s="4" t="s">
        <v>29</v>
      </c>
      <c r="F1069" s="4" t="s">
        <v>30</v>
      </c>
      <c r="G1069" s="4" t="s">
        <v>17</v>
      </c>
      <c r="H1069" s="4" t="s">
        <v>18</v>
      </c>
      <c r="I1069" s="6">
        <v>3</v>
      </c>
      <c r="J1069" s="6">
        <v>7221</v>
      </c>
      <c r="K1069" s="6">
        <v>4795.72</v>
      </c>
      <c r="L1069" s="6">
        <v>2425.2800000000002</v>
      </c>
      <c r="M1069" s="11">
        <f>Table13[[#This Row],[Profit]]/Table13[[#This Row],[Sales]]</f>
        <v>0.33586483866500488</v>
      </c>
      <c r="N1069" s="6" t="str">
        <f>TEXT(Table13[[#This Row],[Order Date]],"mmm")</f>
        <v>Nov</v>
      </c>
      <c r="O1069" s="6">
        <f>YEAR(Table13[[#This Row],[Order Date]])</f>
        <v>2024</v>
      </c>
    </row>
    <row r="1070" spans="1:15" x14ac:dyDescent="0.3">
      <c r="A1070" s="4" t="s">
        <v>1688</v>
      </c>
      <c r="B1070" s="5">
        <v>45772</v>
      </c>
      <c r="C1070" s="4" t="s">
        <v>182</v>
      </c>
      <c r="D1070" s="4" t="s">
        <v>163</v>
      </c>
      <c r="E1070" s="4" t="s">
        <v>22</v>
      </c>
      <c r="F1070" s="4" t="s">
        <v>79</v>
      </c>
      <c r="G1070" s="4" t="s">
        <v>17</v>
      </c>
      <c r="H1070" s="4" t="s">
        <v>72</v>
      </c>
      <c r="I1070" s="6">
        <v>8</v>
      </c>
      <c r="J1070" s="6">
        <v>7112</v>
      </c>
      <c r="K1070" s="6">
        <v>4622.59</v>
      </c>
      <c r="L1070" s="6">
        <v>2489.41</v>
      </c>
      <c r="M1070" s="11">
        <f>Table13[[#This Row],[Profit]]/Table13[[#This Row],[Sales]]</f>
        <v>0.35002952755905509</v>
      </c>
      <c r="N1070" s="6" t="str">
        <f>TEXT(Table13[[#This Row],[Order Date]],"mmm")</f>
        <v>Apr</v>
      </c>
      <c r="O1070" s="6">
        <f>YEAR(Table13[[#This Row],[Order Date]])</f>
        <v>2025</v>
      </c>
    </row>
    <row r="1071" spans="1:15" x14ac:dyDescent="0.3">
      <c r="A1071" s="4" t="s">
        <v>1689</v>
      </c>
      <c r="B1071" s="5">
        <v>45717</v>
      </c>
      <c r="C1071" s="4" t="s">
        <v>856</v>
      </c>
      <c r="D1071" s="4" t="s">
        <v>423</v>
      </c>
      <c r="E1071" s="4" t="s">
        <v>29</v>
      </c>
      <c r="F1071" s="4" t="s">
        <v>102</v>
      </c>
      <c r="G1071" s="4" t="s">
        <v>24</v>
      </c>
      <c r="H1071" s="4" t="s">
        <v>25</v>
      </c>
      <c r="I1071" s="6">
        <v>9</v>
      </c>
      <c r="J1071" s="6">
        <v>30285</v>
      </c>
      <c r="K1071" s="6">
        <v>21121.85</v>
      </c>
      <c r="L1071" s="6">
        <v>9163.15</v>
      </c>
      <c r="M1071" s="11">
        <f>Table13[[#This Row],[Profit]]/Table13[[#This Row],[Sales]]</f>
        <v>0.30256397556546144</v>
      </c>
      <c r="N1071" s="6" t="str">
        <f>TEXT(Table13[[#This Row],[Order Date]],"mmm")</f>
        <v>Mar</v>
      </c>
      <c r="O1071" s="6">
        <f>YEAR(Table13[[#This Row],[Order Date]])</f>
        <v>2025</v>
      </c>
    </row>
    <row r="1072" spans="1:15" x14ac:dyDescent="0.3">
      <c r="A1072" s="4" t="s">
        <v>1690</v>
      </c>
      <c r="B1072" s="5">
        <v>45331</v>
      </c>
      <c r="C1072" s="4" t="s">
        <v>966</v>
      </c>
      <c r="D1072" s="4" t="s">
        <v>75</v>
      </c>
      <c r="E1072" s="4" t="s">
        <v>22</v>
      </c>
      <c r="F1072" s="4" t="s">
        <v>67</v>
      </c>
      <c r="G1072" s="4" t="s">
        <v>40</v>
      </c>
      <c r="H1072" s="4" t="s">
        <v>99</v>
      </c>
      <c r="I1072" s="6">
        <v>10</v>
      </c>
      <c r="J1072" s="6">
        <v>8830</v>
      </c>
      <c r="K1072" s="6">
        <v>5939.38</v>
      </c>
      <c r="L1072" s="6">
        <v>2890.62</v>
      </c>
      <c r="M1072" s="11">
        <f>Table13[[#This Row],[Profit]]/Table13[[#This Row],[Sales]]</f>
        <v>0.32736353340883351</v>
      </c>
      <c r="N1072" s="6" t="str">
        <f>TEXT(Table13[[#This Row],[Order Date]],"mmm")</f>
        <v>Feb</v>
      </c>
      <c r="O1072" s="6">
        <f>YEAR(Table13[[#This Row],[Order Date]])</f>
        <v>2024</v>
      </c>
    </row>
    <row r="1073" spans="1:15" x14ac:dyDescent="0.3">
      <c r="A1073" s="4" t="s">
        <v>1691</v>
      </c>
      <c r="B1073" s="5">
        <v>45792</v>
      </c>
      <c r="C1073" s="4" t="s">
        <v>269</v>
      </c>
      <c r="D1073" s="4" t="s">
        <v>130</v>
      </c>
      <c r="E1073" s="4" t="s">
        <v>29</v>
      </c>
      <c r="F1073" s="4" t="s">
        <v>102</v>
      </c>
      <c r="G1073" s="4" t="s">
        <v>35</v>
      </c>
      <c r="H1073" s="4" t="s">
        <v>36</v>
      </c>
      <c r="I1073" s="6">
        <v>5</v>
      </c>
      <c r="J1073" s="6">
        <v>15775</v>
      </c>
      <c r="K1073" s="6">
        <v>11087.97</v>
      </c>
      <c r="L1073" s="6">
        <v>4687.03</v>
      </c>
      <c r="M1073" s="11">
        <f>Table13[[#This Row],[Profit]]/Table13[[#This Row],[Sales]]</f>
        <v>0.29711759112519809</v>
      </c>
      <c r="N1073" s="6" t="str">
        <f>TEXT(Table13[[#This Row],[Order Date]],"mmm")</f>
        <v>May</v>
      </c>
      <c r="O1073" s="6">
        <f>YEAR(Table13[[#This Row],[Order Date]])</f>
        <v>2025</v>
      </c>
    </row>
    <row r="1074" spans="1:15" x14ac:dyDescent="0.3">
      <c r="A1074" s="4" t="s">
        <v>1692</v>
      </c>
      <c r="B1074" s="5">
        <v>45662</v>
      </c>
      <c r="C1074" s="4" t="s">
        <v>1255</v>
      </c>
      <c r="D1074" s="4" t="s">
        <v>605</v>
      </c>
      <c r="E1074" s="4" t="s">
        <v>22</v>
      </c>
      <c r="F1074" s="4" t="s">
        <v>67</v>
      </c>
      <c r="G1074" s="4" t="s">
        <v>17</v>
      </c>
      <c r="H1074" s="4" t="s">
        <v>18</v>
      </c>
      <c r="I1074" s="6">
        <v>4</v>
      </c>
      <c r="J1074" s="6">
        <v>9140</v>
      </c>
      <c r="K1074" s="6">
        <v>6336.92</v>
      </c>
      <c r="L1074" s="6">
        <v>2803.08</v>
      </c>
      <c r="M1074" s="11">
        <f>Table13[[#This Row],[Profit]]/Table13[[#This Row],[Sales]]</f>
        <v>0.30668271334792124</v>
      </c>
      <c r="N1074" s="6" t="str">
        <f>TEXT(Table13[[#This Row],[Order Date]],"mmm")</f>
        <v>Jan</v>
      </c>
      <c r="O1074" s="6">
        <f>YEAR(Table13[[#This Row],[Order Date]])</f>
        <v>2025</v>
      </c>
    </row>
    <row r="1075" spans="1:15" x14ac:dyDescent="0.3">
      <c r="A1075" s="4" t="s">
        <v>1693</v>
      </c>
      <c r="B1075" s="5">
        <v>45884</v>
      </c>
      <c r="C1075" s="4" t="s">
        <v>154</v>
      </c>
      <c r="D1075" s="4" t="s">
        <v>249</v>
      </c>
      <c r="E1075" s="4" t="s">
        <v>54</v>
      </c>
      <c r="F1075" s="4" t="s">
        <v>71</v>
      </c>
      <c r="G1075" s="4" t="s">
        <v>35</v>
      </c>
      <c r="H1075" s="4" t="s">
        <v>80</v>
      </c>
      <c r="I1075" s="6">
        <v>3</v>
      </c>
      <c r="J1075" s="6">
        <v>7149</v>
      </c>
      <c r="K1075" s="6">
        <v>4462.58</v>
      </c>
      <c r="L1075" s="6">
        <v>2686.42</v>
      </c>
      <c r="M1075" s="11">
        <f>Table13[[#This Row],[Profit]]/Table13[[#This Row],[Sales]]</f>
        <v>0.37577563295565813</v>
      </c>
      <c r="N1075" s="6" t="str">
        <f>TEXT(Table13[[#This Row],[Order Date]],"mmm")</f>
        <v>Aug</v>
      </c>
      <c r="O1075" s="6">
        <f>YEAR(Table13[[#This Row],[Order Date]])</f>
        <v>2025</v>
      </c>
    </row>
    <row r="1076" spans="1:15" x14ac:dyDescent="0.3">
      <c r="A1076" s="4" t="s">
        <v>1694</v>
      </c>
      <c r="B1076" s="5">
        <v>45374</v>
      </c>
      <c r="C1076" s="4" t="s">
        <v>1112</v>
      </c>
      <c r="D1076" s="4" t="s">
        <v>1145</v>
      </c>
      <c r="E1076" s="4" t="s">
        <v>15</v>
      </c>
      <c r="F1076" s="4" t="s">
        <v>16</v>
      </c>
      <c r="G1076" s="4" t="s">
        <v>17</v>
      </c>
      <c r="H1076" s="4" t="s">
        <v>31</v>
      </c>
      <c r="I1076" s="6">
        <v>7</v>
      </c>
      <c r="J1076" s="6">
        <v>24899</v>
      </c>
      <c r="K1076" s="6">
        <v>18968.580000000002</v>
      </c>
      <c r="L1076" s="6">
        <v>5930.42</v>
      </c>
      <c r="M1076" s="11">
        <f>Table13[[#This Row],[Profit]]/Table13[[#This Row],[Sales]]</f>
        <v>0.2381790433350737</v>
      </c>
      <c r="N1076" s="6" t="str">
        <f>TEXT(Table13[[#This Row],[Order Date]],"mmm")</f>
        <v>Mar</v>
      </c>
      <c r="O1076" s="6">
        <f>YEAR(Table13[[#This Row],[Order Date]])</f>
        <v>2024</v>
      </c>
    </row>
    <row r="1077" spans="1:15" x14ac:dyDescent="0.3">
      <c r="A1077" s="4" t="s">
        <v>1695</v>
      </c>
      <c r="B1077" s="5">
        <v>45837</v>
      </c>
      <c r="C1077" s="4" t="s">
        <v>344</v>
      </c>
      <c r="D1077" s="4" t="s">
        <v>656</v>
      </c>
      <c r="E1077" s="4" t="s">
        <v>22</v>
      </c>
      <c r="F1077" s="4" t="s">
        <v>23</v>
      </c>
      <c r="G1077" s="4" t="s">
        <v>35</v>
      </c>
      <c r="H1077" s="4" t="s">
        <v>36</v>
      </c>
      <c r="I1077" s="6">
        <v>5</v>
      </c>
      <c r="J1077" s="6">
        <v>13875</v>
      </c>
      <c r="K1077" s="6">
        <v>9715.19</v>
      </c>
      <c r="L1077" s="6">
        <v>4159.8100000000004</v>
      </c>
      <c r="M1077" s="11">
        <f>Table13[[#This Row],[Profit]]/Table13[[#This Row],[Sales]]</f>
        <v>0.29980612612612617</v>
      </c>
      <c r="N1077" s="6" t="str">
        <f>TEXT(Table13[[#This Row],[Order Date]],"mmm")</f>
        <v>Jun</v>
      </c>
      <c r="O1077" s="6">
        <f>YEAR(Table13[[#This Row],[Order Date]])</f>
        <v>2025</v>
      </c>
    </row>
    <row r="1078" spans="1:15" x14ac:dyDescent="0.3">
      <c r="A1078" s="4" t="s">
        <v>1696</v>
      </c>
      <c r="B1078" s="5">
        <v>45644</v>
      </c>
      <c r="C1078" s="4" t="s">
        <v>364</v>
      </c>
      <c r="D1078" s="4" t="s">
        <v>255</v>
      </c>
      <c r="E1078" s="4" t="s">
        <v>22</v>
      </c>
      <c r="F1078" s="4" t="s">
        <v>79</v>
      </c>
      <c r="G1078" s="4" t="s">
        <v>24</v>
      </c>
      <c r="H1078" s="4" t="s">
        <v>50</v>
      </c>
      <c r="I1078" s="6">
        <v>2</v>
      </c>
      <c r="J1078" s="6">
        <v>9980</v>
      </c>
      <c r="K1078" s="6">
        <v>7814.41</v>
      </c>
      <c r="L1078" s="6">
        <v>2165.59</v>
      </c>
      <c r="M1078" s="11">
        <f>Table13[[#This Row],[Profit]]/Table13[[#This Row],[Sales]]</f>
        <v>0.21699298597194391</v>
      </c>
      <c r="N1078" s="6" t="str">
        <f>TEXT(Table13[[#This Row],[Order Date]],"mmm")</f>
        <v>Dec</v>
      </c>
      <c r="O1078" s="6">
        <f>YEAR(Table13[[#This Row],[Order Date]])</f>
        <v>2024</v>
      </c>
    </row>
    <row r="1079" spans="1:15" x14ac:dyDescent="0.3">
      <c r="A1079" s="4" t="s">
        <v>1697</v>
      </c>
      <c r="B1079" s="5">
        <v>45795</v>
      </c>
      <c r="C1079" s="4" t="s">
        <v>189</v>
      </c>
      <c r="D1079" s="4" t="s">
        <v>425</v>
      </c>
      <c r="E1079" s="4" t="s">
        <v>29</v>
      </c>
      <c r="F1079" s="4" t="s">
        <v>30</v>
      </c>
      <c r="G1079" s="4" t="s">
        <v>35</v>
      </c>
      <c r="H1079" s="4" t="s">
        <v>36</v>
      </c>
      <c r="I1079" s="6">
        <v>5</v>
      </c>
      <c r="J1079" s="6">
        <v>1760</v>
      </c>
      <c r="K1079" s="6">
        <v>1489.15</v>
      </c>
      <c r="L1079" s="6">
        <v>270.85000000000002</v>
      </c>
      <c r="M1079" s="11">
        <f>Table13[[#This Row],[Profit]]/Table13[[#This Row],[Sales]]</f>
        <v>0.15389204545454546</v>
      </c>
      <c r="N1079" s="6" t="str">
        <f>TEXT(Table13[[#This Row],[Order Date]],"mmm")</f>
        <v>May</v>
      </c>
      <c r="O1079" s="6">
        <f>YEAR(Table13[[#This Row],[Order Date]])</f>
        <v>2025</v>
      </c>
    </row>
    <row r="1080" spans="1:15" x14ac:dyDescent="0.3">
      <c r="A1080" s="4" t="s">
        <v>1698</v>
      </c>
      <c r="B1080" s="5">
        <v>45733</v>
      </c>
      <c r="C1080" s="4" t="s">
        <v>1364</v>
      </c>
      <c r="D1080" s="4" t="s">
        <v>1334</v>
      </c>
      <c r="E1080" s="4" t="s">
        <v>15</v>
      </c>
      <c r="F1080" s="4" t="s">
        <v>90</v>
      </c>
      <c r="G1080" s="4" t="s">
        <v>35</v>
      </c>
      <c r="H1080" s="4" t="s">
        <v>36</v>
      </c>
      <c r="I1080" s="6">
        <v>9</v>
      </c>
      <c r="J1080" s="6">
        <v>33426</v>
      </c>
      <c r="K1080" s="6">
        <v>24947.71</v>
      </c>
      <c r="L1080" s="6">
        <v>8478.2900000000009</v>
      </c>
      <c r="M1080" s="11">
        <f>Table13[[#This Row],[Profit]]/Table13[[#This Row],[Sales]]</f>
        <v>0.25364357087297318</v>
      </c>
      <c r="N1080" s="6" t="str">
        <f>TEXT(Table13[[#This Row],[Order Date]],"mmm")</f>
        <v>Mar</v>
      </c>
      <c r="O1080" s="6">
        <f>YEAR(Table13[[#This Row],[Order Date]])</f>
        <v>2025</v>
      </c>
    </row>
    <row r="1081" spans="1:15" x14ac:dyDescent="0.3">
      <c r="A1081" s="4" t="s">
        <v>1699</v>
      </c>
      <c r="B1081" s="5">
        <v>45806</v>
      </c>
      <c r="C1081" s="4" t="s">
        <v>1700</v>
      </c>
      <c r="D1081" s="4" t="s">
        <v>563</v>
      </c>
      <c r="E1081" s="4" t="s">
        <v>54</v>
      </c>
      <c r="F1081" s="4" t="s">
        <v>142</v>
      </c>
      <c r="G1081" s="4" t="s">
        <v>17</v>
      </c>
      <c r="H1081" s="4" t="s">
        <v>18</v>
      </c>
      <c r="I1081" s="6">
        <v>3</v>
      </c>
      <c r="J1081" s="6">
        <v>5766</v>
      </c>
      <c r="K1081" s="6">
        <v>4012.8</v>
      </c>
      <c r="L1081" s="6">
        <v>1753.2</v>
      </c>
      <c r="M1081" s="11">
        <f>Table13[[#This Row],[Profit]]/Table13[[#This Row],[Sales]]</f>
        <v>0.30405827263267432</v>
      </c>
      <c r="N1081" s="6" t="str">
        <f>TEXT(Table13[[#This Row],[Order Date]],"mmm")</f>
        <v>May</v>
      </c>
      <c r="O1081" s="6">
        <f>YEAR(Table13[[#This Row],[Order Date]])</f>
        <v>2025</v>
      </c>
    </row>
    <row r="1082" spans="1:15" x14ac:dyDescent="0.3">
      <c r="A1082" s="4" t="s">
        <v>1701</v>
      </c>
      <c r="B1082" s="5">
        <v>45488</v>
      </c>
      <c r="C1082" s="4" t="s">
        <v>260</v>
      </c>
      <c r="D1082" s="4" t="s">
        <v>484</v>
      </c>
      <c r="E1082" s="4" t="s">
        <v>29</v>
      </c>
      <c r="F1082" s="4" t="s">
        <v>102</v>
      </c>
      <c r="G1082" s="4" t="s">
        <v>40</v>
      </c>
      <c r="H1082" s="4" t="s">
        <v>56</v>
      </c>
      <c r="I1082" s="6">
        <v>1</v>
      </c>
      <c r="J1082" s="6">
        <v>1796</v>
      </c>
      <c r="K1082" s="6">
        <v>1423.79</v>
      </c>
      <c r="L1082" s="6">
        <v>372.21</v>
      </c>
      <c r="M1082" s="11">
        <f>Table13[[#This Row],[Profit]]/Table13[[#This Row],[Sales]]</f>
        <v>0.20724387527839644</v>
      </c>
      <c r="N1082" s="6" t="str">
        <f>TEXT(Table13[[#This Row],[Order Date]],"mmm")</f>
        <v>Jul</v>
      </c>
      <c r="O1082" s="6">
        <f>YEAR(Table13[[#This Row],[Order Date]])</f>
        <v>2024</v>
      </c>
    </row>
    <row r="1083" spans="1:15" x14ac:dyDescent="0.3">
      <c r="A1083" s="4" t="s">
        <v>1702</v>
      </c>
      <c r="B1083" s="5">
        <v>45379</v>
      </c>
      <c r="C1083" s="4" t="s">
        <v>705</v>
      </c>
      <c r="D1083" s="4" t="s">
        <v>39</v>
      </c>
      <c r="E1083" s="4" t="s">
        <v>22</v>
      </c>
      <c r="F1083" s="4" t="s">
        <v>79</v>
      </c>
      <c r="G1083" s="4" t="s">
        <v>17</v>
      </c>
      <c r="H1083" s="4" t="s">
        <v>72</v>
      </c>
      <c r="I1083" s="6">
        <v>2</v>
      </c>
      <c r="J1083" s="6">
        <v>3320</v>
      </c>
      <c r="K1083" s="6">
        <v>1905.49</v>
      </c>
      <c r="L1083" s="6">
        <v>1414.51</v>
      </c>
      <c r="M1083" s="11">
        <f>Table13[[#This Row],[Profit]]/Table13[[#This Row],[Sales]]</f>
        <v>0.42605722891566267</v>
      </c>
      <c r="N1083" s="6" t="str">
        <f>TEXT(Table13[[#This Row],[Order Date]],"mmm")</f>
        <v>Mar</v>
      </c>
      <c r="O1083" s="6">
        <f>YEAR(Table13[[#This Row],[Order Date]])</f>
        <v>2024</v>
      </c>
    </row>
    <row r="1084" spans="1:15" x14ac:dyDescent="0.3">
      <c r="A1084" s="4" t="s">
        <v>1703</v>
      </c>
      <c r="B1084" s="5">
        <v>45980</v>
      </c>
      <c r="C1084" s="4" t="s">
        <v>346</v>
      </c>
      <c r="D1084" s="4" t="s">
        <v>629</v>
      </c>
      <c r="E1084" s="4" t="s">
        <v>54</v>
      </c>
      <c r="F1084" s="4" t="s">
        <v>142</v>
      </c>
      <c r="G1084" s="4" t="s">
        <v>40</v>
      </c>
      <c r="H1084" s="4" t="s">
        <v>41</v>
      </c>
      <c r="I1084" s="6">
        <v>1</v>
      </c>
      <c r="J1084" s="6">
        <v>2223</v>
      </c>
      <c r="K1084" s="6">
        <v>1541.36</v>
      </c>
      <c r="L1084" s="6">
        <v>681.64</v>
      </c>
      <c r="M1084" s="11">
        <f>Table13[[#This Row],[Profit]]/Table13[[#This Row],[Sales]]</f>
        <v>0.30663067926225818</v>
      </c>
      <c r="N1084" s="6" t="str">
        <f>TEXT(Table13[[#This Row],[Order Date]],"mmm")</f>
        <v>Nov</v>
      </c>
      <c r="O1084" s="6">
        <f>YEAR(Table13[[#This Row],[Order Date]])</f>
        <v>2025</v>
      </c>
    </row>
    <row r="1085" spans="1:15" x14ac:dyDescent="0.3">
      <c r="A1085" s="4" t="s">
        <v>1704</v>
      </c>
      <c r="B1085" s="5">
        <v>45826</v>
      </c>
      <c r="C1085" s="4" t="s">
        <v>435</v>
      </c>
      <c r="D1085" s="4" t="s">
        <v>1063</v>
      </c>
      <c r="E1085" s="4" t="s">
        <v>15</v>
      </c>
      <c r="F1085" s="4" t="s">
        <v>63</v>
      </c>
      <c r="G1085" s="4" t="s">
        <v>24</v>
      </c>
      <c r="H1085" s="4" t="s">
        <v>25</v>
      </c>
      <c r="I1085" s="6">
        <v>10</v>
      </c>
      <c r="J1085" s="6">
        <v>6420</v>
      </c>
      <c r="K1085" s="6">
        <v>3717.52</v>
      </c>
      <c r="L1085" s="6">
        <v>2702.48</v>
      </c>
      <c r="M1085" s="11">
        <f>Table13[[#This Row],[Profit]]/Table13[[#This Row],[Sales]]</f>
        <v>0.42094704049844239</v>
      </c>
      <c r="N1085" s="6" t="str">
        <f>TEXT(Table13[[#This Row],[Order Date]],"mmm")</f>
        <v>Jun</v>
      </c>
      <c r="O1085" s="6">
        <f>YEAR(Table13[[#This Row],[Order Date]])</f>
        <v>2025</v>
      </c>
    </row>
    <row r="1086" spans="1:15" x14ac:dyDescent="0.3">
      <c r="A1086" s="4" t="s">
        <v>1705</v>
      </c>
      <c r="B1086" s="5">
        <v>45990</v>
      </c>
      <c r="C1086" s="4" t="s">
        <v>792</v>
      </c>
      <c r="D1086" s="4" t="s">
        <v>711</v>
      </c>
      <c r="E1086" s="4" t="s">
        <v>54</v>
      </c>
      <c r="F1086" s="4" t="s">
        <v>55</v>
      </c>
      <c r="G1086" s="4" t="s">
        <v>35</v>
      </c>
      <c r="H1086" s="4" t="s">
        <v>80</v>
      </c>
      <c r="I1086" s="6">
        <v>6</v>
      </c>
      <c r="J1086" s="6">
        <v>22908</v>
      </c>
      <c r="K1086" s="6">
        <v>14912.31</v>
      </c>
      <c r="L1086" s="6">
        <v>7995.69</v>
      </c>
      <c r="M1086" s="11">
        <f>Table13[[#This Row],[Profit]]/Table13[[#This Row],[Sales]]</f>
        <v>0.34903483499214244</v>
      </c>
      <c r="N1086" s="6" t="str">
        <f>TEXT(Table13[[#This Row],[Order Date]],"mmm")</f>
        <v>Nov</v>
      </c>
      <c r="O1086" s="6">
        <f>YEAR(Table13[[#This Row],[Order Date]])</f>
        <v>2025</v>
      </c>
    </row>
    <row r="1087" spans="1:15" x14ac:dyDescent="0.3">
      <c r="A1087" s="4" t="s">
        <v>1706</v>
      </c>
      <c r="B1087" s="5">
        <v>45656</v>
      </c>
      <c r="C1087" s="4" t="s">
        <v>104</v>
      </c>
      <c r="D1087" s="4" t="s">
        <v>1117</v>
      </c>
      <c r="E1087" s="4" t="s">
        <v>29</v>
      </c>
      <c r="F1087" s="4" t="s">
        <v>49</v>
      </c>
      <c r="G1087" s="4" t="s">
        <v>17</v>
      </c>
      <c r="H1087" s="4" t="s">
        <v>31</v>
      </c>
      <c r="I1087" s="6">
        <v>7</v>
      </c>
      <c r="J1087" s="6">
        <v>23800</v>
      </c>
      <c r="K1087" s="6">
        <v>17451.18</v>
      </c>
      <c r="L1087" s="6">
        <v>6348.82</v>
      </c>
      <c r="M1087" s="11">
        <f>Table13[[#This Row],[Profit]]/Table13[[#This Row],[Sales]]</f>
        <v>0.26675714285714286</v>
      </c>
      <c r="N1087" s="6" t="str">
        <f>TEXT(Table13[[#This Row],[Order Date]],"mmm")</f>
        <v>Dec</v>
      </c>
      <c r="O1087" s="6">
        <f>YEAR(Table13[[#This Row],[Order Date]])</f>
        <v>2024</v>
      </c>
    </row>
    <row r="1088" spans="1:15" x14ac:dyDescent="0.3">
      <c r="A1088" s="4" t="s">
        <v>1707</v>
      </c>
      <c r="B1088" s="5">
        <v>45417</v>
      </c>
      <c r="C1088" s="4" t="s">
        <v>206</v>
      </c>
      <c r="D1088" s="4" t="s">
        <v>867</v>
      </c>
      <c r="E1088" s="4" t="s">
        <v>15</v>
      </c>
      <c r="F1088" s="4" t="s">
        <v>63</v>
      </c>
      <c r="G1088" s="4" t="s">
        <v>17</v>
      </c>
      <c r="H1088" s="4" t="s">
        <v>18</v>
      </c>
      <c r="I1088" s="6">
        <v>7</v>
      </c>
      <c r="J1088" s="6">
        <v>10059</v>
      </c>
      <c r="K1088" s="6">
        <v>5609.95</v>
      </c>
      <c r="L1088" s="6">
        <v>4449.05</v>
      </c>
      <c r="M1088" s="11">
        <f>Table13[[#This Row],[Profit]]/Table13[[#This Row],[Sales]]</f>
        <v>0.44229545680485138</v>
      </c>
      <c r="N1088" s="6" t="str">
        <f>TEXT(Table13[[#This Row],[Order Date]],"mmm")</f>
        <v>May</v>
      </c>
      <c r="O1088" s="6">
        <f>YEAR(Table13[[#This Row],[Order Date]])</f>
        <v>2024</v>
      </c>
    </row>
    <row r="1089" spans="1:15" x14ac:dyDescent="0.3">
      <c r="A1089" s="4" t="s">
        <v>1708</v>
      </c>
      <c r="B1089" s="5">
        <v>45968</v>
      </c>
      <c r="C1089" s="4" t="s">
        <v>342</v>
      </c>
      <c r="D1089" s="4" t="s">
        <v>338</v>
      </c>
      <c r="E1089" s="4" t="s">
        <v>29</v>
      </c>
      <c r="F1089" s="4" t="s">
        <v>49</v>
      </c>
      <c r="G1089" s="4" t="s">
        <v>35</v>
      </c>
      <c r="H1089" s="4" t="s">
        <v>80</v>
      </c>
      <c r="I1089" s="6">
        <v>10</v>
      </c>
      <c r="J1089" s="6">
        <v>41920</v>
      </c>
      <c r="K1089" s="6">
        <v>29531.56</v>
      </c>
      <c r="L1089" s="6">
        <v>12388.44</v>
      </c>
      <c r="M1089" s="11">
        <f>Table13[[#This Row],[Profit]]/Table13[[#This Row],[Sales]]</f>
        <v>0.29552576335877861</v>
      </c>
      <c r="N1089" s="6" t="str">
        <f>TEXT(Table13[[#This Row],[Order Date]],"mmm")</f>
        <v>Nov</v>
      </c>
      <c r="O1089" s="6">
        <f>YEAR(Table13[[#This Row],[Order Date]])</f>
        <v>2025</v>
      </c>
    </row>
    <row r="1090" spans="1:15" x14ac:dyDescent="0.3">
      <c r="A1090" s="4" t="s">
        <v>1709</v>
      </c>
      <c r="B1090" s="5">
        <v>45625</v>
      </c>
      <c r="C1090" s="4" t="s">
        <v>500</v>
      </c>
      <c r="D1090" s="4" t="s">
        <v>387</v>
      </c>
      <c r="E1090" s="4" t="s">
        <v>54</v>
      </c>
      <c r="F1090" s="4" t="s">
        <v>142</v>
      </c>
      <c r="G1090" s="4" t="s">
        <v>17</v>
      </c>
      <c r="H1090" s="4" t="s">
        <v>31</v>
      </c>
      <c r="I1090" s="6">
        <v>6</v>
      </c>
      <c r="J1090" s="6">
        <v>4044</v>
      </c>
      <c r="K1090" s="6">
        <v>3400.52</v>
      </c>
      <c r="L1090" s="6">
        <v>643.48</v>
      </c>
      <c r="M1090" s="11">
        <f>Table13[[#This Row],[Profit]]/Table13[[#This Row],[Sales]]</f>
        <v>0.1591196834817013</v>
      </c>
      <c r="N1090" s="6" t="str">
        <f>TEXT(Table13[[#This Row],[Order Date]],"mmm")</f>
        <v>Nov</v>
      </c>
      <c r="O1090" s="6">
        <f>YEAR(Table13[[#This Row],[Order Date]])</f>
        <v>2024</v>
      </c>
    </row>
    <row r="1091" spans="1:15" x14ac:dyDescent="0.3">
      <c r="A1091" s="4" t="s">
        <v>1710</v>
      </c>
      <c r="B1091" s="5">
        <v>45779</v>
      </c>
      <c r="C1091" s="4" t="s">
        <v>346</v>
      </c>
      <c r="D1091" s="4" t="s">
        <v>75</v>
      </c>
      <c r="E1091" s="4" t="s">
        <v>22</v>
      </c>
      <c r="F1091" s="4" t="s">
        <v>67</v>
      </c>
      <c r="G1091" s="4" t="s">
        <v>17</v>
      </c>
      <c r="H1091" s="4" t="s">
        <v>18</v>
      </c>
      <c r="I1091" s="6">
        <v>10</v>
      </c>
      <c r="J1091" s="6">
        <v>9660</v>
      </c>
      <c r="K1091" s="6">
        <v>6322.47</v>
      </c>
      <c r="L1091" s="6">
        <v>3337.53</v>
      </c>
      <c r="M1091" s="11">
        <f>Table13[[#This Row],[Profit]]/Table13[[#This Row],[Sales]]</f>
        <v>0.34550000000000003</v>
      </c>
      <c r="N1091" s="6" t="str">
        <f>TEXT(Table13[[#This Row],[Order Date]],"mmm")</f>
        <v>May</v>
      </c>
      <c r="O1091" s="6">
        <f>YEAR(Table13[[#This Row],[Order Date]])</f>
        <v>2025</v>
      </c>
    </row>
    <row r="1092" spans="1:15" x14ac:dyDescent="0.3">
      <c r="A1092" s="4" t="s">
        <v>1711</v>
      </c>
      <c r="B1092" s="5">
        <v>45808</v>
      </c>
      <c r="C1092" s="4" t="s">
        <v>393</v>
      </c>
      <c r="D1092" s="4" t="s">
        <v>1361</v>
      </c>
      <c r="E1092" s="4" t="s">
        <v>54</v>
      </c>
      <c r="F1092" s="4" t="s">
        <v>71</v>
      </c>
      <c r="G1092" s="4" t="s">
        <v>40</v>
      </c>
      <c r="H1092" s="4" t="s">
        <v>56</v>
      </c>
      <c r="I1092" s="6">
        <v>3</v>
      </c>
      <c r="J1092" s="6">
        <v>13680</v>
      </c>
      <c r="K1092" s="6">
        <v>11120.06</v>
      </c>
      <c r="L1092" s="6">
        <v>2559.94</v>
      </c>
      <c r="M1092" s="11">
        <f>Table13[[#This Row],[Profit]]/Table13[[#This Row],[Sales]]</f>
        <v>0.18713011695906434</v>
      </c>
      <c r="N1092" s="6" t="str">
        <f>TEXT(Table13[[#This Row],[Order Date]],"mmm")</f>
        <v>May</v>
      </c>
      <c r="O1092" s="6">
        <f>YEAR(Table13[[#This Row],[Order Date]])</f>
        <v>2025</v>
      </c>
    </row>
    <row r="1093" spans="1:15" x14ac:dyDescent="0.3">
      <c r="A1093" s="4" t="s">
        <v>1712</v>
      </c>
      <c r="B1093" s="5">
        <v>45748</v>
      </c>
      <c r="C1093" s="4" t="s">
        <v>1713</v>
      </c>
      <c r="D1093" s="4" t="s">
        <v>977</v>
      </c>
      <c r="E1093" s="4" t="s">
        <v>22</v>
      </c>
      <c r="F1093" s="4" t="s">
        <v>23</v>
      </c>
      <c r="G1093" s="4" t="s">
        <v>40</v>
      </c>
      <c r="H1093" s="4" t="s">
        <v>99</v>
      </c>
      <c r="I1093" s="6">
        <v>9</v>
      </c>
      <c r="J1093" s="6">
        <v>37116</v>
      </c>
      <c r="K1093" s="6">
        <v>22285.03</v>
      </c>
      <c r="L1093" s="6">
        <v>14830.97</v>
      </c>
      <c r="M1093" s="11">
        <f>Table13[[#This Row],[Profit]]/Table13[[#This Row],[Sales]]</f>
        <v>0.39958427632287963</v>
      </c>
      <c r="N1093" s="6" t="str">
        <f>TEXT(Table13[[#This Row],[Order Date]],"mmm")</f>
        <v>Apr</v>
      </c>
      <c r="O1093" s="6">
        <f>YEAR(Table13[[#This Row],[Order Date]])</f>
        <v>2025</v>
      </c>
    </row>
    <row r="1094" spans="1:15" x14ac:dyDescent="0.3">
      <c r="A1094" s="4" t="s">
        <v>1714</v>
      </c>
      <c r="B1094" s="5">
        <v>45321</v>
      </c>
      <c r="C1094" s="4" t="s">
        <v>154</v>
      </c>
      <c r="D1094" s="4" t="s">
        <v>232</v>
      </c>
      <c r="E1094" s="4" t="s">
        <v>29</v>
      </c>
      <c r="F1094" s="4" t="s">
        <v>102</v>
      </c>
      <c r="G1094" s="4" t="s">
        <v>40</v>
      </c>
      <c r="H1094" s="4" t="s">
        <v>56</v>
      </c>
      <c r="I1094" s="6">
        <v>3</v>
      </c>
      <c r="J1094" s="6">
        <v>3096</v>
      </c>
      <c r="K1094" s="6">
        <v>1800.76</v>
      </c>
      <c r="L1094" s="6">
        <v>1295.24</v>
      </c>
      <c r="M1094" s="11">
        <f>Table13[[#This Row],[Profit]]/Table13[[#This Row],[Sales]]</f>
        <v>0.41835917312661497</v>
      </c>
      <c r="N1094" s="6" t="str">
        <f>TEXT(Table13[[#This Row],[Order Date]],"mmm")</f>
        <v>Jan</v>
      </c>
      <c r="O1094" s="6">
        <f>YEAR(Table13[[#This Row],[Order Date]])</f>
        <v>2024</v>
      </c>
    </row>
    <row r="1095" spans="1:15" x14ac:dyDescent="0.3">
      <c r="A1095" s="4" t="s">
        <v>1715</v>
      </c>
      <c r="B1095" s="5">
        <v>45978</v>
      </c>
      <c r="C1095" s="4" t="s">
        <v>966</v>
      </c>
      <c r="D1095" s="4" t="s">
        <v>659</v>
      </c>
      <c r="E1095" s="4" t="s">
        <v>22</v>
      </c>
      <c r="F1095" s="4" t="s">
        <v>67</v>
      </c>
      <c r="G1095" s="4" t="s">
        <v>40</v>
      </c>
      <c r="H1095" s="4" t="s">
        <v>56</v>
      </c>
      <c r="I1095" s="6">
        <v>5</v>
      </c>
      <c r="J1095" s="6">
        <v>21005</v>
      </c>
      <c r="K1095" s="6">
        <v>17548.650000000001</v>
      </c>
      <c r="L1095" s="6">
        <v>3456.35</v>
      </c>
      <c r="M1095" s="11">
        <f>Table13[[#This Row],[Profit]]/Table13[[#This Row],[Sales]]</f>
        <v>0.16454891692454177</v>
      </c>
      <c r="N1095" s="6" t="str">
        <f>TEXT(Table13[[#This Row],[Order Date]],"mmm")</f>
        <v>Nov</v>
      </c>
      <c r="O1095" s="6">
        <f>YEAR(Table13[[#This Row],[Order Date]])</f>
        <v>2025</v>
      </c>
    </row>
    <row r="1096" spans="1:15" x14ac:dyDescent="0.3">
      <c r="A1096" s="4" t="s">
        <v>1716</v>
      </c>
      <c r="B1096" s="5">
        <v>45907</v>
      </c>
      <c r="C1096" s="4" t="s">
        <v>1382</v>
      </c>
      <c r="D1096" s="4" t="s">
        <v>150</v>
      </c>
      <c r="E1096" s="4" t="s">
        <v>22</v>
      </c>
      <c r="F1096" s="4" t="s">
        <v>23</v>
      </c>
      <c r="G1096" s="4" t="s">
        <v>17</v>
      </c>
      <c r="H1096" s="4" t="s">
        <v>18</v>
      </c>
      <c r="I1096" s="6">
        <v>6</v>
      </c>
      <c r="J1096" s="6">
        <v>12798</v>
      </c>
      <c r="K1096" s="6">
        <v>10616.38</v>
      </c>
      <c r="L1096" s="6">
        <v>2181.62</v>
      </c>
      <c r="M1096" s="11">
        <f>Table13[[#This Row],[Profit]]/Table13[[#This Row],[Sales]]</f>
        <v>0.17046569776527581</v>
      </c>
      <c r="N1096" s="6" t="str">
        <f>TEXT(Table13[[#This Row],[Order Date]],"mmm")</f>
        <v>Sep</v>
      </c>
      <c r="O1096" s="6">
        <f>YEAR(Table13[[#This Row],[Order Date]])</f>
        <v>2025</v>
      </c>
    </row>
    <row r="1097" spans="1:15" x14ac:dyDescent="0.3">
      <c r="A1097" s="4" t="s">
        <v>1717</v>
      </c>
      <c r="B1097" s="5">
        <v>45739</v>
      </c>
      <c r="C1097" s="4" t="s">
        <v>799</v>
      </c>
      <c r="D1097" s="4" t="s">
        <v>884</v>
      </c>
      <c r="E1097" s="4" t="s">
        <v>22</v>
      </c>
      <c r="F1097" s="4" t="s">
        <v>79</v>
      </c>
      <c r="G1097" s="4" t="s">
        <v>17</v>
      </c>
      <c r="H1097" s="4" t="s">
        <v>18</v>
      </c>
      <c r="I1097" s="6">
        <v>7</v>
      </c>
      <c r="J1097" s="6">
        <v>34321</v>
      </c>
      <c r="K1097" s="6">
        <v>28825.33</v>
      </c>
      <c r="L1097" s="6">
        <v>5495.67</v>
      </c>
      <c r="M1097" s="11">
        <f>Table13[[#This Row],[Profit]]/Table13[[#This Row],[Sales]]</f>
        <v>0.16012557909151831</v>
      </c>
      <c r="N1097" s="6" t="str">
        <f>TEXT(Table13[[#This Row],[Order Date]],"mmm")</f>
        <v>Mar</v>
      </c>
      <c r="O1097" s="6">
        <f>YEAR(Table13[[#This Row],[Order Date]])</f>
        <v>2025</v>
      </c>
    </row>
    <row r="1098" spans="1:15" x14ac:dyDescent="0.3">
      <c r="A1098" s="4" t="s">
        <v>1718</v>
      </c>
      <c r="B1098" s="5">
        <v>45898</v>
      </c>
      <c r="C1098" s="4" t="s">
        <v>342</v>
      </c>
      <c r="D1098" s="4" t="s">
        <v>1719</v>
      </c>
      <c r="E1098" s="4" t="s">
        <v>54</v>
      </c>
      <c r="F1098" s="4" t="s">
        <v>142</v>
      </c>
      <c r="G1098" s="4" t="s">
        <v>40</v>
      </c>
      <c r="H1098" s="4" t="s">
        <v>99</v>
      </c>
      <c r="I1098" s="6">
        <v>2</v>
      </c>
      <c r="J1098" s="6">
        <v>2424</v>
      </c>
      <c r="K1098" s="6">
        <v>1398.02</v>
      </c>
      <c r="L1098" s="6">
        <v>1025.98</v>
      </c>
      <c r="M1098" s="11">
        <f>Table13[[#This Row],[Profit]]/Table13[[#This Row],[Sales]]</f>
        <v>0.42325907590759076</v>
      </c>
      <c r="N1098" s="6" t="str">
        <f>TEXT(Table13[[#This Row],[Order Date]],"mmm")</f>
        <v>Aug</v>
      </c>
      <c r="O1098" s="6">
        <f>YEAR(Table13[[#This Row],[Order Date]])</f>
        <v>2025</v>
      </c>
    </row>
    <row r="1099" spans="1:15" x14ac:dyDescent="0.3">
      <c r="A1099" s="4" t="s">
        <v>1720</v>
      </c>
      <c r="B1099" s="5">
        <v>45896</v>
      </c>
      <c r="C1099" s="4" t="s">
        <v>38</v>
      </c>
      <c r="D1099" s="4" t="s">
        <v>335</v>
      </c>
      <c r="E1099" s="4" t="s">
        <v>54</v>
      </c>
      <c r="F1099" s="4" t="s">
        <v>142</v>
      </c>
      <c r="G1099" s="4" t="s">
        <v>40</v>
      </c>
      <c r="H1099" s="4" t="s">
        <v>41</v>
      </c>
      <c r="I1099" s="6">
        <v>7</v>
      </c>
      <c r="J1099" s="6">
        <v>2191</v>
      </c>
      <c r="K1099" s="6">
        <v>1409.34</v>
      </c>
      <c r="L1099" s="6">
        <v>781.66</v>
      </c>
      <c r="M1099" s="11">
        <f>Table13[[#This Row],[Profit]]/Table13[[#This Row],[Sales]]</f>
        <v>0.35675947056138746</v>
      </c>
      <c r="N1099" s="6" t="str">
        <f>TEXT(Table13[[#This Row],[Order Date]],"mmm")</f>
        <v>Aug</v>
      </c>
      <c r="O1099" s="6">
        <f>YEAR(Table13[[#This Row],[Order Date]])</f>
        <v>2025</v>
      </c>
    </row>
    <row r="1100" spans="1:15" x14ac:dyDescent="0.3">
      <c r="A1100" s="4" t="s">
        <v>1721</v>
      </c>
      <c r="B1100" s="5">
        <v>45908</v>
      </c>
      <c r="C1100" s="4" t="s">
        <v>168</v>
      </c>
      <c r="D1100" s="4" t="s">
        <v>722</v>
      </c>
      <c r="E1100" s="4" t="s">
        <v>22</v>
      </c>
      <c r="F1100" s="4" t="s">
        <v>67</v>
      </c>
      <c r="G1100" s="4" t="s">
        <v>40</v>
      </c>
      <c r="H1100" s="4" t="s">
        <v>41</v>
      </c>
      <c r="I1100" s="6">
        <v>6</v>
      </c>
      <c r="J1100" s="6">
        <v>8004</v>
      </c>
      <c r="K1100" s="6">
        <v>5650.23</v>
      </c>
      <c r="L1100" s="6">
        <v>2353.77</v>
      </c>
      <c r="M1100" s="11">
        <f>Table13[[#This Row],[Profit]]/Table13[[#This Row],[Sales]]</f>
        <v>0.29407421289355323</v>
      </c>
      <c r="N1100" s="6" t="str">
        <f>TEXT(Table13[[#This Row],[Order Date]],"mmm")</f>
        <v>Sep</v>
      </c>
      <c r="O1100" s="6">
        <f>YEAR(Table13[[#This Row],[Order Date]])</f>
        <v>2025</v>
      </c>
    </row>
    <row r="1101" spans="1:15" x14ac:dyDescent="0.3">
      <c r="A1101" s="4" t="s">
        <v>1722</v>
      </c>
      <c r="B1101" s="5">
        <v>45595</v>
      </c>
      <c r="C1101" s="4" t="s">
        <v>101</v>
      </c>
      <c r="D1101" s="4" t="s">
        <v>691</v>
      </c>
      <c r="E1101" s="4" t="s">
        <v>22</v>
      </c>
      <c r="F1101" s="4" t="s">
        <v>23</v>
      </c>
      <c r="G1101" s="4" t="s">
        <v>35</v>
      </c>
      <c r="H1101" s="4" t="s">
        <v>45</v>
      </c>
      <c r="I1101" s="6">
        <v>8</v>
      </c>
      <c r="J1101" s="6">
        <v>23104</v>
      </c>
      <c r="K1101" s="6">
        <v>13710.15</v>
      </c>
      <c r="L1101" s="6">
        <v>9393.85</v>
      </c>
      <c r="M1101" s="11">
        <f>Table13[[#This Row],[Profit]]/Table13[[#This Row],[Sales]]</f>
        <v>0.4065897680055402</v>
      </c>
      <c r="N1101" s="6" t="str">
        <f>TEXT(Table13[[#This Row],[Order Date]],"mmm")</f>
        <v>Oct</v>
      </c>
      <c r="O1101" s="6">
        <f>YEAR(Table13[[#This Row],[Order Date]])</f>
        <v>2024</v>
      </c>
    </row>
    <row r="1102" spans="1:15" x14ac:dyDescent="0.3">
      <c r="A1102" s="4" t="s">
        <v>1723</v>
      </c>
      <c r="B1102" s="5">
        <v>46011</v>
      </c>
      <c r="C1102" s="4" t="s">
        <v>1328</v>
      </c>
      <c r="D1102" s="4" t="s">
        <v>942</v>
      </c>
      <c r="E1102" s="4" t="s">
        <v>22</v>
      </c>
      <c r="F1102" s="4" t="s">
        <v>23</v>
      </c>
      <c r="G1102" s="4" t="s">
        <v>17</v>
      </c>
      <c r="H1102" s="4" t="s">
        <v>72</v>
      </c>
      <c r="I1102" s="6">
        <v>5</v>
      </c>
      <c r="J1102" s="6">
        <v>7470</v>
      </c>
      <c r="K1102" s="6">
        <v>5782.66</v>
      </c>
      <c r="L1102" s="6">
        <v>1687.34</v>
      </c>
      <c r="M1102" s="11">
        <f>Table13[[#This Row],[Profit]]/Table13[[#This Row],[Sales]]</f>
        <v>0.2258821954484605</v>
      </c>
      <c r="N1102" s="6" t="str">
        <f>TEXT(Table13[[#This Row],[Order Date]],"mmm")</f>
        <v>Dec</v>
      </c>
      <c r="O1102" s="6">
        <f>YEAR(Table13[[#This Row],[Order Date]])</f>
        <v>2025</v>
      </c>
    </row>
    <row r="1103" spans="1:15" x14ac:dyDescent="0.3">
      <c r="A1103" s="4" t="s">
        <v>1724</v>
      </c>
      <c r="B1103" s="5">
        <v>46015</v>
      </c>
      <c r="C1103" s="4" t="s">
        <v>281</v>
      </c>
      <c r="D1103" s="4" t="s">
        <v>804</v>
      </c>
      <c r="E1103" s="4" t="s">
        <v>54</v>
      </c>
      <c r="F1103" s="4" t="s">
        <v>71</v>
      </c>
      <c r="G1103" s="4" t="s">
        <v>17</v>
      </c>
      <c r="H1103" s="4" t="s">
        <v>18</v>
      </c>
      <c r="I1103" s="6">
        <v>2</v>
      </c>
      <c r="J1103" s="6">
        <v>5080</v>
      </c>
      <c r="K1103" s="6">
        <v>4313.2</v>
      </c>
      <c r="L1103" s="6">
        <v>766.8</v>
      </c>
      <c r="M1103" s="11">
        <f>Table13[[#This Row],[Profit]]/Table13[[#This Row],[Sales]]</f>
        <v>0.15094488188976377</v>
      </c>
      <c r="N1103" s="6" t="str">
        <f>TEXT(Table13[[#This Row],[Order Date]],"mmm")</f>
        <v>Dec</v>
      </c>
      <c r="O1103" s="6">
        <f>YEAR(Table13[[#This Row],[Order Date]])</f>
        <v>2025</v>
      </c>
    </row>
    <row r="1104" spans="1:15" x14ac:dyDescent="0.3">
      <c r="A1104" s="4" t="s">
        <v>1725</v>
      </c>
      <c r="B1104" s="5">
        <v>45633</v>
      </c>
      <c r="C1104" s="4" t="s">
        <v>251</v>
      </c>
      <c r="D1104" s="4" t="s">
        <v>781</v>
      </c>
      <c r="E1104" s="4" t="s">
        <v>29</v>
      </c>
      <c r="F1104" s="4" t="s">
        <v>49</v>
      </c>
      <c r="G1104" s="4" t="s">
        <v>40</v>
      </c>
      <c r="H1104" s="4" t="s">
        <v>99</v>
      </c>
      <c r="I1104" s="6">
        <v>7</v>
      </c>
      <c r="J1104" s="6">
        <v>5467</v>
      </c>
      <c r="K1104" s="6">
        <v>4616.0200000000004</v>
      </c>
      <c r="L1104" s="6">
        <v>850.98</v>
      </c>
      <c r="M1104" s="11">
        <f>Table13[[#This Row],[Profit]]/Table13[[#This Row],[Sales]]</f>
        <v>0.15565758185476497</v>
      </c>
      <c r="N1104" s="6" t="str">
        <f>TEXT(Table13[[#This Row],[Order Date]],"mmm")</f>
        <v>Dec</v>
      </c>
      <c r="O1104" s="6">
        <f>YEAR(Table13[[#This Row],[Order Date]])</f>
        <v>2024</v>
      </c>
    </row>
    <row r="1105" spans="1:15" x14ac:dyDescent="0.3">
      <c r="A1105" s="4" t="s">
        <v>1726</v>
      </c>
      <c r="B1105" s="5">
        <v>45693</v>
      </c>
      <c r="C1105" s="4" t="s">
        <v>137</v>
      </c>
      <c r="D1105" s="4" t="s">
        <v>210</v>
      </c>
      <c r="E1105" s="4" t="s">
        <v>29</v>
      </c>
      <c r="F1105" s="4" t="s">
        <v>30</v>
      </c>
      <c r="G1105" s="4" t="s">
        <v>17</v>
      </c>
      <c r="H1105" s="4" t="s">
        <v>18</v>
      </c>
      <c r="I1105" s="6">
        <v>1</v>
      </c>
      <c r="J1105" s="6">
        <v>1766</v>
      </c>
      <c r="K1105" s="6">
        <v>1425.22</v>
      </c>
      <c r="L1105" s="6">
        <v>340.78</v>
      </c>
      <c r="M1105" s="11">
        <f>Table13[[#This Row],[Profit]]/Table13[[#This Row],[Sales]]</f>
        <v>0.19296715741789353</v>
      </c>
      <c r="N1105" s="6" t="str">
        <f>TEXT(Table13[[#This Row],[Order Date]],"mmm")</f>
        <v>Feb</v>
      </c>
      <c r="O1105" s="6">
        <f>YEAR(Table13[[#This Row],[Order Date]])</f>
        <v>2025</v>
      </c>
    </row>
    <row r="1106" spans="1:15" x14ac:dyDescent="0.3">
      <c r="A1106" s="4" t="s">
        <v>1727</v>
      </c>
      <c r="B1106" s="5">
        <v>45648</v>
      </c>
      <c r="C1106" s="4" t="s">
        <v>1041</v>
      </c>
      <c r="D1106" s="4" t="s">
        <v>886</v>
      </c>
      <c r="E1106" s="4" t="s">
        <v>15</v>
      </c>
      <c r="F1106" s="4" t="s">
        <v>90</v>
      </c>
      <c r="G1106" s="4" t="s">
        <v>35</v>
      </c>
      <c r="H1106" s="4" t="s">
        <v>36</v>
      </c>
      <c r="I1106" s="6">
        <v>6</v>
      </c>
      <c r="J1106" s="6">
        <v>22560</v>
      </c>
      <c r="K1106" s="6">
        <v>16996.02</v>
      </c>
      <c r="L1106" s="6">
        <v>5563.98</v>
      </c>
      <c r="M1106" s="11">
        <f>Table13[[#This Row],[Profit]]/Table13[[#This Row],[Sales]]</f>
        <v>0.24663031914893616</v>
      </c>
      <c r="N1106" s="6" t="str">
        <f>TEXT(Table13[[#This Row],[Order Date]],"mmm")</f>
        <v>Dec</v>
      </c>
      <c r="O1106" s="6">
        <f>YEAR(Table13[[#This Row],[Order Date]])</f>
        <v>2024</v>
      </c>
    </row>
    <row r="1107" spans="1:15" x14ac:dyDescent="0.3">
      <c r="A1107" s="4" t="s">
        <v>1728</v>
      </c>
      <c r="B1107" s="5">
        <v>45491</v>
      </c>
      <c r="C1107" s="4" t="s">
        <v>969</v>
      </c>
      <c r="D1107" s="4" t="s">
        <v>1226</v>
      </c>
      <c r="E1107" s="4" t="s">
        <v>15</v>
      </c>
      <c r="F1107" s="4" t="s">
        <v>90</v>
      </c>
      <c r="G1107" s="4" t="s">
        <v>17</v>
      </c>
      <c r="H1107" s="4" t="s">
        <v>18</v>
      </c>
      <c r="I1107" s="6">
        <v>5</v>
      </c>
      <c r="J1107" s="6">
        <v>13065</v>
      </c>
      <c r="K1107" s="6">
        <v>9915.2000000000007</v>
      </c>
      <c r="L1107" s="6">
        <v>3149.8</v>
      </c>
      <c r="M1107" s="11">
        <f>Table13[[#This Row],[Profit]]/Table13[[#This Row],[Sales]]</f>
        <v>0.2410868733256793</v>
      </c>
      <c r="N1107" s="6" t="str">
        <f>TEXT(Table13[[#This Row],[Order Date]],"mmm")</f>
        <v>Jul</v>
      </c>
      <c r="O1107" s="6">
        <f>YEAR(Table13[[#This Row],[Order Date]])</f>
        <v>2024</v>
      </c>
    </row>
    <row r="1108" spans="1:15" x14ac:dyDescent="0.3">
      <c r="A1108" s="4" t="s">
        <v>1729</v>
      </c>
      <c r="B1108" s="5">
        <v>46018</v>
      </c>
      <c r="C1108" s="4" t="s">
        <v>287</v>
      </c>
      <c r="D1108" s="4" t="s">
        <v>138</v>
      </c>
      <c r="E1108" s="4" t="s">
        <v>15</v>
      </c>
      <c r="F1108" s="4" t="s">
        <v>16</v>
      </c>
      <c r="G1108" s="4" t="s">
        <v>40</v>
      </c>
      <c r="H1108" s="4" t="s">
        <v>41</v>
      </c>
      <c r="I1108" s="6">
        <v>10</v>
      </c>
      <c r="J1108" s="6">
        <v>7430</v>
      </c>
      <c r="K1108" s="6">
        <v>5980.73</v>
      </c>
      <c r="L1108" s="6">
        <v>1449.27</v>
      </c>
      <c r="M1108" s="11">
        <f>Table13[[#This Row],[Profit]]/Table13[[#This Row],[Sales]]</f>
        <v>0.19505652759084791</v>
      </c>
      <c r="N1108" s="6" t="str">
        <f>TEXT(Table13[[#This Row],[Order Date]],"mmm")</f>
        <v>Dec</v>
      </c>
      <c r="O1108" s="6">
        <f>YEAR(Table13[[#This Row],[Order Date]])</f>
        <v>2025</v>
      </c>
    </row>
    <row r="1109" spans="1:15" x14ac:dyDescent="0.3">
      <c r="A1109" s="4" t="s">
        <v>1730</v>
      </c>
      <c r="B1109" s="5">
        <v>45440</v>
      </c>
      <c r="C1109" s="4" t="s">
        <v>149</v>
      </c>
      <c r="D1109" s="4" t="s">
        <v>647</v>
      </c>
      <c r="E1109" s="4" t="s">
        <v>29</v>
      </c>
      <c r="F1109" s="4" t="s">
        <v>30</v>
      </c>
      <c r="G1109" s="4" t="s">
        <v>24</v>
      </c>
      <c r="H1109" s="4" t="s">
        <v>166</v>
      </c>
      <c r="I1109" s="6">
        <v>8</v>
      </c>
      <c r="J1109" s="6">
        <v>34016</v>
      </c>
      <c r="K1109" s="6">
        <v>21679.23</v>
      </c>
      <c r="L1109" s="6">
        <v>12336.77</v>
      </c>
      <c r="M1109" s="11">
        <f>Table13[[#This Row],[Profit]]/Table13[[#This Row],[Sales]]</f>
        <v>0.36267550564440265</v>
      </c>
      <c r="N1109" s="6" t="str">
        <f>TEXT(Table13[[#This Row],[Order Date]],"mmm")</f>
        <v>May</v>
      </c>
      <c r="O1109" s="6">
        <f>YEAR(Table13[[#This Row],[Order Date]])</f>
        <v>2024</v>
      </c>
    </row>
    <row r="1110" spans="1:15" x14ac:dyDescent="0.3">
      <c r="A1110" s="4" t="s">
        <v>1731</v>
      </c>
      <c r="B1110" s="5">
        <v>45881</v>
      </c>
      <c r="C1110" s="4" t="s">
        <v>33</v>
      </c>
      <c r="D1110" s="4" t="s">
        <v>605</v>
      </c>
      <c r="E1110" s="4" t="s">
        <v>29</v>
      </c>
      <c r="F1110" s="4" t="s">
        <v>30</v>
      </c>
      <c r="G1110" s="4" t="s">
        <v>17</v>
      </c>
      <c r="H1110" s="4" t="s">
        <v>31</v>
      </c>
      <c r="I1110" s="6">
        <v>1</v>
      </c>
      <c r="J1110" s="6">
        <v>3267</v>
      </c>
      <c r="K1110" s="6">
        <v>2508.36</v>
      </c>
      <c r="L1110" s="6">
        <v>758.64</v>
      </c>
      <c r="M1110" s="11">
        <f>Table13[[#This Row],[Profit]]/Table13[[#This Row],[Sales]]</f>
        <v>0.23221303948576674</v>
      </c>
      <c r="N1110" s="6" t="str">
        <f>TEXT(Table13[[#This Row],[Order Date]],"mmm")</f>
        <v>Aug</v>
      </c>
      <c r="O1110" s="6">
        <f>YEAR(Table13[[#This Row],[Order Date]])</f>
        <v>2025</v>
      </c>
    </row>
    <row r="1111" spans="1:15" x14ac:dyDescent="0.3">
      <c r="A1111" s="4" t="s">
        <v>1732</v>
      </c>
      <c r="B1111" s="5">
        <v>45777</v>
      </c>
      <c r="C1111" s="4" t="s">
        <v>710</v>
      </c>
      <c r="D1111" s="4" t="s">
        <v>325</v>
      </c>
      <c r="E1111" s="4" t="s">
        <v>22</v>
      </c>
      <c r="F1111" s="4" t="s">
        <v>67</v>
      </c>
      <c r="G1111" s="4" t="s">
        <v>17</v>
      </c>
      <c r="H1111" s="4" t="s">
        <v>31</v>
      </c>
      <c r="I1111" s="6">
        <v>3</v>
      </c>
      <c r="J1111" s="6">
        <v>2283</v>
      </c>
      <c r="K1111" s="6">
        <v>1321.43</v>
      </c>
      <c r="L1111" s="6">
        <v>961.57</v>
      </c>
      <c r="M1111" s="11">
        <f>Table13[[#This Row],[Profit]]/Table13[[#This Row],[Sales]]</f>
        <v>0.4211870346035918</v>
      </c>
      <c r="N1111" s="6" t="str">
        <f>TEXT(Table13[[#This Row],[Order Date]],"mmm")</f>
        <v>Apr</v>
      </c>
      <c r="O1111" s="6">
        <f>YEAR(Table13[[#This Row],[Order Date]])</f>
        <v>2025</v>
      </c>
    </row>
    <row r="1112" spans="1:15" x14ac:dyDescent="0.3">
      <c r="A1112" s="4" t="s">
        <v>1733</v>
      </c>
      <c r="B1112" s="5">
        <v>45934</v>
      </c>
      <c r="C1112" s="4" t="s">
        <v>132</v>
      </c>
      <c r="D1112" s="4" t="s">
        <v>53</v>
      </c>
      <c r="E1112" s="4" t="s">
        <v>15</v>
      </c>
      <c r="F1112" s="4" t="s">
        <v>90</v>
      </c>
      <c r="G1112" s="4" t="s">
        <v>17</v>
      </c>
      <c r="H1112" s="4" t="s">
        <v>31</v>
      </c>
      <c r="I1112" s="6">
        <v>6</v>
      </c>
      <c r="J1112" s="6">
        <v>23118</v>
      </c>
      <c r="K1112" s="6">
        <v>19440.34</v>
      </c>
      <c r="L1112" s="6">
        <v>3677.66</v>
      </c>
      <c r="M1112" s="11">
        <f>Table13[[#This Row],[Profit]]/Table13[[#This Row],[Sales]]</f>
        <v>0.15908210052772731</v>
      </c>
      <c r="N1112" s="6" t="str">
        <f>TEXT(Table13[[#This Row],[Order Date]],"mmm")</f>
        <v>Oct</v>
      </c>
      <c r="O1112" s="6">
        <f>YEAR(Table13[[#This Row],[Order Date]])</f>
        <v>2025</v>
      </c>
    </row>
    <row r="1113" spans="1:15" x14ac:dyDescent="0.3">
      <c r="A1113" s="4" t="s">
        <v>1734</v>
      </c>
      <c r="B1113" s="5">
        <v>45902</v>
      </c>
      <c r="C1113" s="4" t="s">
        <v>768</v>
      </c>
      <c r="D1113" s="4" t="s">
        <v>1063</v>
      </c>
      <c r="E1113" s="4" t="s">
        <v>15</v>
      </c>
      <c r="F1113" s="4" t="s">
        <v>16</v>
      </c>
      <c r="G1113" s="4" t="s">
        <v>40</v>
      </c>
      <c r="H1113" s="4" t="s">
        <v>56</v>
      </c>
      <c r="I1113" s="6">
        <v>7</v>
      </c>
      <c r="J1113" s="6">
        <v>30114</v>
      </c>
      <c r="K1113" s="6">
        <v>19297.259999999998</v>
      </c>
      <c r="L1113" s="6">
        <v>10816.74</v>
      </c>
      <c r="M1113" s="11">
        <f>Table13[[#This Row],[Profit]]/Table13[[#This Row],[Sales]]</f>
        <v>0.35919306634787806</v>
      </c>
      <c r="N1113" s="6" t="str">
        <f>TEXT(Table13[[#This Row],[Order Date]],"mmm")</f>
        <v>Sep</v>
      </c>
      <c r="O1113" s="6">
        <f>YEAR(Table13[[#This Row],[Order Date]])</f>
        <v>2025</v>
      </c>
    </row>
    <row r="1114" spans="1:15" x14ac:dyDescent="0.3">
      <c r="A1114" s="4" t="s">
        <v>1735</v>
      </c>
      <c r="B1114" s="5">
        <v>45747</v>
      </c>
      <c r="C1114" s="4" t="s">
        <v>269</v>
      </c>
      <c r="D1114" s="4" t="s">
        <v>746</v>
      </c>
      <c r="E1114" s="4" t="s">
        <v>15</v>
      </c>
      <c r="F1114" s="4" t="s">
        <v>63</v>
      </c>
      <c r="G1114" s="4" t="s">
        <v>17</v>
      </c>
      <c r="H1114" s="4" t="s">
        <v>31</v>
      </c>
      <c r="I1114" s="6">
        <v>7</v>
      </c>
      <c r="J1114" s="6">
        <v>17878</v>
      </c>
      <c r="K1114" s="6">
        <v>13224.36</v>
      </c>
      <c r="L1114" s="6">
        <v>4653.6400000000003</v>
      </c>
      <c r="M1114" s="11">
        <f>Table13[[#This Row],[Profit]]/Table13[[#This Row],[Sales]]</f>
        <v>0.26029980982212775</v>
      </c>
      <c r="N1114" s="6" t="str">
        <f>TEXT(Table13[[#This Row],[Order Date]],"mmm")</f>
        <v>Mar</v>
      </c>
      <c r="O1114" s="6">
        <f>YEAR(Table13[[#This Row],[Order Date]])</f>
        <v>2025</v>
      </c>
    </row>
    <row r="1115" spans="1:15" x14ac:dyDescent="0.3">
      <c r="A1115" s="4" t="s">
        <v>1736</v>
      </c>
      <c r="B1115" s="5">
        <v>45813</v>
      </c>
      <c r="C1115" s="4" t="s">
        <v>802</v>
      </c>
      <c r="D1115" s="4" t="s">
        <v>663</v>
      </c>
      <c r="E1115" s="4" t="s">
        <v>15</v>
      </c>
      <c r="F1115" s="4" t="s">
        <v>16</v>
      </c>
      <c r="G1115" s="4" t="s">
        <v>24</v>
      </c>
      <c r="H1115" s="4" t="s">
        <v>50</v>
      </c>
      <c r="I1115" s="6">
        <v>2</v>
      </c>
      <c r="J1115" s="6">
        <v>8614</v>
      </c>
      <c r="K1115" s="6">
        <v>6395.23</v>
      </c>
      <c r="L1115" s="6">
        <v>2218.77</v>
      </c>
      <c r="M1115" s="11">
        <f>Table13[[#This Row],[Profit]]/Table13[[#This Row],[Sales]]</f>
        <v>0.25757719990712791</v>
      </c>
      <c r="N1115" s="6" t="str">
        <f>TEXT(Table13[[#This Row],[Order Date]],"mmm")</f>
        <v>Jun</v>
      </c>
      <c r="O1115" s="6">
        <f>YEAR(Table13[[#This Row],[Order Date]])</f>
        <v>2025</v>
      </c>
    </row>
    <row r="1116" spans="1:15" x14ac:dyDescent="0.3">
      <c r="A1116" s="4" t="s">
        <v>1737</v>
      </c>
      <c r="B1116" s="5">
        <v>45952</v>
      </c>
      <c r="C1116" s="4" t="s">
        <v>176</v>
      </c>
      <c r="D1116" s="4" t="s">
        <v>577</v>
      </c>
      <c r="E1116" s="4" t="s">
        <v>22</v>
      </c>
      <c r="F1116" s="4" t="s">
        <v>67</v>
      </c>
      <c r="G1116" s="4" t="s">
        <v>17</v>
      </c>
      <c r="H1116" s="4" t="s">
        <v>18</v>
      </c>
      <c r="I1116" s="6">
        <v>2</v>
      </c>
      <c r="J1116" s="6">
        <v>3566</v>
      </c>
      <c r="K1116" s="6">
        <v>2372.06</v>
      </c>
      <c r="L1116" s="6">
        <v>1193.94</v>
      </c>
      <c r="M1116" s="11">
        <f>Table13[[#This Row],[Profit]]/Table13[[#This Row],[Sales]]</f>
        <v>0.33481211441390918</v>
      </c>
      <c r="N1116" s="6" t="str">
        <f>TEXT(Table13[[#This Row],[Order Date]],"mmm")</f>
        <v>Oct</v>
      </c>
      <c r="O1116" s="6">
        <f>YEAR(Table13[[#This Row],[Order Date]])</f>
        <v>2025</v>
      </c>
    </row>
    <row r="1117" spans="1:15" x14ac:dyDescent="0.3">
      <c r="A1117" s="4" t="s">
        <v>1738</v>
      </c>
      <c r="B1117" s="5">
        <v>46009</v>
      </c>
      <c r="C1117" s="4" t="s">
        <v>1739</v>
      </c>
      <c r="D1117" s="4" t="s">
        <v>1226</v>
      </c>
      <c r="E1117" s="4" t="s">
        <v>29</v>
      </c>
      <c r="F1117" s="4" t="s">
        <v>102</v>
      </c>
      <c r="G1117" s="4" t="s">
        <v>40</v>
      </c>
      <c r="H1117" s="4" t="s">
        <v>41</v>
      </c>
      <c r="I1117" s="6">
        <v>2</v>
      </c>
      <c r="J1117" s="6">
        <v>9406</v>
      </c>
      <c r="K1117" s="6">
        <v>5695.02</v>
      </c>
      <c r="L1117" s="6">
        <v>3710.98</v>
      </c>
      <c r="M1117" s="11">
        <f>Table13[[#This Row],[Profit]]/Table13[[#This Row],[Sales]]</f>
        <v>0.39453327663193705</v>
      </c>
      <c r="N1117" s="6" t="str">
        <f>TEXT(Table13[[#This Row],[Order Date]],"mmm")</f>
        <v>Dec</v>
      </c>
      <c r="O1117" s="6">
        <f>YEAR(Table13[[#This Row],[Order Date]])</f>
        <v>2025</v>
      </c>
    </row>
    <row r="1118" spans="1:15" x14ac:dyDescent="0.3">
      <c r="A1118" s="4" t="s">
        <v>1740</v>
      </c>
      <c r="B1118" s="5">
        <v>45959</v>
      </c>
      <c r="C1118" s="4" t="s">
        <v>966</v>
      </c>
      <c r="D1118" s="4" t="s">
        <v>293</v>
      </c>
      <c r="E1118" s="4" t="s">
        <v>22</v>
      </c>
      <c r="F1118" s="4" t="s">
        <v>23</v>
      </c>
      <c r="G1118" s="4" t="s">
        <v>35</v>
      </c>
      <c r="H1118" s="4" t="s">
        <v>45</v>
      </c>
      <c r="I1118" s="6">
        <v>10</v>
      </c>
      <c r="J1118" s="6">
        <v>47150</v>
      </c>
      <c r="K1118" s="6">
        <v>36028.480000000003</v>
      </c>
      <c r="L1118" s="6">
        <v>11121.52</v>
      </c>
      <c r="M1118" s="11">
        <f>Table13[[#This Row],[Profit]]/Table13[[#This Row],[Sales]]</f>
        <v>0.23587529162248144</v>
      </c>
      <c r="N1118" s="6" t="str">
        <f>TEXT(Table13[[#This Row],[Order Date]],"mmm")</f>
        <v>Oct</v>
      </c>
      <c r="O1118" s="6">
        <f>YEAR(Table13[[#This Row],[Order Date]])</f>
        <v>2025</v>
      </c>
    </row>
    <row r="1119" spans="1:15" x14ac:dyDescent="0.3">
      <c r="A1119" s="4" t="s">
        <v>1741</v>
      </c>
      <c r="B1119" s="5">
        <v>45613</v>
      </c>
      <c r="C1119" s="4" t="s">
        <v>427</v>
      </c>
      <c r="D1119" s="4" t="s">
        <v>597</v>
      </c>
      <c r="E1119" s="4" t="s">
        <v>15</v>
      </c>
      <c r="F1119" s="4" t="s">
        <v>16</v>
      </c>
      <c r="G1119" s="4" t="s">
        <v>17</v>
      </c>
      <c r="H1119" s="4" t="s">
        <v>72</v>
      </c>
      <c r="I1119" s="6">
        <v>3</v>
      </c>
      <c r="J1119" s="6">
        <v>1029</v>
      </c>
      <c r="K1119" s="6">
        <v>737.19</v>
      </c>
      <c r="L1119" s="6">
        <v>291.81</v>
      </c>
      <c r="M1119" s="11">
        <f>Table13[[#This Row],[Profit]]/Table13[[#This Row],[Sales]]</f>
        <v>0.28358600583090376</v>
      </c>
      <c r="N1119" s="6" t="str">
        <f>TEXT(Table13[[#This Row],[Order Date]],"mmm")</f>
        <v>Nov</v>
      </c>
      <c r="O1119" s="6">
        <f>YEAR(Table13[[#This Row],[Order Date]])</f>
        <v>2024</v>
      </c>
    </row>
    <row r="1120" spans="1:15" x14ac:dyDescent="0.3">
      <c r="A1120" s="4" t="s">
        <v>1742</v>
      </c>
      <c r="B1120" s="5">
        <v>45327</v>
      </c>
      <c r="C1120" s="4" t="s">
        <v>263</v>
      </c>
      <c r="D1120" s="4" t="s">
        <v>39</v>
      </c>
      <c r="E1120" s="4" t="s">
        <v>29</v>
      </c>
      <c r="F1120" s="4" t="s">
        <v>30</v>
      </c>
      <c r="G1120" s="4" t="s">
        <v>40</v>
      </c>
      <c r="H1120" s="4" t="s">
        <v>56</v>
      </c>
      <c r="I1120" s="6">
        <v>3</v>
      </c>
      <c r="J1120" s="6">
        <v>3057</v>
      </c>
      <c r="K1120" s="6">
        <v>2197.2199999999998</v>
      </c>
      <c r="L1120" s="6">
        <v>859.78</v>
      </c>
      <c r="M1120" s="11">
        <f>Table13[[#This Row],[Profit]]/Table13[[#This Row],[Sales]]</f>
        <v>0.28124959110238795</v>
      </c>
      <c r="N1120" s="6" t="str">
        <f>TEXT(Table13[[#This Row],[Order Date]],"mmm")</f>
        <v>Feb</v>
      </c>
      <c r="O1120" s="6">
        <f>YEAR(Table13[[#This Row],[Order Date]])</f>
        <v>2024</v>
      </c>
    </row>
    <row r="1121" spans="1:15" x14ac:dyDescent="0.3">
      <c r="A1121" s="4" t="s">
        <v>1743</v>
      </c>
      <c r="B1121" s="5">
        <v>45965</v>
      </c>
      <c r="C1121" s="4" t="s">
        <v>189</v>
      </c>
      <c r="D1121" s="4" t="s">
        <v>114</v>
      </c>
      <c r="E1121" s="4" t="s">
        <v>54</v>
      </c>
      <c r="F1121" s="4" t="s">
        <v>55</v>
      </c>
      <c r="G1121" s="4" t="s">
        <v>35</v>
      </c>
      <c r="H1121" s="4" t="s">
        <v>45</v>
      </c>
      <c r="I1121" s="6">
        <v>3</v>
      </c>
      <c r="J1121" s="6">
        <v>11295</v>
      </c>
      <c r="K1121" s="6">
        <v>9523.16</v>
      </c>
      <c r="L1121" s="6">
        <v>1771.84</v>
      </c>
      <c r="M1121" s="11">
        <f>Table13[[#This Row],[Profit]]/Table13[[#This Row],[Sales]]</f>
        <v>0.15686941124391324</v>
      </c>
      <c r="N1121" s="6" t="str">
        <f>TEXT(Table13[[#This Row],[Order Date]],"mmm")</f>
        <v>Nov</v>
      </c>
      <c r="O1121" s="6">
        <f>YEAR(Table13[[#This Row],[Order Date]])</f>
        <v>2025</v>
      </c>
    </row>
    <row r="1122" spans="1:15" x14ac:dyDescent="0.3">
      <c r="A1122" s="4" t="s">
        <v>1744</v>
      </c>
      <c r="B1122" s="5">
        <v>45882</v>
      </c>
      <c r="C1122" s="4" t="s">
        <v>737</v>
      </c>
      <c r="D1122" s="4" t="s">
        <v>127</v>
      </c>
      <c r="E1122" s="4" t="s">
        <v>54</v>
      </c>
      <c r="F1122" s="4" t="s">
        <v>142</v>
      </c>
      <c r="G1122" s="4" t="s">
        <v>35</v>
      </c>
      <c r="H1122" s="4" t="s">
        <v>45</v>
      </c>
      <c r="I1122" s="6">
        <v>5</v>
      </c>
      <c r="J1122" s="6">
        <v>23375</v>
      </c>
      <c r="K1122" s="6">
        <v>15976.25</v>
      </c>
      <c r="L1122" s="6">
        <v>7398.75</v>
      </c>
      <c r="M1122" s="11">
        <f>Table13[[#This Row],[Profit]]/Table13[[#This Row],[Sales]]</f>
        <v>0.316524064171123</v>
      </c>
      <c r="N1122" s="6" t="str">
        <f>TEXT(Table13[[#This Row],[Order Date]],"mmm")</f>
        <v>Aug</v>
      </c>
      <c r="O1122" s="6">
        <f>YEAR(Table13[[#This Row],[Order Date]])</f>
        <v>2025</v>
      </c>
    </row>
    <row r="1123" spans="1:15" x14ac:dyDescent="0.3">
      <c r="A1123" s="4" t="s">
        <v>1745</v>
      </c>
      <c r="B1123" s="5">
        <v>45970</v>
      </c>
      <c r="C1123" s="4" t="s">
        <v>834</v>
      </c>
      <c r="D1123" s="4" t="s">
        <v>673</v>
      </c>
      <c r="E1123" s="4" t="s">
        <v>54</v>
      </c>
      <c r="F1123" s="4" t="s">
        <v>71</v>
      </c>
      <c r="G1123" s="4" t="s">
        <v>35</v>
      </c>
      <c r="H1123" s="4" t="s">
        <v>45</v>
      </c>
      <c r="I1123" s="6">
        <v>9</v>
      </c>
      <c r="J1123" s="6">
        <v>18171</v>
      </c>
      <c r="K1123" s="6">
        <v>13744.16</v>
      </c>
      <c r="L1123" s="6">
        <v>4426.84</v>
      </c>
      <c r="M1123" s="11">
        <f>Table13[[#This Row],[Profit]]/Table13[[#This Row],[Sales]]</f>
        <v>0.24362115458697925</v>
      </c>
      <c r="N1123" s="6" t="str">
        <f>TEXT(Table13[[#This Row],[Order Date]],"mmm")</f>
        <v>Nov</v>
      </c>
      <c r="O1123" s="6">
        <f>YEAR(Table13[[#This Row],[Order Date]])</f>
        <v>2025</v>
      </c>
    </row>
    <row r="1124" spans="1:15" x14ac:dyDescent="0.3">
      <c r="A1124" s="4" t="s">
        <v>1746</v>
      </c>
      <c r="B1124" s="5">
        <v>45908</v>
      </c>
      <c r="C1124" s="4" t="s">
        <v>329</v>
      </c>
      <c r="D1124" s="4" t="s">
        <v>1123</v>
      </c>
      <c r="E1124" s="4" t="s">
        <v>15</v>
      </c>
      <c r="F1124" s="4" t="s">
        <v>16</v>
      </c>
      <c r="G1124" s="4" t="s">
        <v>24</v>
      </c>
      <c r="H1124" s="4" t="s">
        <v>166</v>
      </c>
      <c r="I1124" s="6">
        <v>5</v>
      </c>
      <c r="J1124" s="6">
        <v>10315</v>
      </c>
      <c r="K1124" s="6">
        <v>8636</v>
      </c>
      <c r="L1124" s="6">
        <v>1679</v>
      </c>
      <c r="M1124" s="11">
        <f>Table13[[#This Row],[Profit]]/Table13[[#This Row],[Sales]]</f>
        <v>0.16277266117304895</v>
      </c>
      <c r="N1124" s="6" t="str">
        <f>TEXT(Table13[[#This Row],[Order Date]],"mmm")</f>
        <v>Sep</v>
      </c>
      <c r="O1124" s="6">
        <f>YEAR(Table13[[#This Row],[Order Date]])</f>
        <v>2025</v>
      </c>
    </row>
    <row r="1125" spans="1:15" x14ac:dyDescent="0.3">
      <c r="A1125" s="4" t="s">
        <v>1747</v>
      </c>
      <c r="B1125" s="5">
        <v>45553</v>
      </c>
      <c r="C1125" s="4" t="s">
        <v>940</v>
      </c>
      <c r="D1125" s="4" t="s">
        <v>1029</v>
      </c>
      <c r="E1125" s="4" t="s">
        <v>54</v>
      </c>
      <c r="F1125" s="4" t="s">
        <v>55</v>
      </c>
      <c r="G1125" s="4" t="s">
        <v>24</v>
      </c>
      <c r="H1125" s="4" t="s">
        <v>166</v>
      </c>
      <c r="I1125" s="6">
        <v>10</v>
      </c>
      <c r="J1125" s="6">
        <v>37570</v>
      </c>
      <c r="K1125" s="6">
        <v>21501.61</v>
      </c>
      <c r="L1125" s="6">
        <v>16068.39</v>
      </c>
      <c r="M1125" s="11">
        <f>Table13[[#This Row],[Profit]]/Table13[[#This Row],[Sales]]</f>
        <v>0.42769204152249135</v>
      </c>
      <c r="N1125" s="6" t="str">
        <f>TEXT(Table13[[#This Row],[Order Date]],"mmm")</f>
        <v>Sep</v>
      </c>
      <c r="O1125" s="6">
        <f>YEAR(Table13[[#This Row],[Order Date]])</f>
        <v>2024</v>
      </c>
    </row>
    <row r="1126" spans="1:15" x14ac:dyDescent="0.3">
      <c r="A1126" s="4" t="s">
        <v>1748</v>
      </c>
      <c r="B1126" s="5">
        <v>46003</v>
      </c>
      <c r="C1126" s="4" t="s">
        <v>364</v>
      </c>
      <c r="D1126" s="4" t="s">
        <v>78</v>
      </c>
      <c r="E1126" s="4" t="s">
        <v>29</v>
      </c>
      <c r="F1126" s="4" t="s">
        <v>49</v>
      </c>
      <c r="G1126" s="4" t="s">
        <v>35</v>
      </c>
      <c r="H1126" s="4" t="s">
        <v>80</v>
      </c>
      <c r="I1126" s="6">
        <v>2</v>
      </c>
      <c r="J1126" s="6">
        <v>4764</v>
      </c>
      <c r="K1126" s="6">
        <v>3587.09</v>
      </c>
      <c r="L1126" s="6">
        <v>1176.9100000000001</v>
      </c>
      <c r="M1126" s="11">
        <f>Table13[[#This Row],[Profit]]/Table13[[#This Row],[Sales]]</f>
        <v>0.24704240134340891</v>
      </c>
      <c r="N1126" s="6" t="str">
        <f>TEXT(Table13[[#This Row],[Order Date]],"mmm")</f>
        <v>Dec</v>
      </c>
      <c r="O1126" s="6">
        <f>YEAR(Table13[[#This Row],[Order Date]])</f>
        <v>2025</v>
      </c>
    </row>
    <row r="1127" spans="1:15" x14ac:dyDescent="0.3">
      <c r="A1127" s="4" t="s">
        <v>1749</v>
      </c>
      <c r="B1127" s="5">
        <v>45869</v>
      </c>
      <c r="C1127" s="4" t="s">
        <v>464</v>
      </c>
      <c r="D1127" s="4" t="s">
        <v>48</v>
      </c>
      <c r="E1127" s="4" t="s">
        <v>29</v>
      </c>
      <c r="F1127" s="4" t="s">
        <v>102</v>
      </c>
      <c r="G1127" s="4" t="s">
        <v>17</v>
      </c>
      <c r="H1127" s="4" t="s">
        <v>31</v>
      </c>
      <c r="I1127" s="6">
        <v>5</v>
      </c>
      <c r="J1127" s="6">
        <v>9390</v>
      </c>
      <c r="K1127" s="6">
        <v>7177.09</v>
      </c>
      <c r="L1127" s="6">
        <v>2212.91</v>
      </c>
      <c r="M1127" s="11">
        <f>Table13[[#This Row],[Profit]]/Table13[[#This Row],[Sales]]</f>
        <v>0.23566666666666666</v>
      </c>
      <c r="N1127" s="6" t="str">
        <f>TEXT(Table13[[#This Row],[Order Date]],"mmm")</f>
        <v>Jul</v>
      </c>
      <c r="O1127" s="6">
        <f>YEAR(Table13[[#This Row],[Order Date]])</f>
        <v>2025</v>
      </c>
    </row>
    <row r="1128" spans="1:15" x14ac:dyDescent="0.3">
      <c r="A1128" s="4" t="s">
        <v>1750</v>
      </c>
      <c r="B1128" s="5">
        <v>45910</v>
      </c>
      <c r="C1128" s="4" t="s">
        <v>480</v>
      </c>
      <c r="D1128" s="4" t="s">
        <v>650</v>
      </c>
      <c r="E1128" s="4" t="s">
        <v>22</v>
      </c>
      <c r="F1128" s="4" t="s">
        <v>23</v>
      </c>
      <c r="G1128" s="4" t="s">
        <v>40</v>
      </c>
      <c r="H1128" s="4" t="s">
        <v>41</v>
      </c>
      <c r="I1128" s="6">
        <v>7</v>
      </c>
      <c r="J1128" s="6">
        <v>23828</v>
      </c>
      <c r="K1128" s="6">
        <v>13290.61</v>
      </c>
      <c r="L1128" s="6">
        <v>10537.39</v>
      </c>
      <c r="M1128" s="11">
        <f>Table13[[#This Row],[Profit]]/Table13[[#This Row],[Sales]]</f>
        <v>0.44222721168373341</v>
      </c>
      <c r="N1128" s="6" t="str">
        <f>TEXT(Table13[[#This Row],[Order Date]],"mmm")</f>
        <v>Sep</v>
      </c>
      <c r="O1128" s="6">
        <f>YEAR(Table13[[#This Row],[Order Date]])</f>
        <v>2025</v>
      </c>
    </row>
    <row r="1129" spans="1:15" x14ac:dyDescent="0.3">
      <c r="A1129" s="4" t="s">
        <v>1751</v>
      </c>
      <c r="B1129" s="5">
        <v>45629</v>
      </c>
      <c r="C1129" s="4" t="s">
        <v>890</v>
      </c>
      <c r="D1129" s="4" t="s">
        <v>459</v>
      </c>
      <c r="E1129" s="4" t="s">
        <v>54</v>
      </c>
      <c r="F1129" s="4" t="s">
        <v>142</v>
      </c>
      <c r="G1129" s="4" t="s">
        <v>35</v>
      </c>
      <c r="H1129" s="4" t="s">
        <v>45</v>
      </c>
      <c r="I1129" s="6">
        <v>2</v>
      </c>
      <c r="J1129" s="6">
        <v>9584</v>
      </c>
      <c r="K1129" s="6">
        <v>6440.78</v>
      </c>
      <c r="L1129" s="6">
        <v>3143.22</v>
      </c>
      <c r="M1129" s="11">
        <f>Table13[[#This Row],[Profit]]/Table13[[#This Row],[Sales]]</f>
        <v>0.32796535893155254</v>
      </c>
      <c r="N1129" s="6" t="str">
        <f>TEXT(Table13[[#This Row],[Order Date]],"mmm")</f>
        <v>Dec</v>
      </c>
      <c r="O1129" s="6">
        <f>YEAR(Table13[[#This Row],[Order Date]])</f>
        <v>2024</v>
      </c>
    </row>
    <row r="1130" spans="1:15" x14ac:dyDescent="0.3">
      <c r="A1130" s="4" t="s">
        <v>1752</v>
      </c>
      <c r="B1130" s="5">
        <v>45678</v>
      </c>
      <c r="C1130" s="4" t="s">
        <v>168</v>
      </c>
      <c r="D1130" s="4" t="s">
        <v>894</v>
      </c>
      <c r="E1130" s="4" t="s">
        <v>54</v>
      </c>
      <c r="F1130" s="4" t="s">
        <v>55</v>
      </c>
      <c r="G1130" s="4" t="s">
        <v>24</v>
      </c>
      <c r="H1130" s="4" t="s">
        <v>166</v>
      </c>
      <c r="I1130" s="6">
        <v>4</v>
      </c>
      <c r="J1130" s="6">
        <v>10164</v>
      </c>
      <c r="K1130" s="6">
        <v>5620.28</v>
      </c>
      <c r="L1130" s="6">
        <v>4543.72</v>
      </c>
      <c r="M1130" s="11">
        <f>Table13[[#This Row],[Profit]]/Table13[[#This Row],[Sales]]</f>
        <v>0.44704053522235343</v>
      </c>
      <c r="N1130" s="6" t="str">
        <f>TEXT(Table13[[#This Row],[Order Date]],"mmm")</f>
        <v>Jan</v>
      </c>
      <c r="O1130" s="6">
        <f>YEAR(Table13[[#This Row],[Order Date]])</f>
        <v>2025</v>
      </c>
    </row>
    <row r="1131" spans="1:15" x14ac:dyDescent="0.3">
      <c r="A1131" s="4" t="s">
        <v>1753</v>
      </c>
      <c r="B1131" s="5">
        <v>45793</v>
      </c>
      <c r="C1131" s="4" t="s">
        <v>993</v>
      </c>
      <c r="D1131" s="4" t="s">
        <v>816</v>
      </c>
      <c r="E1131" s="4" t="s">
        <v>15</v>
      </c>
      <c r="F1131" s="4" t="s">
        <v>16</v>
      </c>
      <c r="G1131" s="4" t="s">
        <v>24</v>
      </c>
      <c r="H1131" s="4" t="s">
        <v>166</v>
      </c>
      <c r="I1131" s="6">
        <v>9</v>
      </c>
      <c r="J1131" s="6">
        <v>25299</v>
      </c>
      <c r="K1131" s="6">
        <v>18383.47</v>
      </c>
      <c r="L1131" s="6">
        <v>6915.53</v>
      </c>
      <c r="M1131" s="11">
        <f>Table13[[#This Row],[Profit]]/Table13[[#This Row],[Sales]]</f>
        <v>0.27335191114273288</v>
      </c>
      <c r="N1131" s="6" t="str">
        <f>TEXT(Table13[[#This Row],[Order Date]],"mmm")</f>
        <v>May</v>
      </c>
      <c r="O1131" s="6">
        <f>YEAR(Table13[[#This Row],[Order Date]])</f>
        <v>2025</v>
      </c>
    </row>
    <row r="1132" spans="1:15" x14ac:dyDescent="0.3">
      <c r="A1132" s="4" t="s">
        <v>1754</v>
      </c>
      <c r="B1132" s="5">
        <v>45393</v>
      </c>
      <c r="C1132" s="4" t="s">
        <v>668</v>
      </c>
      <c r="D1132" s="4" t="s">
        <v>362</v>
      </c>
      <c r="E1132" s="4" t="s">
        <v>54</v>
      </c>
      <c r="F1132" s="4" t="s">
        <v>71</v>
      </c>
      <c r="G1132" s="4" t="s">
        <v>17</v>
      </c>
      <c r="H1132" s="4" t="s">
        <v>72</v>
      </c>
      <c r="I1132" s="6">
        <v>5</v>
      </c>
      <c r="J1132" s="6">
        <v>24090</v>
      </c>
      <c r="K1132" s="6">
        <v>15208.41</v>
      </c>
      <c r="L1132" s="6">
        <v>8881.59</v>
      </c>
      <c r="M1132" s="11">
        <f>Table13[[#This Row],[Profit]]/Table13[[#This Row],[Sales]]</f>
        <v>0.36868368617683689</v>
      </c>
      <c r="N1132" s="6" t="str">
        <f>TEXT(Table13[[#This Row],[Order Date]],"mmm")</f>
        <v>Apr</v>
      </c>
      <c r="O1132" s="6">
        <f>YEAR(Table13[[#This Row],[Order Date]])</f>
        <v>2024</v>
      </c>
    </row>
    <row r="1133" spans="1:15" x14ac:dyDescent="0.3">
      <c r="A1133" s="4" t="s">
        <v>1755</v>
      </c>
      <c r="B1133" s="5">
        <v>45704</v>
      </c>
      <c r="C1133" s="4" t="s">
        <v>284</v>
      </c>
      <c r="D1133" s="4" t="s">
        <v>1361</v>
      </c>
      <c r="E1133" s="4" t="s">
        <v>54</v>
      </c>
      <c r="F1133" s="4" t="s">
        <v>55</v>
      </c>
      <c r="G1133" s="4" t="s">
        <v>24</v>
      </c>
      <c r="H1133" s="4" t="s">
        <v>166</v>
      </c>
      <c r="I1133" s="6">
        <v>6</v>
      </c>
      <c r="J1133" s="6">
        <v>27930</v>
      </c>
      <c r="K1133" s="6">
        <v>19983.96</v>
      </c>
      <c r="L1133" s="6">
        <v>7946.04</v>
      </c>
      <c r="M1133" s="11">
        <f>Table13[[#This Row],[Profit]]/Table13[[#This Row],[Sales]]</f>
        <v>0.28449838882921591</v>
      </c>
      <c r="N1133" s="6" t="str">
        <f>TEXT(Table13[[#This Row],[Order Date]],"mmm")</f>
        <v>Feb</v>
      </c>
      <c r="O1133" s="6">
        <f>YEAR(Table13[[#This Row],[Order Date]])</f>
        <v>2025</v>
      </c>
    </row>
    <row r="1134" spans="1:15" x14ac:dyDescent="0.3">
      <c r="A1134" s="4" t="s">
        <v>1756</v>
      </c>
      <c r="B1134" s="5">
        <v>45438</v>
      </c>
      <c r="C1134" s="4" t="s">
        <v>705</v>
      </c>
      <c r="D1134" s="4" t="s">
        <v>442</v>
      </c>
      <c r="E1134" s="4" t="s">
        <v>54</v>
      </c>
      <c r="F1134" s="4" t="s">
        <v>142</v>
      </c>
      <c r="G1134" s="4" t="s">
        <v>17</v>
      </c>
      <c r="H1134" s="4" t="s">
        <v>31</v>
      </c>
      <c r="I1134" s="6">
        <v>9</v>
      </c>
      <c r="J1134" s="6">
        <v>14157</v>
      </c>
      <c r="K1134" s="6">
        <v>10579.09</v>
      </c>
      <c r="L1134" s="6">
        <v>3577.91</v>
      </c>
      <c r="M1134" s="11">
        <f>Table13[[#This Row],[Profit]]/Table13[[#This Row],[Sales]]</f>
        <v>0.25273080454898633</v>
      </c>
      <c r="N1134" s="6" t="str">
        <f>TEXT(Table13[[#This Row],[Order Date]],"mmm")</f>
        <v>May</v>
      </c>
      <c r="O1134" s="6">
        <f>YEAR(Table13[[#This Row],[Order Date]])</f>
        <v>2024</v>
      </c>
    </row>
    <row r="1135" spans="1:15" x14ac:dyDescent="0.3">
      <c r="A1135" s="4" t="s">
        <v>1757</v>
      </c>
      <c r="B1135" s="5">
        <v>45720</v>
      </c>
      <c r="C1135" s="4" t="s">
        <v>516</v>
      </c>
      <c r="D1135" s="4" t="s">
        <v>1497</v>
      </c>
      <c r="E1135" s="4" t="s">
        <v>54</v>
      </c>
      <c r="F1135" s="4" t="s">
        <v>142</v>
      </c>
      <c r="G1135" s="4" t="s">
        <v>17</v>
      </c>
      <c r="H1135" s="4" t="s">
        <v>18</v>
      </c>
      <c r="I1135" s="6">
        <v>6</v>
      </c>
      <c r="J1135" s="6">
        <v>14040</v>
      </c>
      <c r="K1135" s="6">
        <v>10578.64</v>
      </c>
      <c r="L1135" s="6">
        <v>3461.36</v>
      </c>
      <c r="M1135" s="11">
        <f>Table13[[#This Row],[Profit]]/Table13[[#This Row],[Sales]]</f>
        <v>0.24653561253561254</v>
      </c>
      <c r="N1135" s="6" t="str">
        <f>TEXT(Table13[[#This Row],[Order Date]],"mmm")</f>
        <v>Mar</v>
      </c>
      <c r="O1135" s="6">
        <f>YEAR(Table13[[#This Row],[Order Date]])</f>
        <v>2025</v>
      </c>
    </row>
    <row r="1136" spans="1:15" x14ac:dyDescent="0.3">
      <c r="A1136" s="4" t="s">
        <v>1758</v>
      </c>
      <c r="B1136" s="5">
        <v>45730</v>
      </c>
      <c r="C1136" s="4" t="s">
        <v>848</v>
      </c>
      <c r="D1136" s="4" t="s">
        <v>59</v>
      </c>
      <c r="E1136" s="4" t="s">
        <v>22</v>
      </c>
      <c r="F1136" s="4" t="s">
        <v>67</v>
      </c>
      <c r="G1136" s="4" t="s">
        <v>35</v>
      </c>
      <c r="H1136" s="4" t="s">
        <v>80</v>
      </c>
      <c r="I1136" s="6">
        <v>9</v>
      </c>
      <c r="J1136" s="6">
        <v>23841</v>
      </c>
      <c r="K1136" s="6">
        <v>15085.32</v>
      </c>
      <c r="L1136" s="6">
        <v>8755.68</v>
      </c>
      <c r="M1136" s="11">
        <f>Table13[[#This Row],[Profit]]/Table13[[#This Row],[Sales]]</f>
        <v>0.36725305146596199</v>
      </c>
      <c r="N1136" s="6" t="str">
        <f>TEXT(Table13[[#This Row],[Order Date]],"mmm")</f>
        <v>Mar</v>
      </c>
      <c r="O1136" s="6">
        <f>YEAR(Table13[[#This Row],[Order Date]])</f>
        <v>2025</v>
      </c>
    </row>
    <row r="1137" spans="1:15" x14ac:dyDescent="0.3">
      <c r="A1137" s="4" t="s">
        <v>1759</v>
      </c>
      <c r="B1137" s="5">
        <v>45384</v>
      </c>
      <c r="C1137" s="4" t="s">
        <v>461</v>
      </c>
      <c r="D1137" s="4" t="s">
        <v>650</v>
      </c>
      <c r="E1137" s="4" t="s">
        <v>54</v>
      </c>
      <c r="F1137" s="4" t="s">
        <v>71</v>
      </c>
      <c r="G1137" s="4" t="s">
        <v>24</v>
      </c>
      <c r="H1137" s="4" t="s">
        <v>50</v>
      </c>
      <c r="I1137" s="6">
        <v>5</v>
      </c>
      <c r="J1137" s="6">
        <v>18150</v>
      </c>
      <c r="K1137" s="6">
        <v>14178.3</v>
      </c>
      <c r="L1137" s="6">
        <v>3971.7</v>
      </c>
      <c r="M1137" s="11">
        <f>Table13[[#This Row],[Profit]]/Table13[[#This Row],[Sales]]</f>
        <v>0.21882644628099174</v>
      </c>
      <c r="N1137" s="6" t="str">
        <f>TEXT(Table13[[#This Row],[Order Date]],"mmm")</f>
        <v>Apr</v>
      </c>
      <c r="O1137" s="6">
        <f>YEAR(Table13[[#This Row],[Order Date]])</f>
        <v>2024</v>
      </c>
    </row>
    <row r="1138" spans="1:15" x14ac:dyDescent="0.3">
      <c r="A1138" s="4" t="s">
        <v>1760</v>
      </c>
      <c r="B1138" s="5">
        <v>45584</v>
      </c>
      <c r="C1138" s="4" t="s">
        <v>474</v>
      </c>
      <c r="D1138" s="4" t="s">
        <v>70</v>
      </c>
      <c r="E1138" s="4" t="s">
        <v>29</v>
      </c>
      <c r="F1138" s="4" t="s">
        <v>102</v>
      </c>
      <c r="G1138" s="4" t="s">
        <v>24</v>
      </c>
      <c r="H1138" s="4" t="s">
        <v>166</v>
      </c>
      <c r="I1138" s="6">
        <v>10</v>
      </c>
      <c r="J1138" s="6">
        <v>7700</v>
      </c>
      <c r="K1138" s="6">
        <v>4430.3900000000003</v>
      </c>
      <c r="L1138" s="6">
        <v>3269.61</v>
      </c>
      <c r="M1138" s="11">
        <f>Table13[[#This Row],[Profit]]/Table13[[#This Row],[Sales]]</f>
        <v>0.42462467532467535</v>
      </c>
      <c r="N1138" s="6" t="str">
        <f>TEXT(Table13[[#This Row],[Order Date]],"mmm")</f>
        <v>Oct</v>
      </c>
      <c r="O1138" s="6">
        <f>YEAR(Table13[[#This Row],[Order Date]])</f>
        <v>2024</v>
      </c>
    </row>
    <row r="1139" spans="1:15" x14ac:dyDescent="0.3">
      <c r="A1139" s="4" t="s">
        <v>1761</v>
      </c>
      <c r="B1139" s="5">
        <v>45819</v>
      </c>
      <c r="C1139" s="4" t="s">
        <v>92</v>
      </c>
      <c r="D1139" s="4" t="s">
        <v>39</v>
      </c>
      <c r="E1139" s="4" t="s">
        <v>15</v>
      </c>
      <c r="F1139" s="4" t="s">
        <v>63</v>
      </c>
      <c r="G1139" s="4" t="s">
        <v>17</v>
      </c>
      <c r="H1139" s="4" t="s">
        <v>31</v>
      </c>
      <c r="I1139" s="6">
        <v>9</v>
      </c>
      <c r="J1139" s="6">
        <v>12753</v>
      </c>
      <c r="K1139" s="6">
        <v>8849.27</v>
      </c>
      <c r="L1139" s="6">
        <v>3903.73</v>
      </c>
      <c r="M1139" s="11">
        <f>Table13[[#This Row],[Profit]]/Table13[[#This Row],[Sales]]</f>
        <v>0.30610287775425388</v>
      </c>
      <c r="N1139" s="6" t="str">
        <f>TEXT(Table13[[#This Row],[Order Date]],"mmm")</f>
        <v>Jun</v>
      </c>
      <c r="O1139" s="6">
        <f>YEAR(Table13[[#This Row],[Order Date]])</f>
        <v>2025</v>
      </c>
    </row>
    <row r="1140" spans="1:15" x14ac:dyDescent="0.3">
      <c r="A1140" s="4" t="s">
        <v>1762</v>
      </c>
      <c r="B1140" s="5">
        <v>46011</v>
      </c>
      <c r="C1140" s="4" t="s">
        <v>52</v>
      </c>
      <c r="D1140" s="4" t="s">
        <v>177</v>
      </c>
      <c r="E1140" s="4" t="s">
        <v>22</v>
      </c>
      <c r="F1140" s="4" t="s">
        <v>23</v>
      </c>
      <c r="G1140" s="4" t="s">
        <v>17</v>
      </c>
      <c r="H1140" s="4" t="s">
        <v>72</v>
      </c>
      <c r="I1140" s="6">
        <v>4</v>
      </c>
      <c r="J1140" s="6">
        <v>1436</v>
      </c>
      <c r="K1140" s="6">
        <v>1097.46</v>
      </c>
      <c r="L1140" s="6">
        <v>338.54</v>
      </c>
      <c r="M1140" s="11">
        <f>Table13[[#This Row],[Profit]]/Table13[[#This Row],[Sales]]</f>
        <v>0.23575208913649026</v>
      </c>
      <c r="N1140" s="6" t="str">
        <f>TEXT(Table13[[#This Row],[Order Date]],"mmm")</f>
        <v>Dec</v>
      </c>
      <c r="O1140" s="6">
        <f>YEAR(Table13[[#This Row],[Order Date]])</f>
        <v>2025</v>
      </c>
    </row>
    <row r="1141" spans="1:15" x14ac:dyDescent="0.3">
      <c r="A1141" s="4" t="s">
        <v>1763</v>
      </c>
      <c r="B1141" s="5">
        <v>45464</v>
      </c>
      <c r="C1141" s="4" t="s">
        <v>1266</v>
      </c>
      <c r="D1141" s="4" t="s">
        <v>621</v>
      </c>
      <c r="E1141" s="4" t="s">
        <v>29</v>
      </c>
      <c r="F1141" s="4" t="s">
        <v>30</v>
      </c>
      <c r="G1141" s="4" t="s">
        <v>17</v>
      </c>
      <c r="H1141" s="4" t="s">
        <v>31</v>
      </c>
      <c r="I1141" s="6">
        <v>9</v>
      </c>
      <c r="J1141" s="6">
        <v>5814</v>
      </c>
      <c r="K1141" s="6">
        <v>4257.08</v>
      </c>
      <c r="L1141" s="6">
        <v>1556.92</v>
      </c>
      <c r="M1141" s="11">
        <f>Table13[[#This Row],[Profit]]/Table13[[#This Row],[Sales]]</f>
        <v>0.26778809769521844</v>
      </c>
      <c r="N1141" s="6" t="str">
        <f>TEXT(Table13[[#This Row],[Order Date]],"mmm")</f>
        <v>Jun</v>
      </c>
      <c r="O1141" s="6">
        <f>YEAR(Table13[[#This Row],[Order Date]])</f>
        <v>2024</v>
      </c>
    </row>
    <row r="1142" spans="1:15" x14ac:dyDescent="0.3">
      <c r="A1142" s="4" t="s">
        <v>1764</v>
      </c>
      <c r="B1142" s="5">
        <v>45344</v>
      </c>
      <c r="C1142" s="4" t="s">
        <v>95</v>
      </c>
      <c r="D1142" s="4" t="s">
        <v>775</v>
      </c>
      <c r="E1142" s="4" t="s">
        <v>29</v>
      </c>
      <c r="F1142" s="4" t="s">
        <v>102</v>
      </c>
      <c r="G1142" s="4" t="s">
        <v>40</v>
      </c>
      <c r="H1142" s="4" t="s">
        <v>41</v>
      </c>
      <c r="I1142" s="6">
        <v>3</v>
      </c>
      <c r="J1142" s="6">
        <v>13524</v>
      </c>
      <c r="K1142" s="6">
        <v>8871.57</v>
      </c>
      <c r="L1142" s="6">
        <v>4652.43</v>
      </c>
      <c r="M1142" s="11">
        <f>Table13[[#This Row],[Profit]]/Table13[[#This Row],[Sales]]</f>
        <v>0.34401286601597164</v>
      </c>
      <c r="N1142" s="6" t="str">
        <f>TEXT(Table13[[#This Row],[Order Date]],"mmm")</f>
        <v>Feb</v>
      </c>
      <c r="O1142" s="6">
        <f>YEAR(Table13[[#This Row],[Order Date]])</f>
        <v>2024</v>
      </c>
    </row>
    <row r="1143" spans="1:15" x14ac:dyDescent="0.3">
      <c r="A1143" s="4" t="s">
        <v>1765</v>
      </c>
      <c r="B1143" s="5">
        <v>45547</v>
      </c>
      <c r="C1143" s="4" t="s">
        <v>214</v>
      </c>
      <c r="D1143" s="4" t="s">
        <v>973</v>
      </c>
      <c r="E1143" s="4" t="s">
        <v>22</v>
      </c>
      <c r="F1143" s="4" t="s">
        <v>23</v>
      </c>
      <c r="G1143" s="4" t="s">
        <v>40</v>
      </c>
      <c r="H1143" s="4" t="s">
        <v>41</v>
      </c>
      <c r="I1143" s="6">
        <v>2</v>
      </c>
      <c r="J1143" s="6">
        <v>6136</v>
      </c>
      <c r="K1143" s="6">
        <v>5057.37</v>
      </c>
      <c r="L1143" s="6">
        <v>1078.6300000000001</v>
      </c>
      <c r="M1143" s="11">
        <f>Table13[[#This Row],[Profit]]/Table13[[#This Row],[Sales]]</f>
        <v>0.17578715775749676</v>
      </c>
      <c r="N1143" s="6" t="str">
        <f>TEXT(Table13[[#This Row],[Order Date]],"mmm")</f>
        <v>Sep</v>
      </c>
      <c r="O1143" s="6">
        <f>YEAR(Table13[[#This Row],[Order Date]])</f>
        <v>2024</v>
      </c>
    </row>
    <row r="1144" spans="1:15" x14ac:dyDescent="0.3">
      <c r="A1144" s="4" t="s">
        <v>1766</v>
      </c>
      <c r="B1144" s="5">
        <v>45938</v>
      </c>
      <c r="C1144" s="4" t="s">
        <v>257</v>
      </c>
      <c r="D1144" s="4" t="s">
        <v>1226</v>
      </c>
      <c r="E1144" s="4" t="s">
        <v>54</v>
      </c>
      <c r="F1144" s="4" t="s">
        <v>55</v>
      </c>
      <c r="G1144" s="4" t="s">
        <v>35</v>
      </c>
      <c r="H1144" s="4" t="s">
        <v>80</v>
      </c>
      <c r="I1144" s="6">
        <v>5</v>
      </c>
      <c r="J1144" s="6">
        <v>12340</v>
      </c>
      <c r="K1144" s="6">
        <v>7575.77</v>
      </c>
      <c r="L1144" s="6">
        <v>4764.2299999999996</v>
      </c>
      <c r="M1144" s="11">
        <f>Table13[[#This Row],[Profit]]/Table13[[#This Row],[Sales]]</f>
        <v>0.38608022690437599</v>
      </c>
      <c r="N1144" s="6" t="str">
        <f>TEXT(Table13[[#This Row],[Order Date]],"mmm")</f>
        <v>Oct</v>
      </c>
      <c r="O1144" s="6">
        <f>YEAR(Table13[[#This Row],[Order Date]])</f>
        <v>2025</v>
      </c>
    </row>
    <row r="1145" spans="1:15" x14ac:dyDescent="0.3">
      <c r="A1145" s="4" t="s">
        <v>1767</v>
      </c>
      <c r="B1145" s="5">
        <v>45924</v>
      </c>
      <c r="C1145" s="4" t="s">
        <v>1120</v>
      </c>
      <c r="D1145" s="4" t="s">
        <v>130</v>
      </c>
      <c r="E1145" s="4" t="s">
        <v>29</v>
      </c>
      <c r="F1145" s="4" t="s">
        <v>49</v>
      </c>
      <c r="G1145" s="4" t="s">
        <v>17</v>
      </c>
      <c r="H1145" s="4" t="s">
        <v>31</v>
      </c>
      <c r="I1145" s="6">
        <v>9</v>
      </c>
      <c r="J1145" s="6">
        <v>5310</v>
      </c>
      <c r="K1145" s="6">
        <v>4410.62</v>
      </c>
      <c r="L1145" s="6">
        <v>899.38</v>
      </c>
      <c r="M1145" s="11">
        <f>Table13[[#This Row],[Profit]]/Table13[[#This Row],[Sales]]</f>
        <v>0.16937476459510359</v>
      </c>
      <c r="N1145" s="6" t="str">
        <f>TEXT(Table13[[#This Row],[Order Date]],"mmm")</f>
        <v>Sep</v>
      </c>
      <c r="O1145" s="6">
        <f>YEAR(Table13[[#This Row],[Order Date]])</f>
        <v>2025</v>
      </c>
    </row>
    <row r="1146" spans="1:15" x14ac:dyDescent="0.3">
      <c r="A1146" s="4" t="s">
        <v>1768</v>
      </c>
      <c r="B1146" s="5">
        <v>45401</v>
      </c>
      <c r="C1146" s="4" t="s">
        <v>955</v>
      </c>
      <c r="D1146" s="4" t="s">
        <v>488</v>
      </c>
      <c r="E1146" s="4" t="s">
        <v>54</v>
      </c>
      <c r="F1146" s="4" t="s">
        <v>142</v>
      </c>
      <c r="G1146" s="4" t="s">
        <v>17</v>
      </c>
      <c r="H1146" s="4" t="s">
        <v>72</v>
      </c>
      <c r="I1146" s="6">
        <v>8</v>
      </c>
      <c r="J1146" s="6">
        <v>23928</v>
      </c>
      <c r="K1146" s="6">
        <v>15302.08</v>
      </c>
      <c r="L1146" s="6">
        <v>8625.92</v>
      </c>
      <c r="M1146" s="11">
        <f>Table13[[#This Row],[Profit]]/Table13[[#This Row],[Sales]]</f>
        <v>0.3604948177866934</v>
      </c>
      <c r="N1146" s="6" t="str">
        <f>TEXT(Table13[[#This Row],[Order Date]],"mmm")</f>
        <v>Apr</v>
      </c>
      <c r="O1146" s="6">
        <f>YEAR(Table13[[#This Row],[Order Date]])</f>
        <v>2024</v>
      </c>
    </row>
    <row r="1147" spans="1:15" x14ac:dyDescent="0.3">
      <c r="A1147" s="4" t="s">
        <v>1769</v>
      </c>
      <c r="B1147" s="5">
        <v>45494</v>
      </c>
      <c r="C1147" s="4" t="s">
        <v>263</v>
      </c>
      <c r="D1147" s="4" t="s">
        <v>816</v>
      </c>
      <c r="E1147" s="4" t="s">
        <v>29</v>
      </c>
      <c r="F1147" s="4" t="s">
        <v>49</v>
      </c>
      <c r="G1147" s="4" t="s">
        <v>40</v>
      </c>
      <c r="H1147" s="4" t="s">
        <v>41</v>
      </c>
      <c r="I1147" s="6">
        <v>1</v>
      </c>
      <c r="J1147" s="6">
        <v>1130</v>
      </c>
      <c r="K1147" s="6">
        <v>767.54</v>
      </c>
      <c r="L1147" s="6">
        <v>362.46</v>
      </c>
      <c r="M1147" s="11">
        <f>Table13[[#This Row],[Profit]]/Table13[[#This Row],[Sales]]</f>
        <v>0.32076106194690263</v>
      </c>
      <c r="N1147" s="6" t="str">
        <f>TEXT(Table13[[#This Row],[Order Date]],"mmm")</f>
        <v>Jul</v>
      </c>
      <c r="O1147" s="6">
        <f>YEAR(Table13[[#This Row],[Order Date]])</f>
        <v>2024</v>
      </c>
    </row>
    <row r="1148" spans="1:15" x14ac:dyDescent="0.3">
      <c r="A1148" s="4" t="s">
        <v>1770</v>
      </c>
      <c r="B1148" s="5">
        <v>45964</v>
      </c>
      <c r="C1148" s="4" t="s">
        <v>368</v>
      </c>
      <c r="D1148" s="4" t="s">
        <v>621</v>
      </c>
      <c r="E1148" s="4" t="s">
        <v>29</v>
      </c>
      <c r="F1148" s="4" t="s">
        <v>49</v>
      </c>
      <c r="G1148" s="4" t="s">
        <v>24</v>
      </c>
      <c r="H1148" s="4" t="s">
        <v>50</v>
      </c>
      <c r="I1148" s="6">
        <v>8</v>
      </c>
      <c r="J1148" s="6">
        <v>2848</v>
      </c>
      <c r="K1148" s="6">
        <v>1699.37</v>
      </c>
      <c r="L1148" s="6">
        <v>1148.6300000000001</v>
      </c>
      <c r="M1148" s="11">
        <f>Table13[[#This Row],[Profit]]/Table13[[#This Row],[Sales]]</f>
        <v>0.403311095505618</v>
      </c>
      <c r="N1148" s="6" t="str">
        <f>TEXT(Table13[[#This Row],[Order Date]],"mmm")</f>
        <v>Nov</v>
      </c>
      <c r="O1148" s="6">
        <f>YEAR(Table13[[#This Row],[Order Date]])</f>
        <v>2025</v>
      </c>
    </row>
    <row r="1149" spans="1:15" x14ac:dyDescent="0.3">
      <c r="A1149" s="4" t="s">
        <v>1771</v>
      </c>
      <c r="B1149" s="5">
        <v>45478</v>
      </c>
      <c r="C1149" s="4" t="s">
        <v>38</v>
      </c>
      <c r="D1149" s="4" t="s">
        <v>255</v>
      </c>
      <c r="E1149" s="4" t="s">
        <v>22</v>
      </c>
      <c r="F1149" s="4" t="s">
        <v>67</v>
      </c>
      <c r="G1149" s="4" t="s">
        <v>40</v>
      </c>
      <c r="H1149" s="4" t="s">
        <v>41</v>
      </c>
      <c r="I1149" s="6">
        <v>5</v>
      </c>
      <c r="J1149" s="6">
        <v>16425</v>
      </c>
      <c r="K1149" s="6">
        <v>11144.4</v>
      </c>
      <c r="L1149" s="6">
        <v>5280.6</v>
      </c>
      <c r="M1149" s="11">
        <f>Table13[[#This Row],[Profit]]/Table13[[#This Row],[Sales]]</f>
        <v>0.32149771689497719</v>
      </c>
      <c r="N1149" s="6" t="str">
        <f>TEXT(Table13[[#This Row],[Order Date]],"mmm")</f>
        <v>Jul</v>
      </c>
      <c r="O1149" s="6">
        <f>YEAR(Table13[[#This Row],[Order Date]])</f>
        <v>2024</v>
      </c>
    </row>
    <row r="1150" spans="1:15" x14ac:dyDescent="0.3">
      <c r="A1150" s="4" t="s">
        <v>1772</v>
      </c>
      <c r="B1150" s="5">
        <v>45736</v>
      </c>
      <c r="C1150" s="4" t="s">
        <v>955</v>
      </c>
      <c r="D1150" s="4" t="s">
        <v>359</v>
      </c>
      <c r="E1150" s="4" t="s">
        <v>15</v>
      </c>
      <c r="F1150" s="4" t="s">
        <v>63</v>
      </c>
      <c r="G1150" s="4" t="s">
        <v>17</v>
      </c>
      <c r="H1150" s="4" t="s">
        <v>31</v>
      </c>
      <c r="I1150" s="6">
        <v>8</v>
      </c>
      <c r="J1150" s="6">
        <v>13000</v>
      </c>
      <c r="K1150" s="6">
        <v>7695.51</v>
      </c>
      <c r="L1150" s="6">
        <v>5304.49</v>
      </c>
      <c r="M1150" s="11">
        <f>Table13[[#This Row],[Profit]]/Table13[[#This Row],[Sales]]</f>
        <v>0.40803769230769227</v>
      </c>
      <c r="N1150" s="6" t="str">
        <f>TEXT(Table13[[#This Row],[Order Date]],"mmm")</f>
        <v>Mar</v>
      </c>
      <c r="O1150" s="6">
        <f>YEAR(Table13[[#This Row],[Order Date]])</f>
        <v>2025</v>
      </c>
    </row>
    <row r="1151" spans="1:15" x14ac:dyDescent="0.3">
      <c r="A1151" s="4" t="s">
        <v>1773</v>
      </c>
      <c r="B1151" s="5">
        <v>45723</v>
      </c>
      <c r="C1151" s="4" t="s">
        <v>104</v>
      </c>
      <c r="D1151" s="4" t="s">
        <v>1110</v>
      </c>
      <c r="E1151" s="4" t="s">
        <v>29</v>
      </c>
      <c r="F1151" s="4" t="s">
        <v>102</v>
      </c>
      <c r="G1151" s="4" t="s">
        <v>40</v>
      </c>
      <c r="H1151" s="4" t="s">
        <v>56</v>
      </c>
      <c r="I1151" s="6">
        <v>5</v>
      </c>
      <c r="J1151" s="6">
        <v>3145</v>
      </c>
      <c r="K1151" s="6">
        <v>1855.88</v>
      </c>
      <c r="L1151" s="6">
        <v>1289.1199999999999</v>
      </c>
      <c r="M1151" s="11">
        <f>Table13[[#This Row],[Profit]]/Table13[[#This Row],[Sales]]</f>
        <v>0.40989507154213034</v>
      </c>
      <c r="N1151" s="6" t="str">
        <f>TEXT(Table13[[#This Row],[Order Date]],"mmm")</f>
        <v>Mar</v>
      </c>
      <c r="O1151" s="6">
        <f>YEAR(Table13[[#This Row],[Order Date]])</f>
        <v>2025</v>
      </c>
    </row>
    <row r="1152" spans="1:15" x14ac:dyDescent="0.3">
      <c r="A1152" s="4" t="s">
        <v>1774</v>
      </c>
      <c r="B1152" s="5">
        <v>45792</v>
      </c>
      <c r="C1152" s="4" t="s">
        <v>318</v>
      </c>
      <c r="D1152" s="4" t="s">
        <v>775</v>
      </c>
      <c r="E1152" s="4" t="s">
        <v>29</v>
      </c>
      <c r="F1152" s="4" t="s">
        <v>30</v>
      </c>
      <c r="G1152" s="4" t="s">
        <v>40</v>
      </c>
      <c r="H1152" s="4" t="s">
        <v>56</v>
      </c>
      <c r="I1152" s="6">
        <v>8</v>
      </c>
      <c r="J1152" s="6">
        <v>19816</v>
      </c>
      <c r="K1152" s="6">
        <v>11605</v>
      </c>
      <c r="L1152" s="6">
        <v>8211</v>
      </c>
      <c r="M1152" s="11">
        <f>Table13[[#This Row],[Profit]]/Table13[[#This Row],[Sales]]</f>
        <v>0.41436213161081953</v>
      </c>
      <c r="N1152" s="6" t="str">
        <f>TEXT(Table13[[#This Row],[Order Date]],"mmm")</f>
        <v>May</v>
      </c>
      <c r="O1152" s="6">
        <f>YEAR(Table13[[#This Row],[Order Date]])</f>
        <v>2025</v>
      </c>
    </row>
    <row r="1153" spans="1:15" x14ac:dyDescent="0.3">
      <c r="A1153" s="4" t="s">
        <v>1775</v>
      </c>
      <c r="B1153" s="5">
        <v>45402</v>
      </c>
      <c r="C1153" s="4" t="s">
        <v>1739</v>
      </c>
      <c r="D1153" s="4" t="s">
        <v>93</v>
      </c>
      <c r="E1153" s="4" t="s">
        <v>29</v>
      </c>
      <c r="F1153" s="4" t="s">
        <v>49</v>
      </c>
      <c r="G1153" s="4" t="s">
        <v>35</v>
      </c>
      <c r="H1153" s="4" t="s">
        <v>36</v>
      </c>
      <c r="I1153" s="6">
        <v>9</v>
      </c>
      <c r="J1153" s="6">
        <v>31365</v>
      </c>
      <c r="K1153" s="6">
        <v>18487.32</v>
      </c>
      <c r="L1153" s="6">
        <v>12877.68</v>
      </c>
      <c r="M1153" s="11">
        <f>Table13[[#This Row],[Profit]]/Table13[[#This Row],[Sales]]</f>
        <v>0.41057484457197513</v>
      </c>
      <c r="N1153" s="6" t="str">
        <f>TEXT(Table13[[#This Row],[Order Date]],"mmm")</f>
        <v>Apr</v>
      </c>
      <c r="O1153" s="6">
        <f>YEAR(Table13[[#This Row],[Order Date]])</f>
        <v>2024</v>
      </c>
    </row>
    <row r="1154" spans="1:15" x14ac:dyDescent="0.3">
      <c r="A1154" s="4" t="s">
        <v>1776</v>
      </c>
      <c r="B1154" s="5">
        <v>45642</v>
      </c>
      <c r="C1154" s="4" t="s">
        <v>1669</v>
      </c>
      <c r="D1154" s="4" t="s">
        <v>629</v>
      </c>
      <c r="E1154" s="4" t="s">
        <v>29</v>
      </c>
      <c r="F1154" s="4" t="s">
        <v>49</v>
      </c>
      <c r="G1154" s="4" t="s">
        <v>35</v>
      </c>
      <c r="H1154" s="4" t="s">
        <v>45</v>
      </c>
      <c r="I1154" s="6">
        <v>1</v>
      </c>
      <c r="J1154" s="6">
        <v>2237</v>
      </c>
      <c r="K1154" s="6">
        <v>1265.27</v>
      </c>
      <c r="L1154" s="6">
        <v>971.73</v>
      </c>
      <c r="M1154" s="11">
        <f>Table13[[#This Row],[Profit]]/Table13[[#This Row],[Sales]]</f>
        <v>0.43438980777827446</v>
      </c>
      <c r="N1154" s="6" t="str">
        <f>TEXT(Table13[[#This Row],[Order Date]],"mmm")</f>
        <v>Dec</v>
      </c>
      <c r="O1154" s="6">
        <f>YEAR(Table13[[#This Row],[Order Date]])</f>
        <v>2024</v>
      </c>
    </row>
    <row r="1155" spans="1:15" x14ac:dyDescent="0.3">
      <c r="A1155" s="4" t="s">
        <v>1777</v>
      </c>
      <c r="B1155" s="5">
        <v>45731</v>
      </c>
      <c r="C1155" s="4" t="s">
        <v>480</v>
      </c>
      <c r="D1155" s="4" t="s">
        <v>645</v>
      </c>
      <c r="E1155" s="4" t="s">
        <v>22</v>
      </c>
      <c r="F1155" s="4" t="s">
        <v>67</v>
      </c>
      <c r="G1155" s="4" t="s">
        <v>40</v>
      </c>
      <c r="H1155" s="4" t="s">
        <v>99</v>
      </c>
      <c r="I1155" s="6">
        <v>5</v>
      </c>
      <c r="J1155" s="6">
        <v>21400</v>
      </c>
      <c r="K1155" s="6">
        <v>12300.39</v>
      </c>
      <c r="L1155" s="6">
        <v>9099.61</v>
      </c>
      <c r="M1155" s="11">
        <f>Table13[[#This Row],[Profit]]/Table13[[#This Row],[Sales]]</f>
        <v>0.42521542056074768</v>
      </c>
      <c r="N1155" s="6" t="str">
        <f>TEXT(Table13[[#This Row],[Order Date]],"mmm")</f>
        <v>Mar</v>
      </c>
      <c r="O1155" s="6">
        <f>YEAR(Table13[[#This Row],[Order Date]])</f>
        <v>2025</v>
      </c>
    </row>
    <row r="1156" spans="1:15" x14ac:dyDescent="0.3">
      <c r="A1156" s="4" t="s">
        <v>1778</v>
      </c>
      <c r="B1156" s="5">
        <v>45545</v>
      </c>
      <c r="C1156" s="4" t="s">
        <v>1669</v>
      </c>
      <c r="D1156" s="4" t="s">
        <v>243</v>
      </c>
      <c r="E1156" s="4" t="s">
        <v>29</v>
      </c>
      <c r="F1156" s="4" t="s">
        <v>102</v>
      </c>
      <c r="G1156" s="4" t="s">
        <v>40</v>
      </c>
      <c r="H1156" s="4" t="s">
        <v>99</v>
      </c>
      <c r="I1156" s="6">
        <v>2</v>
      </c>
      <c r="J1156" s="6">
        <v>4916</v>
      </c>
      <c r="K1156" s="6">
        <v>4170.13</v>
      </c>
      <c r="L1156" s="6">
        <v>745.87</v>
      </c>
      <c r="M1156" s="11">
        <f>Table13[[#This Row],[Profit]]/Table13[[#This Row],[Sales]]</f>
        <v>0.15172294548413345</v>
      </c>
      <c r="N1156" s="6" t="str">
        <f>TEXT(Table13[[#This Row],[Order Date]],"mmm")</f>
        <v>Sep</v>
      </c>
      <c r="O1156" s="6">
        <f>YEAR(Table13[[#This Row],[Order Date]])</f>
        <v>2024</v>
      </c>
    </row>
    <row r="1157" spans="1:15" x14ac:dyDescent="0.3">
      <c r="A1157" s="4" t="s">
        <v>1779</v>
      </c>
      <c r="B1157" s="5">
        <v>45897</v>
      </c>
      <c r="C1157" s="4" t="s">
        <v>157</v>
      </c>
      <c r="D1157" s="4" t="s">
        <v>59</v>
      </c>
      <c r="E1157" s="4" t="s">
        <v>22</v>
      </c>
      <c r="F1157" s="4" t="s">
        <v>79</v>
      </c>
      <c r="G1157" s="4" t="s">
        <v>24</v>
      </c>
      <c r="H1157" s="4" t="s">
        <v>50</v>
      </c>
      <c r="I1157" s="6">
        <v>9</v>
      </c>
      <c r="J1157" s="6">
        <v>16056</v>
      </c>
      <c r="K1157" s="6">
        <v>9739.58</v>
      </c>
      <c r="L1157" s="6">
        <v>6316.42</v>
      </c>
      <c r="M1157" s="11">
        <f>Table13[[#This Row],[Profit]]/Table13[[#This Row],[Sales]]</f>
        <v>0.39339935226706529</v>
      </c>
      <c r="N1157" s="6" t="str">
        <f>TEXT(Table13[[#This Row],[Order Date]],"mmm")</f>
        <v>Aug</v>
      </c>
      <c r="O1157" s="6">
        <f>YEAR(Table13[[#This Row],[Order Date]])</f>
        <v>2025</v>
      </c>
    </row>
    <row r="1158" spans="1:15" x14ac:dyDescent="0.3">
      <c r="A1158" s="4" t="s">
        <v>1780</v>
      </c>
      <c r="B1158" s="5">
        <v>45441</v>
      </c>
      <c r="C1158" s="4" t="s">
        <v>1082</v>
      </c>
      <c r="D1158" s="4" t="s">
        <v>453</v>
      </c>
      <c r="E1158" s="4" t="s">
        <v>15</v>
      </c>
      <c r="F1158" s="4" t="s">
        <v>16</v>
      </c>
      <c r="G1158" s="4" t="s">
        <v>35</v>
      </c>
      <c r="H1158" s="4" t="s">
        <v>36</v>
      </c>
      <c r="I1158" s="6">
        <v>1</v>
      </c>
      <c r="J1158" s="6">
        <v>2543</v>
      </c>
      <c r="K1158" s="6">
        <v>2154.23</v>
      </c>
      <c r="L1158" s="6">
        <v>388.77</v>
      </c>
      <c r="M1158" s="11">
        <f>Table13[[#This Row],[Profit]]/Table13[[#This Row],[Sales]]</f>
        <v>0.15287848997247344</v>
      </c>
      <c r="N1158" s="6" t="str">
        <f>TEXT(Table13[[#This Row],[Order Date]],"mmm")</f>
        <v>May</v>
      </c>
      <c r="O1158" s="6">
        <f>YEAR(Table13[[#This Row],[Order Date]])</f>
        <v>2024</v>
      </c>
    </row>
    <row r="1159" spans="1:15" x14ac:dyDescent="0.3">
      <c r="A1159" s="4" t="s">
        <v>1781</v>
      </c>
      <c r="B1159" s="5">
        <v>46008</v>
      </c>
      <c r="C1159" s="4" t="s">
        <v>1220</v>
      </c>
      <c r="D1159" s="4" t="s">
        <v>749</v>
      </c>
      <c r="E1159" s="4" t="s">
        <v>29</v>
      </c>
      <c r="F1159" s="4" t="s">
        <v>102</v>
      </c>
      <c r="G1159" s="4" t="s">
        <v>24</v>
      </c>
      <c r="H1159" s="4" t="s">
        <v>25</v>
      </c>
      <c r="I1159" s="6">
        <v>7</v>
      </c>
      <c r="J1159" s="6">
        <v>25452</v>
      </c>
      <c r="K1159" s="6">
        <v>18007.07</v>
      </c>
      <c r="L1159" s="6">
        <v>7444.93</v>
      </c>
      <c r="M1159" s="11">
        <f>Table13[[#This Row],[Profit]]/Table13[[#This Row],[Sales]]</f>
        <v>0.29250864372151503</v>
      </c>
      <c r="N1159" s="6" t="str">
        <f>TEXT(Table13[[#This Row],[Order Date]],"mmm")</f>
        <v>Dec</v>
      </c>
      <c r="O1159" s="6">
        <f>YEAR(Table13[[#This Row],[Order Date]])</f>
        <v>2025</v>
      </c>
    </row>
    <row r="1160" spans="1:15" x14ac:dyDescent="0.3">
      <c r="A1160" s="4" t="s">
        <v>1782</v>
      </c>
      <c r="B1160" s="5">
        <v>45344</v>
      </c>
      <c r="C1160" s="4" t="s">
        <v>287</v>
      </c>
      <c r="D1160" s="4" t="s">
        <v>602</v>
      </c>
      <c r="E1160" s="4" t="s">
        <v>54</v>
      </c>
      <c r="F1160" s="4" t="s">
        <v>55</v>
      </c>
      <c r="G1160" s="4" t="s">
        <v>35</v>
      </c>
      <c r="H1160" s="4" t="s">
        <v>80</v>
      </c>
      <c r="I1160" s="6">
        <v>1</v>
      </c>
      <c r="J1160" s="6">
        <v>4476</v>
      </c>
      <c r="K1160" s="6">
        <v>3035.27</v>
      </c>
      <c r="L1160" s="6">
        <v>1440.73</v>
      </c>
      <c r="M1160" s="11">
        <f>Table13[[#This Row],[Profit]]/Table13[[#This Row],[Sales]]</f>
        <v>0.32187890974084005</v>
      </c>
      <c r="N1160" s="6" t="str">
        <f>TEXT(Table13[[#This Row],[Order Date]],"mmm")</f>
        <v>Feb</v>
      </c>
      <c r="O1160" s="6">
        <f>YEAR(Table13[[#This Row],[Order Date]])</f>
        <v>2024</v>
      </c>
    </row>
    <row r="1161" spans="1:15" x14ac:dyDescent="0.3">
      <c r="A1161" s="4" t="s">
        <v>1783</v>
      </c>
      <c r="B1161" s="5">
        <v>45340</v>
      </c>
      <c r="C1161" s="4" t="s">
        <v>565</v>
      </c>
      <c r="D1161" s="4" t="s">
        <v>597</v>
      </c>
      <c r="E1161" s="4" t="s">
        <v>54</v>
      </c>
      <c r="F1161" s="4" t="s">
        <v>55</v>
      </c>
      <c r="G1161" s="4" t="s">
        <v>40</v>
      </c>
      <c r="H1161" s="4" t="s">
        <v>99</v>
      </c>
      <c r="I1161" s="6">
        <v>6</v>
      </c>
      <c r="J1161" s="6">
        <v>22344</v>
      </c>
      <c r="K1161" s="6">
        <v>13944.68</v>
      </c>
      <c r="L1161" s="6">
        <v>8399.32</v>
      </c>
      <c r="M1161" s="11">
        <f>Table13[[#This Row],[Profit]]/Table13[[#This Row],[Sales]]</f>
        <v>0.37590941639813819</v>
      </c>
      <c r="N1161" s="6" t="str">
        <f>TEXT(Table13[[#This Row],[Order Date]],"mmm")</f>
        <v>Feb</v>
      </c>
      <c r="O1161" s="6">
        <f>YEAR(Table13[[#This Row],[Order Date]])</f>
        <v>2024</v>
      </c>
    </row>
    <row r="1162" spans="1:15" x14ac:dyDescent="0.3">
      <c r="A1162" s="4" t="s">
        <v>1784</v>
      </c>
      <c r="B1162" s="5">
        <v>45578</v>
      </c>
      <c r="C1162" s="4" t="s">
        <v>346</v>
      </c>
      <c r="D1162" s="4" t="s">
        <v>1445</v>
      </c>
      <c r="E1162" s="4" t="s">
        <v>15</v>
      </c>
      <c r="F1162" s="4" t="s">
        <v>16</v>
      </c>
      <c r="G1162" s="4" t="s">
        <v>17</v>
      </c>
      <c r="H1162" s="4" t="s">
        <v>31</v>
      </c>
      <c r="I1162" s="6">
        <v>6</v>
      </c>
      <c r="J1162" s="6">
        <v>12216</v>
      </c>
      <c r="K1162" s="6">
        <v>7764.43</v>
      </c>
      <c r="L1162" s="6">
        <v>4451.57</v>
      </c>
      <c r="M1162" s="11">
        <f>Table13[[#This Row],[Profit]]/Table13[[#This Row],[Sales]]</f>
        <v>0.36440487884741318</v>
      </c>
      <c r="N1162" s="6" t="str">
        <f>TEXT(Table13[[#This Row],[Order Date]],"mmm")</f>
        <v>Oct</v>
      </c>
      <c r="O1162" s="6">
        <f>YEAR(Table13[[#This Row],[Order Date]])</f>
        <v>2024</v>
      </c>
    </row>
    <row r="1163" spans="1:15" x14ac:dyDescent="0.3">
      <c r="A1163" s="4" t="s">
        <v>1785</v>
      </c>
      <c r="B1163" s="5">
        <v>45391</v>
      </c>
      <c r="C1163" s="4" t="s">
        <v>1786</v>
      </c>
      <c r="D1163" s="4" t="s">
        <v>706</v>
      </c>
      <c r="E1163" s="4" t="s">
        <v>29</v>
      </c>
      <c r="F1163" s="4" t="s">
        <v>49</v>
      </c>
      <c r="G1163" s="4" t="s">
        <v>35</v>
      </c>
      <c r="H1163" s="4" t="s">
        <v>80</v>
      </c>
      <c r="I1163" s="6">
        <v>6</v>
      </c>
      <c r="J1163" s="6">
        <v>18228</v>
      </c>
      <c r="K1163" s="6">
        <v>11689.74</v>
      </c>
      <c r="L1163" s="6">
        <v>6538.26</v>
      </c>
      <c r="M1163" s="11">
        <f>Table13[[#This Row],[Profit]]/Table13[[#This Row],[Sales]]</f>
        <v>0.35869321922317315</v>
      </c>
      <c r="N1163" s="6" t="str">
        <f>TEXT(Table13[[#This Row],[Order Date]],"mmm")</f>
        <v>Apr</v>
      </c>
      <c r="O1163" s="6">
        <f>YEAR(Table13[[#This Row],[Order Date]])</f>
        <v>2024</v>
      </c>
    </row>
    <row r="1164" spans="1:15" x14ac:dyDescent="0.3">
      <c r="A1164" s="4" t="s">
        <v>1787</v>
      </c>
      <c r="B1164" s="5">
        <v>45535</v>
      </c>
      <c r="C1164" s="4" t="s">
        <v>1211</v>
      </c>
      <c r="D1164" s="4" t="s">
        <v>781</v>
      </c>
      <c r="E1164" s="4" t="s">
        <v>29</v>
      </c>
      <c r="F1164" s="4" t="s">
        <v>49</v>
      </c>
      <c r="G1164" s="4" t="s">
        <v>40</v>
      </c>
      <c r="H1164" s="4" t="s">
        <v>41</v>
      </c>
      <c r="I1164" s="6">
        <v>6</v>
      </c>
      <c r="J1164" s="6">
        <v>27792</v>
      </c>
      <c r="K1164" s="6">
        <v>20327.46</v>
      </c>
      <c r="L1164" s="6">
        <v>7464.54</v>
      </c>
      <c r="M1164" s="11">
        <f>Table13[[#This Row],[Profit]]/Table13[[#This Row],[Sales]]</f>
        <v>0.26858592400690845</v>
      </c>
      <c r="N1164" s="6" t="str">
        <f>TEXT(Table13[[#This Row],[Order Date]],"mmm")</f>
        <v>Aug</v>
      </c>
      <c r="O1164" s="6">
        <f>YEAR(Table13[[#This Row],[Order Date]])</f>
        <v>2024</v>
      </c>
    </row>
    <row r="1165" spans="1:15" x14ac:dyDescent="0.3">
      <c r="A1165" s="4" t="s">
        <v>1788</v>
      </c>
      <c r="B1165" s="5">
        <v>45962</v>
      </c>
      <c r="C1165" s="4" t="s">
        <v>179</v>
      </c>
      <c r="D1165" s="4" t="s">
        <v>187</v>
      </c>
      <c r="E1165" s="4" t="s">
        <v>22</v>
      </c>
      <c r="F1165" s="4" t="s">
        <v>23</v>
      </c>
      <c r="G1165" s="4" t="s">
        <v>24</v>
      </c>
      <c r="H1165" s="4" t="s">
        <v>50</v>
      </c>
      <c r="I1165" s="6">
        <v>3</v>
      </c>
      <c r="J1165" s="6">
        <v>3855</v>
      </c>
      <c r="K1165" s="6">
        <v>2167.71</v>
      </c>
      <c r="L1165" s="6">
        <v>1687.29</v>
      </c>
      <c r="M1165" s="11">
        <f>Table13[[#This Row],[Profit]]/Table13[[#This Row],[Sales]]</f>
        <v>0.43768871595330738</v>
      </c>
      <c r="N1165" s="6" t="str">
        <f>TEXT(Table13[[#This Row],[Order Date]],"mmm")</f>
        <v>Nov</v>
      </c>
      <c r="O1165" s="6">
        <f>YEAR(Table13[[#This Row],[Order Date]])</f>
        <v>2025</v>
      </c>
    </row>
    <row r="1166" spans="1:15" x14ac:dyDescent="0.3">
      <c r="A1166" s="4" t="s">
        <v>1789</v>
      </c>
      <c r="B1166" s="5">
        <v>45777</v>
      </c>
      <c r="C1166" s="4" t="s">
        <v>1232</v>
      </c>
      <c r="D1166" s="4" t="s">
        <v>946</v>
      </c>
      <c r="E1166" s="4" t="s">
        <v>22</v>
      </c>
      <c r="F1166" s="4" t="s">
        <v>23</v>
      </c>
      <c r="G1166" s="4" t="s">
        <v>24</v>
      </c>
      <c r="H1166" s="4" t="s">
        <v>50</v>
      </c>
      <c r="I1166" s="6">
        <v>9</v>
      </c>
      <c r="J1166" s="6">
        <v>27981</v>
      </c>
      <c r="K1166" s="6">
        <v>17920.23</v>
      </c>
      <c r="L1166" s="6">
        <v>10060.77</v>
      </c>
      <c r="M1166" s="11">
        <f>Table13[[#This Row],[Profit]]/Table13[[#This Row],[Sales]]</f>
        <v>0.35955719952825133</v>
      </c>
      <c r="N1166" s="6" t="str">
        <f>TEXT(Table13[[#This Row],[Order Date]],"mmm")</f>
        <v>Apr</v>
      </c>
      <c r="O1166" s="6">
        <f>YEAR(Table13[[#This Row],[Order Date]])</f>
        <v>2025</v>
      </c>
    </row>
    <row r="1167" spans="1:15" x14ac:dyDescent="0.3">
      <c r="A1167" s="4" t="s">
        <v>1790</v>
      </c>
      <c r="B1167" s="5">
        <v>45550</v>
      </c>
      <c r="C1167" s="4" t="s">
        <v>1294</v>
      </c>
      <c r="D1167" s="4" t="s">
        <v>554</v>
      </c>
      <c r="E1167" s="4" t="s">
        <v>29</v>
      </c>
      <c r="F1167" s="4" t="s">
        <v>102</v>
      </c>
      <c r="G1167" s="4" t="s">
        <v>24</v>
      </c>
      <c r="H1167" s="4" t="s">
        <v>166</v>
      </c>
      <c r="I1167" s="6">
        <v>4</v>
      </c>
      <c r="J1167" s="6">
        <v>14900</v>
      </c>
      <c r="K1167" s="6">
        <v>10655.72</v>
      </c>
      <c r="L1167" s="6">
        <v>4244.28</v>
      </c>
      <c r="M1167" s="11">
        <f>Table13[[#This Row],[Profit]]/Table13[[#This Row],[Sales]]</f>
        <v>0.28485100671140939</v>
      </c>
      <c r="N1167" s="6" t="str">
        <f>TEXT(Table13[[#This Row],[Order Date]],"mmm")</f>
        <v>Sep</v>
      </c>
      <c r="O1167" s="6">
        <f>YEAR(Table13[[#This Row],[Order Date]])</f>
        <v>2024</v>
      </c>
    </row>
    <row r="1168" spans="1:15" x14ac:dyDescent="0.3">
      <c r="A1168" s="4" t="s">
        <v>1791</v>
      </c>
      <c r="B1168" s="5">
        <v>45721</v>
      </c>
      <c r="C1168" s="4" t="s">
        <v>1266</v>
      </c>
      <c r="D1168" s="4" t="s">
        <v>671</v>
      </c>
      <c r="E1168" s="4" t="s">
        <v>54</v>
      </c>
      <c r="F1168" s="4" t="s">
        <v>55</v>
      </c>
      <c r="G1168" s="4" t="s">
        <v>17</v>
      </c>
      <c r="H1168" s="4" t="s">
        <v>31</v>
      </c>
      <c r="I1168" s="6">
        <v>2</v>
      </c>
      <c r="J1168" s="6">
        <v>7744</v>
      </c>
      <c r="K1168" s="6">
        <v>4416.5</v>
      </c>
      <c r="L1168" s="6">
        <v>3327.5</v>
      </c>
      <c r="M1168" s="11">
        <f>Table13[[#This Row],[Profit]]/Table13[[#This Row],[Sales]]</f>
        <v>0.4296875</v>
      </c>
      <c r="N1168" s="6" t="str">
        <f>TEXT(Table13[[#This Row],[Order Date]],"mmm")</f>
        <v>Mar</v>
      </c>
      <c r="O1168" s="6">
        <f>YEAR(Table13[[#This Row],[Order Date]])</f>
        <v>2025</v>
      </c>
    </row>
    <row r="1169" spans="1:15" x14ac:dyDescent="0.3">
      <c r="A1169" s="4" t="s">
        <v>1792</v>
      </c>
      <c r="B1169" s="5">
        <v>45871</v>
      </c>
      <c r="C1169" s="4" t="s">
        <v>126</v>
      </c>
      <c r="D1169" s="4" t="s">
        <v>335</v>
      </c>
      <c r="E1169" s="4" t="s">
        <v>15</v>
      </c>
      <c r="F1169" s="4" t="s">
        <v>16</v>
      </c>
      <c r="G1169" s="4" t="s">
        <v>17</v>
      </c>
      <c r="H1169" s="4" t="s">
        <v>72</v>
      </c>
      <c r="I1169" s="6">
        <v>5</v>
      </c>
      <c r="J1169" s="6">
        <v>6780</v>
      </c>
      <c r="K1169" s="6">
        <v>4318.16</v>
      </c>
      <c r="L1169" s="6">
        <v>2461.84</v>
      </c>
      <c r="M1169" s="11">
        <f>Table13[[#This Row],[Profit]]/Table13[[#This Row],[Sales]]</f>
        <v>0.36310324483775813</v>
      </c>
      <c r="N1169" s="6" t="str">
        <f>TEXT(Table13[[#This Row],[Order Date]],"mmm")</f>
        <v>Aug</v>
      </c>
      <c r="O1169" s="6">
        <f>YEAR(Table13[[#This Row],[Order Date]])</f>
        <v>2025</v>
      </c>
    </row>
    <row r="1170" spans="1:15" x14ac:dyDescent="0.3">
      <c r="A1170" s="4" t="s">
        <v>1793</v>
      </c>
      <c r="B1170" s="5">
        <v>45461</v>
      </c>
      <c r="C1170" s="4" t="s">
        <v>144</v>
      </c>
      <c r="D1170" s="4" t="s">
        <v>492</v>
      </c>
      <c r="E1170" s="4" t="s">
        <v>22</v>
      </c>
      <c r="F1170" s="4" t="s">
        <v>67</v>
      </c>
      <c r="G1170" s="4" t="s">
        <v>17</v>
      </c>
      <c r="H1170" s="4" t="s">
        <v>31</v>
      </c>
      <c r="I1170" s="6">
        <v>9</v>
      </c>
      <c r="J1170" s="6">
        <v>40554</v>
      </c>
      <c r="K1170" s="6">
        <v>34124.629999999997</v>
      </c>
      <c r="L1170" s="6">
        <v>6429.37</v>
      </c>
      <c r="M1170" s="11">
        <f>Table13[[#This Row],[Profit]]/Table13[[#This Row],[Sales]]</f>
        <v>0.15853849188736005</v>
      </c>
      <c r="N1170" s="6" t="str">
        <f>TEXT(Table13[[#This Row],[Order Date]],"mmm")</f>
        <v>Jun</v>
      </c>
      <c r="O1170" s="6">
        <f>YEAR(Table13[[#This Row],[Order Date]])</f>
        <v>2024</v>
      </c>
    </row>
    <row r="1171" spans="1:15" x14ac:dyDescent="0.3">
      <c r="A1171" s="4" t="s">
        <v>1794</v>
      </c>
      <c r="B1171" s="5">
        <v>45295</v>
      </c>
      <c r="C1171" s="4" t="s">
        <v>1535</v>
      </c>
      <c r="D1171" s="4" t="s">
        <v>931</v>
      </c>
      <c r="E1171" s="4" t="s">
        <v>22</v>
      </c>
      <c r="F1171" s="4" t="s">
        <v>79</v>
      </c>
      <c r="G1171" s="4" t="s">
        <v>35</v>
      </c>
      <c r="H1171" s="4" t="s">
        <v>36</v>
      </c>
      <c r="I1171" s="6">
        <v>7</v>
      </c>
      <c r="J1171" s="6">
        <v>17668</v>
      </c>
      <c r="K1171" s="6">
        <v>10814.18</v>
      </c>
      <c r="L1171" s="6">
        <v>6853.82</v>
      </c>
      <c r="M1171" s="11">
        <f>Table13[[#This Row],[Profit]]/Table13[[#This Row],[Sales]]</f>
        <v>0.38792279827937515</v>
      </c>
      <c r="N1171" s="6" t="str">
        <f>TEXT(Table13[[#This Row],[Order Date]],"mmm")</f>
        <v>Jan</v>
      </c>
      <c r="O1171" s="6">
        <f>YEAR(Table13[[#This Row],[Order Date]])</f>
        <v>2024</v>
      </c>
    </row>
    <row r="1172" spans="1:15" x14ac:dyDescent="0.3">
      <c r="A1172" s="4" t="s">
        <v>1795</v>
      </c>
      <c r="B1172" s="5">
        <v>46016</v>
      </c>
      <c r="C1172" s="4" t="s">
        <v>1266</v>
      </c>
      <c r="D1172" s="4" t="s">
        <v>1796</v>
      </c>
      <c r="E1172" s="4" t="s">
        <v>29</v>
      </c>
      <c r="F1172" s="4" t="s">
        <v>30</v>
      </c>
      <c r="G1172" s="4" t="s">
        <v>17</v>
      </c>
      <c r="H1172" s="4" t="s">
        <v>18</v>
      </c>
      <c r="I1172" s="6">
        <v>1</v>
      </c>
      <c r="J1172" s="6">
        <v>4500</v>
      </c>
      <c r="K1172" s="6">
        <v>3089.85</v>
      </c>
      <c r="L1172" s="6">
        <v>1410.15</v>
      </c>
      <c r="M1172" s="11">
        <f>Table13[[#This Row],[Profit]]/Table13[[#This Row],[Sales]]</f>
        <v>0.31336666666666668</v>
      </c>
      <c r="N1172" s="6" t="str">
        <f>TEXT(Table13[[#This Row],[Order Date]],"mmm")</f>
        <v>Dec</v>
      </c>
      <c r="O1172" s="6">
        <f>YEAR(Table13[[#This Row],[Order Date]])</f>
        <v>2025</v>
      </c>
    </row>
    <row r="1173" spans="1:15" x14ac:dyDescent="0.3">
      <c r="A1173" s="4" t="s">
        <v>1797</v>
      </c>
      <c r="B1173" s="5">
        <v>45521</v>
      </c>
      <c r="C1173" s="4" t="s">
        <v>446</v>
      </c>
      <c r="D1173" s="4" t="s">
        <v>946</v>
      </c>
      <c r="E1173" s="4" t="s">
        <v>54</v>
      </c>
      <c r="F1173" s="4" t="s">
        <v>142</v>
      </c>
      <c r="G1173" s="4" t="s">
        <v>40</v>
      </c>
      <c r="H1173" s="4" t="s">
        <v>99</v>
      </c>
      <c r="I1173" s="6">
        <v>5</v>
      </c>
      <c r="J1173" s="6">
        <v>24115</v>
      </c>
      <c r="K1173" s="6">
        <v>14124.9</v>
      </c>
      <c r="L1173" s="6">
        <v>9990.1</v>
      </c>
      <c r="M1173" s="11">
        <f>Table13[[#This Row],[Profit]]/Table13[[#This Row],[Sales]]</f>
        <v>0.41426912709931579</v>
      </c>
      <c r="N1173" s="6" t="str">
        <f>TEXT(Table13[[#This Row],[Order Date]],"mmm")</f>
        <v>Aug</v>
      </c>
      <c r="O1173" s="6">
        <f>YEAR(Table13[[#This Row],[Order Date]])</f>
        <v>2024</v>
      </c>
    </row>
    <row r="1174" spans="1:15" x14ac:dyDescent="0.3">
      <c r="A1174" s="4" t="s">
        <v>1798</v>
      </c>
      <c r="B1174" s="5">
        <v>45568</v>
      </c>
      <c r="C1174" s="4" t="s">
        <v>1524</v>
      </c>
      <c r="D1174" s="4" t="s">
        <v>114</v>
      </c>
      <c r="E1174" s="4" t="s">
        <v>29</v>
      </c>
      <c r="F1174" s="4" t="s">
        <v>49</v>
      </c>
      <c r="G1174" s="4" t="s">
        <v>24</v>
      </c>
      <c r="H1174" s="4" t="s">
        <v>25</v>
      </c>
      <c r="I1174" s="6">
        <v>3</v>
      </c>
      <c r="J1174" s="6">
        <v>7725</v>
      </c>
      <c r="K1174" s="6">
        <v>6397.65</v>
      </c>
      <c r="L1174" s="6">
        <v>1327.35</v>
      </c>
      <c r="M1174" s="11">
        <f>Table13[[#This Row],[Profit]]/Table13[[#This Row],[Sales]]</f>
        <v>0.1718252427184466</v>
      </c>
      <c r="N1174" s="6" t="str">
        <f>TEXT(Table13[[#This Row],[Order Date]],"mmm")</f>
        <v>Oct</v>
      </c>
      <c r="O1174" s="6">
        <f>YEAR(Table13[[#This Row],[Order Date]])</f>
        <v>2024</v>
      </c>
    </row>
    <row r="1175" spans="1:15" x14ac:dyDescent="0.3">
      <c r="A1175" s="4" t="s">
        <v>1799</v>
      </c>
      <c r="B1175" s="5">
        <v>45669</v>
      </c>
      <c r="C1175" s="4" t="s">
        <v>441</v>
      </c>
      <c r="D1175" s="4" t="s">
        <v>1800</v>
      </c>
      <c r="E1175" s="4" t="s">
        <v>29</v>
      </c>
      <c r="F1175" s="4" t="s">
        <v>30</v>
      </c>
      <c r="G1175" s="4" t="s">
        <v>24</v>
      </c>
      <c r="H1175" s="4" t="s">
        <v>50</v>
      </c>
      <c r="I1175" s="6">
        <v>1</v>
      </c>
      <c r="J1175" s="6">
        <v>3146</v>
      </c>
      <c r="K1175" s="6">
        <v>2327.4299999999998</v>
      </c>
      <c r="L1175" s="6">
        <v>818.57</v>
      </c>
      <c r="M1175" s="11">
        <f>Table13[[#This Row],[Profit]]/Table13[[#This Row],[Sales]]</f>
        <v>0.26019389701207885</v>
      </c>
      <c r="N1175" s="6" t="str">
        <f>TEXT(Table13[[#This Row],[Order Date]],"mmm")</f>
        <v>Jan</v>
      </c>
      <c r="O1175" s="6">
        <f>YEAR(Table13[[#This Row],[Order Date]])</f>
        <v>2025</v>
      </c>
    </row>
    <row r="1176" spans="1:15" x14ac:dyDescent="0.3">
      <c r="A1176" s="4" t="s">
        <v>1801</v>
      </c>
      <c r="B1176" s="5">
        <v>45350</v>
      </c>
      <c r="C1176" s="4" t="s">
        <v>1090</v>
      </c>
      <c r="D1176" s="4" t="s">
        <v>1105</v>
      </c>
      <c r="E1176" s="4" t="s">
        <v>54</v>
      </c>
      <c r="F1176" s="4" t="s">
        <v>71</v>
      </c>
      <c r="G1176" s="4" t="s">
        <v>24</v>
      </c>
      <c r="H1176" s="4" t="s">
        <v>166</v>
      </c>
      <c r="I1176" s="6">
        <v>7</v>
      </c>
      <c r="J1176" s="6">
        <v>19005</v>
      </c>
      <c r="K1176" s="6">
        <v>12303.66</v>
      </c>
      <c r="L1176" s="6">
        <v>6701.34</v>
      </c>
      <c r="M1176" s="11">
        <f>Table13[[#This Row],[Profit]]/Table13[[#This Row],[Sales]]</f>
        <v>0.35260931333859513</v>
      </c>
      <c r="N1176" s="6" t="str">
        <f>TEXT(Table13[[#This Row],[Order Date]],"mmm")</f>
        <v>Feb</v>
      </c>
      <c r="O1176" s="6">
        <f>YEAR(Table13[[#This Row],[Order Date]])</f>
        <v>2024</v>
      </c>
    </row>
    <row r="1177" spans="1:15" x14ac:dyDescent="0.3">
      <c r="A1177" s="4" t="s">
        <v>1802</v>
      </c>
      <c r="B1177" s="5">
        <v>45842</v>
      </c>
      <c r="C1177" s="4" t="s">
        <v>1371</v>
      </c>
      <c r="D1177" s="4" t="s">
        <v>722</v>
      </c>
      <c r="E1177" s="4" t="s">
        <v>29</v>
      </c>
      <c r="F1177" s="4" t="s">
        <v>30</v>
      </c>
      <c r="G1177" s="4" t="s">
        <v>40</v>
      </c>
      <c r="H1177" s="4" t="s">
        <v>99</v>
      </c>
      <c r="I1177" s="6">
        <v>3</v>
      </c>
      <c r="J1177" s="6">
        <v>7191</v>
      </c>
      <c r="K1177" s="6">
        <v>6051.09</v>
      </c>
      <c r="L1177" s="6">
        <v>1139.9100000000001</v>
      </c>
      <c r="M1177" s="11">
        <f>Table13[[#This Row],[Profit]]/Table13[[#This Row],[Sales]]</f>
        <v>0.15851898206090947</v>
      </c>
      <c r="N1177" s="6" t="str">
        <f>TEXT(Table13[[#This Row],[Order Date]],"mmm")</f>
        <v>Jul</v>
      </c>
      <c r="O1177" s="6">
        <f>YEAR(Table13[[#This Row],[Order Date]])</f>
        <v>2025</v>
      </c>
    </row>
    <row r="1178" spans="1:15" x14ac:dyDescent="0.3">
      <c r="A1178" s="4" t="s">
        <v>1803</v>
      </c>
      <c r="B1178" s="5">
        <v>45744</v>
      </c>
      <c r="C1178" s="4" t="s">
        <v>101</v>
      </c>
      <c r="D1178" s="4" t="s">
        <v>1180</v>
      </c>
      <c r="E1178" s="4" t="s">
        <v>22</v>
      </c>
      <c r="F1178" s="4" t="s">
        <v>79</v>
      </c>
      <c r="G1178" s="4" t="s">
        <v>40</v>
      </c>
      <c r="H1178" s="4" t="s">
        <v>99</v>
      </c>
      <c r="I1178" s="6">
        <v>10</v>
      </c>
      <c r="J1178" s="6">
        <v>48120</v>
      </c>
      <c r="K1178" s="6">
        <v>29442.11</v>
      </c>
      <c r="L1178" s="6">
        <v>18677.89</v>
      </c>
      <c r="M1178" s="11">
        <f>Table13[[#This Row],[Profit]]/Table13[[#This Row],[Sales]]</f>
        <v>0.38815232751454698</v>
      </c>
      <c r="N1178" s="6" t="str">
        <f>TEXT(Table13[[#This Row],[Order Date]],"mmm")</f>
        <v>Mar</v>
      </c>
      <c r="O1178" s="6">
        <f>YEAR(Table13[[#This Row],[Order Date]])</f>
        <v>2025</v>
      </c>
    </row>
    <row r="1179" spans="1:15" x14ac:dyDescent="0.3">
      <c r="A1179" s="4" t="s">
        <v>1804</v>
      </c>
      <c r="B1179" s="5">
        <v>45736</v>
      </c>
      <c r="C1179" s="4" t="s">
        <v>269</v>
      </c>
      <c r="D1179" s="4" t="s">
        <v>605</v>
      </c>
      <c r="E1179" s="4" t="s">
        <v>54</v>
      </c>
      <c r="F1179" s="4" t="s">
        <v>142</v>
      </c>
      <c r="G1179" s="4" t="s">
        <v>17</v>
      </c>
      <c r="H1179" s="4" t="s">
        <v>72</v>
      </c>
      <c r="I1179" s="6">
        <v>7</v>
      </c>
      <c r="J1179" s="6">
        <v>11025</v>
      </c>
      <c r="K1179" s="6">
        <v>7539.08</v>
      </c>
      <c r="L1179" s="6">
        <v>3485.92</v>
      </c>
      <c r="M1179" s="11">
        <f>Table13[[#This Row],[Profit]]/Table13[[#This Row],[Sales]]</f>
        <v>0.31618321995464854</v>
      </c>
      <c r="N1179" s="6" t="str">
        <f>TEXT(Table13[[#This Row],[Order Date]],"mmm")</f>
        <v>Mar</v>
      </c>
      <c r="O1179" s="6">
        <f>YEAR(Table13[[#This Row],[Order Date]])</f>
        <v>2025</v>
      </c>
    </row>
    <row r="1180" spans="1:15" x14ac:dyDescent="0.3">
      <c r="A1180" s="4" t="s">
        <v>1805</v>
      </c>
      <c r="B1180" s="5">
        <v>45472</v>
      </c>
      <c r="C1180" s="4" t="s">
        <v>342</v>
      </c>
      <c r="D1180" s="4" t="s">
        <v>989</v>
      </c>
      <c r="E1180" s="4" t="s">
        <v>22</v>
      </c>
      <c r="F1180" s="4" t="s">
        <v>23</v>
      </c>
      <c r="G1180" s="4" t="s">
        <v>35</v>
      </c>
      <c r="H1180" s="4" t="s">
        <v>80</v>
      </c>
      <c r="I1180" s="6">
        <v>3</v>
      </c>
      <c r="J1180" s="6">
        <v>12189</v>
      </c>
      <c r="K1180" s="6">
        <v>7380.54</v>
      </c>
      <c r="L1180" s="6">
        <v>4808.46</v>
      </c>
      <c r="M1180" s="11">
        <f>Table13[[#This Row],[Profit]]/Table13[[#This Row],[Sales]]</f>
        <v>0.39449175486094018</v>
      </c>
      <c r="N1180" s="6" t="str">
        <f>TEXT(Table13[[#This Row],[Order Date]],"mmm")</f>
        <v>Jun</v>
      </c>
      <c r="O1180" s="6">
        <f>YEAR(Table13[[#This Row],[Order Date]])</f>
        <v>2024</v>
      </c>
    </row>
    <row r="1181" spans="1:15" x14ac:dyDescent="0.3">
      <c r="A1181" s="4" t="s">
        <v>1806</v>
      </c>
      <c r="B1181" s="5">
        <v>45473</v>
      </c>
      <c r="C1181" s="4" t="s">
        <v>594</v>
      </c>
      <c r="D1181" s="4" t="s">
        <v>1145</v>
      </c>
      <c r="E1181" s="4" t="s">
        <v>22</v>
      </c>
      <c r="F1181" s="4" t="s">
        <v>79</v>
      </c>
      <c r="G1181" s="4" t="s">
        <v>24</v>
      </c>
      <c r="H1181" s="4" t="s">
        <v>166</v>
      </c>
      <c r="I1181" s="6">
        <v>5</v>
      </c>
      <c r="J1181" s="6">
        <v>2360</v>
      </c>
      <c r="K1181" s="6">
        <v>1517.59</v>
      </c>
      <c r="L1181" s="6">
        <v>842.41</v>
      </c>
      <c r="M1181" s="11">
        <f>Table13[[#This Row],[Profit]]/Table13[[#This Row],[Sales]]</f>
        <v>0.35695338983050845</v>
      </c>
      <c r="N1181" s="6" t="str">
        <f>TEXT(Table13[[#This Row],[Order Date]],"mmm")</f>
        <v>Jun</v>
      </c>
      <c r="O1181" s="6">
        <f>YEAR(Table13[[#This Row],[Order Date]])</f>
        <v>2024</v>
      </c>
    </row>
    <row r="1182" spans="1:15" x14ac:dyDescent="0.3">
      <c r="A1182" s="4" t="s">
        <v>1807</v>
      </c>
      <c r="B1182" s="5">
        <v>45952</v>
      </c>
      <c r="C1182" s="4" t="s">
        <v>132</v>
      </c>
      <c r="D1182" s="4" t="s">
        <v>1117</v>
      </c>
      <c r="E1182" s="4" t="s">
        <v>15</v>
      </c>
      <c r="F1182" s="4" t="s">
        <v>16</v>
      </c>
      <c r="G1182" s="4" t="s">
        <v>24</v>
      </c>
      <c r="H1182" s="4" t="s">
        <v>50</v>
      </c>
      <c r="I1182" s="6">
        <v>7</v>
      </c>
      <c r="J1182" s="6">
        <v>16163</v>
      </c>
      <c r="K1182" s="6">
        <v>11096.02</v>
      </c>
      <c r="L1182" s="6">
        <v>5066.9799999999996</v>
      </c>
      <c r="M1182" s="11">
        <f>Table13[[#This Row],[Profit]]/Table13[[#This Row],[Sales]]</f>
        <v>0.31349254470085997</v>
      </c>
      <c r="N1182" s="6" t="str">
        <f>TEXT(Table13[[#This Row],[Order Date]],"mmm")</f>
        <v>Oct</v>
      </c>
      <c r="O1182" s="6">
        <f>YEAR(Table13[[#This Row],[Order Date]])</f>
        <v>2025</v>
      </c>
    </row>
    <row r="1183" spans="1:15" x14ac:dyDescent="0.3">
      <c r="A1183" s="4" t="s">
        <v>1808</v>
      </c>
      <c r="B1183" s="5">
        <v>45313</v>
      </c>
      <c r="C1183" s="4" t="s">
        <v>1700</v>
      </c>
      <c r="D1183" s="4" t="s">
        <v>249</v>
      </c>
      <c r="E1183" s="4" t="s">
        <v>29</v>
      </c>
      <c r="F1183" s="4" t="s">
        <v>30</v>
      </c>
      <c r="G1183" s="4" t="s">
        <v>24</v>
      </c>
      <c r="H1183" s="4" t="s">
        <v>25</v>
      </c>
      <c r="I1183" s="6">
        <v>10</v>
      </c>
      <c r="J1183" s="6">
        <v>11160</v>
      </c>
      <c r="K1183" s="6">
        <v>7403.13</v>
      </c>
      <c r="L1183" s="6">
        <v>3756.87</v>
      </c>
      <c r="M1183" s="11">
        <f>Table13[[#This Row],[Profit]]/Table13[[#This Row],[Sales]]</f>
        <v>0.33663709677419351</v>
      </c>
      <c r="N1183" s="6" t="str">
        <f>TEXT(Table13[[#This Row],[Order Date]],"mmm")</f>
        <v>Jan</v>
      </c>
      <c r="O1183" s="6">
        <f>YEAR(Table13[[#This Row],[Order Date]])</f>
        <v>2024</v>
      </c>
    </row>
    <row r="1184" spans="1:15" x14ac:dyDescent="0.3">
      <c r="A1184" s="4" t="s">
        <v>1809</v>
      </c>
      <c r="B1184" s="5">
        <v>45934</v>
      </c>
      <c r="C1184" s="4" t="s">
        <v>1786</v>
      </c>
      <c r="D1184" s="4" t="s">
        <v>629</v>
      </c>
      <c r="E1184" s="4" t="s">
        <v>15</v>
      </c>
      <c r="F1184" s="4" t="s">
        <v>16</v>
      </c>
      <c r="G1184" s="4" t="s">
        <v>40</v>
      </c>
      <c r="H1184" s="4" t="s">
        <v>56</v>
      </c>
      <c r="I1184" s="6">
        <v>2</v>
      </c>
      <c r="J1184" s="6">
        <v>4984</v>
      </c>
      <c r="K1184" s="6">
        <v>2954.47</v>
      </c>
      <c r="L1184" s="6">
        <v>2029.53</v>
      </c>
      <c r="M1184" s="11">
        <f>Table13[[#This Row],[Profit]]/Table13[[#This Row],[Sales]]</f>
        <v>0.40720906902086679</v>
      </c>
      <c r="N1184" s="6" t="str">
        <f>TEXT(Table13[[#This Row],[Order Date]],"mmm")</f>
        <v>Oct</v>
      </c>
      <c r="O1184" s="6">
        <f>YEAR(Table13[[#This Row],[Order Date]])</f>
        <v>2025</v>
      </c>
    </row>
    <row r="1185" spans="1:15" x14ac:dyDescent="0.3">
      <c r="A1185" s="4" t="s">
        <v>1810</v>
      </c>
      <c r="B1185" s="5">
        <v>45783</v>
      </c>
      <c r="C1185" s="4" t="s">
        <v>228</v>
      </c>
      <c r="D1185" s="4" t="s">
        <v>356</v>
      </c>
      <c r="E1185" s="4" t="s">
        <v>15</v>
      </c>
      <c r="F1185" s="4" t="s">
        <v>90</v>
      </c>
      <c r="G1185" s="4" t="s">
        <v>17</v>
      </c>
      <c r="H1185" s="4" t="s">
        <v>18</v>
      </c>
      <c r="I1185" s="6">
        <v>6</v>
      </c>
      <c r="J1185" s="6">
        <v>5976</v>
      </c>
      <c r="K1185" s="6">
        <v>3649.52</v>
      </c>
      <c r="L1185" s="6">
        <v>2326.48</v>
      </c>
      <c r="M1185" s="11">
        <f>Table13[[#This Row],[Profit]]/Table13[[#This Row],[Sales]]</f>
        <v>0.38930388219544848</v>
      </c>
      <c r="N1185" s="6" t="str">
        <f>TEXT(Table13[[#This Row],[Order Date]],"mmm")</f>
        <v>May</v>
      </c>
      <c r="O1185" s="6">
        <f>YEAR(Table13[[#This Row],[Order Date]])</f>
        <v>2025</v>
      </c>
    </row>
    <row r="1186" spans="1:15" x14ac:dyDescent="0.3">
      <c r="A1186" s="4" t="s">
        <v>1811</v>
      </c>
      <c r="B1186" s="5">
        <v>45848</v>
      </c>
      <c r="C1186" s="4" t="s">
        <v>337</v>
      </c>
      <c r="D1186" s="4" t="s">
        <v>145</v>
      </c>
      <c r="E1186" s="4" t="s">
        <v>29</v>
      </c>
      <c r="F1186" s="4" t="s">
        <v>49</v>
      </c>
      <c r="G1186" s="4" t="s">
        <v>40</v>
      </c>
      <c r="H1186" s="4" t="s">
        <v>41</v>
      </c>
      <c r="I1186" s="6">
        <v>8</v>
      </c>
      <c r="J1186" s="6">
        <v>12520</v>
      </c>
      <c r="K1186" s="6">
        <v>7801.75</v>
      </c>
      <c r="L1186" s="6">
        <v>4718.25</v>
      </c>
      <c r="M1186" s="11">
        <f>Table13[[#This Row],[Profit]]/Table13[[#This Row],[Sales]]</f>
        <v>0.37685702875399363</v>
      </c>
      <c r="N1186" s="6" t="str">
        <f>TEXT(Table13[[#This Row],[Order Date]],"mmm")</f>
        <v>Jul</v>
      </c>
      <c r="O1186" s="6">
        <f>YEAR(Table13[[#This Row],[Order Date]])</f>
        <v>2025</v>
      </c>
    </row>
    <row r="1187" spans="1:15" x14ac:dyDescent="0.3">
      <c r="A1187" s="4" t="s">
        <v>1812</v>
      </c>
      <c r="B1187" s="5">
        <v>45815</v>
      </c>
      <c r="C1187" s="4" t="s">
        <v>217</v>
      </c>
      <c r="D1187" s="4" t="s">
        <v>888</v>
      </c>
      <c r="E1187" s="4" t="s">
        <v>15</v>
      </c>
      <c r="F1187" s="4" t="s">
        <v>16</v>
      </c>
      <c r="G1187" s="4" t="s">
        <v>24</v>
      </c>
      <c r="H1187" s="4" t="s">
        <v>25</v>
      </c>
      <c r="I1187" s="6">
        <v>2</v>
      </c>
      <c r="J1187" s="6">
        <v>9522</v>
      </c>
      <c r="K1187" s="6">
        <v>6084.76</v>
      </c>
      <c r="L1187" s="6">
        <v>3437.24</v>
      </c>
      <c r="M1187" s="11">
        <f>Table13[[#This Row],[Profit]]/Table13[[#This Row],[Sales]]</f>
        <v>0.36097878596933414</v>
      </c>
      <c r="N1187" s="6" t="str">
        <f>TEXT(Table13[[#This Row],[Order Date]],"mmm")</f>
        <v>Jun</v>
      </c>
      <c r="O1187" s="6">
        <f>YEAR(Table13[[#This Row],[Order Date]])</f>
        <v>2025</v>
      </c>
    </row>
    <row r="1188" spans="1:15" x14ac:dyDescent="0.3">
      <c r="A1188" s="4" t="s">
        <v>1813</v>
      </c>
      <c r="B1188" s="5">
        <v>45653</v>
      </c>
      <c r="C1188" s="4" t="s">
        <v>1271</v>
      </c>
      <c r="D1188" s="4" t="s">
        <v>621</v>
      </c>
      <c r="E1188" s="4" t="s">
        <v>15</v>
      </c>
      <c r="F1188" s="4" t="s">
        <v>16</v>
      </c>
      <c r="G1188" s="4" t="s">
        <v>24</v>
      </c>
      <c r="H1188" s="4" t="s">
        <v>25</v>
      </c>
      <c r="I1188" s="6">
        <v>4</v>
      </c>
      <c r="J1188" s="6">
        <v>15196</v>
      </c>
      <c r="K1188" s="6">
        <v>10114.68</v>
      </c>
      <c r="L1188" s="6">
        <v>5081.32</v>
      </c>
      <c r="M1188" s="11">
        <f>Table13[[#This Row],[Profit]]/Table13[[#This Row],[Sales]]</f>
        <v>0.33438536456962359</v>
      </c>
      <c r="N1188" s="6" t="str">
        <f>TEXT(Table13[[#This Row],[Order Date]],"mmm")</f>
        <v>Dec</v>
      </c>
      <c r="O1188" s="6">
        <f>YEAR(Table13[[#This Row],[Order Date]])</f>
        <v>2024</v>
      </c>
    </row>
    <row r="1189" spans="1:15" x14ac:dyDescent="0.3">
      <c r="A1189" s="4" t="s">
        <v>1814</v>
      </c>
      <c r="B1189" s="5">
        <v>45404</v>
      </c>
      <c r="C1189" s="4" t="s">
        <v>236</v>
      </c>
      <c r="D1189" s="4" t="s">
        <v>1539</v>
      </c>
      <c r="E1189" s="4" t="s">
        <v>22</v>
      </c>
      <c r="F1189" s="4" t="s">
        <v>79</v>
      </c>
      <c r="G1189" s="4" t="s">
        <v>17</v>
      </c>
      <c r="H1189" s="4" t="s">
        <v>18</v>
      </c>
      <c r="I1189" s="6">
        <v>2</v>
      </c>
      <c r="J1189" s="6">
        <v>8656</v>
      </c>
      <c r="K1189" s="6">
        <v>5201.1099999999997</v>
      </c>
      <c r="L1189" s="6">
        <v>3454.89</v>
      </c>
      <c r="M1189" s="11">
        <f>Table13[[#This Row],[Profit]]/Table13[[#This Row],[Sales]]</f>
        <v>0.39913239371534193</v>
      </c>
      <c r="N1189" s="6" t="str">
        <f>TEXT(Table13[[#This Row],[Order Date]],"mmm")</f>
        <v>Apr</v>
      </c>
      <c r="O1189" s="6">
        <f>YEAR(Table13[[#This Row],[Order Date]])</f>
        <v>2024</v>
      </c>
    </row>
    <row r="1190" spans="1:15" x14ac:dyDescent="0.3">
      <c r="A1190" s="4" t="s">
        <v>1815</v>
      </c>
      <c r="B1190" s="5">
        <v>45378</v>
      </c>
      <c r="C1190" s="4" t="s">
        <v>834</v>
      </c>
      <c r="D1190" s="4" t="s">
        <v>607</v>
      </c>
      <c r="E1190" s="4" t="s">
        <v>54</v>
      </c>
      <c r="F1190" s="4" t="s">
        <v>55</v>
      </c>
      <c r="G1190" s="4" t="s">
        <v>24</v>
      </c>
      <c r="H1190" s="4" t="s">
        <v>50</v>
      </c>
      <c r="I1190" s="6">
        <v>10</v>
      </c>
      <c r="J1190" s="6">
        <v>30330</v>
      </c>
      <c r="K1190" s="6">
        <v>17758.38</v>
      </c>
      <c r="L1190" s="6">
        <v>12571.62</v>
      </c>
      <c r="M1190" s="11">
        <f>Table13[[#This Row],[Profit]]/Table13[[#This Row],[Sales]]</f>
        <v>0.41449455984174088</v>
      </c>
      <c r="N1190" s="6" t="str">
        <f>TEXT(Table13[[#This Row],[Order Date]],"mmm")</f>
        <v>Mar</v>
      </c>
      <c r="O1190" s="6">
        <f>YEAR(Table13[[#This Row],[Order Date]])</f>
        <v>2024</v>
      </c>
    </row>
    <row r="1191" spans="1:15" x14ac:dyDescent="0.3">
      <c r="A1191" s="4" t="s">
        <v>1816</v>
      </c>
      <c r="B1191" s="5">
        <v>45445</v>
      </c>
      <c r="C1191" s="4" t="s">
        <v>1414</v>
      </c>
      <c r="D1191" s="4" t="s">
        <v>589</v>
      </c>
      <c r="E1191" s="4" t="s">
        <v>29</v>
      </c>
      <c r="F1191" s="4" t="s">
        <v>49</v>
      </c>
      <c r="G1191" s="4" t="s">
        <v>35</v>
      </c>
      <c r="H1191" s="4" t="s">
        <v>45</v>
      </c>
      <c r="I1191" s="6">
        <v>6</v>
      </c>
      <c r="J1191" s="6">
        <v>10710</v>
      </c>
      <c r="K1191" s="6">
        <v>8073.52</v>
      </c>
      <c r="L1191" s="6">
        <v>2636.48</v>
      </c>
      <c r="M1191" s="11">
        <f>Table13[[#This Row],[Profit]]/Table13[[#This Row],[Sales]]</f>
        <v>0.24616993464052286</v>
      </c>
      <c r="N1191" s="6" t="str">
        <f>TEXT(Table13[[#This Row],[Order Date]],"mmm")</f>
        <v>Jun</v>
      </c>
      <c r="O1191" s="6">
        <f>YEAR(Table13[[#This Row],[Order Date]])</f>
        <v>2024</v>
      </c>
    </row>
    <row r="1192" spans="1:15" x14ac:dyDescent="0.3">
      <c r="A1192" s="4" t="s">
        <v>1817</v>
      </c>
      <c r="B1192" s="5">
        <v>46020</v>
      </c>
      <c r="C1192" s="4" t="s">
        <v>831</v>
      </c>
      <c r="D1192" s="4" t="s">
        <v>338</v>
      </c>
      <c r="E1192" s="4" t="s">
        <v>54</v>
      </c>
      <c r="F1192" s="4" t="s">
        <v>142</v>
      </c>
      <c r="G1192" s="4" t="s">
        <v>40</v>
      </c>
      <c r="H1192" s="4" t="s">
        <v>99</v>
      </c>
      <c r="I1192" s="6">
        <v>8</v>
      </c>
      <c r="J1192" s="6">
        <v>26584</v>
      </c>
      <c r="K1192" s="6">
        <v>22061.119999999999</v>
      </c>
      <c r="L1192" s="6">
        <v>4522.88</v>
      </c>
      <c r="M1192" s="11">
        <f>Table13[[#This Row],[Profit]]/Table13[[#This Row],[Sales]]</f>
        <v>0.1701354198013843</v>
      </c>
      <c r="N1192" s="6" t="str">
        <f>TEXT(Table13[[#This Row],[Order Date]],"mmm")</f>
        <v>Dec</v>
      </c>
      <c r="O1192" s="6">
        <f>YEAR(Table13[[#This Row],[Order Date]])</f>
        <v>2025</v>
      </c>
    </row>
    <row r="1193" spans="1:15" x14ac:dyDescent="0.3">
      <c r="A1193" s="4" t="s">
        <v>1818</v>
      </c>
      <c r="B1193" s="5">
        <v>45781</v>
      </c>
      <c r="C1193" s="4" t="s">
        <v>1024</v>
      </c>
      <c r="D1193" s="4" t="s">
        <v>987</v>
      </c>
      <c r="E1193" s="4" t="s">
        <v>29</v>
      </c>
      <c r="F1193" s="4" t="s">
        <v>30</v>
      </c>
      <c r="G1193" s="4" t="s">
        <v>24</v>
      </c>
      <c r="H1193" s="4" t="s">
        <v>166</v>
      </c>
      <c r="I1193" s="6">
        <v>6</v>
      </c>
      <c r="J1193" s="6">
        <v>9060</v>
      </c>
      <c r="K1193" s="6">
        <v>6044.65</v>
      </c>
      <c r="L1193" s="6">
        <v>3015.35</v>
      </c>
      <c r="M1193" s="11">
        <f>Table13[[#This Row],[Profit]]/Table13[[#This Row],[Sales]]</f>
        <v>0.33282008830022075</v>
      </c>
      <c r="N1193" s="6" t="str">
        <f>TEXT(Table13[[#This Row],[Order Date]],"mmm")</f>
        <v>May</v>
      </c>
      <c r="O1193" s="6">
        <f>YEAR(Table13[[#This Row],[Order Date]])</f>
        <v>2025</v>
      </c>
    </row>
    <row r="1194" spans="1:15" x14ac:dyDescent="0.3">
      <c r="A1194" s="4" t="s">
        <v>1819</v>
      </c>
      <c r="B1194" s="5">
        <v>45422</v>
      </c>
      <c r="C1194" s="4" t="s">
        <v>565</v>
      </c>
      <c r="D1194" s="4" t="s">
        <v>75</v>
      </c>
      <c r="E1194" s="4" t="s">
        <v>22</v>
      </c>
      <c r="F1194" s="4" t="s">
        <v>79</v>
      </c>
      <c r="G1194" s="4" t="s">
        <v>40</v>
      </c>
      <c r="H1194" s="4" t="s">
        <v>99</v>
      </c>
      <c r="I1194" s="6">
        <v>3</v>
      </c>
      <c r="J1194" s="6">
        <v>3120</v>
      </c>
      <c r="K1194" s="6">
        <v>2018.38</v>
      </c>
      <c r="L1194" s="6">
        <v>1101.6199999999999</v>
      </c>
      <c r="M1194" s="11">
        <f>Table13[[#This Row],[Profit]]/Table13[[#This Row],[Sales]]</f>
        <v>0.3530833333333333</v>
      </c>
      <c r="N1194" s="6" t="str">
        <f>TEXT(Table13[[#This Row],[Order Date]],"mmm")</f>
        <v>May</v>
      </c>
      <c r="O1194" s="6">
        <f>YEAR(Table13[[#This Row],[Order Date]])</f>
        <v>2024</v>
      </c>
    </row>
    <row r="1195" spans="1:15" x14ac:dyDescent="0.3">
      <c r="A1195" s="4" t="s">
        <v>1820</v>
      </c>
      <c r="B1195" s="5">
        <v>45715</v>
      </c>
      <c r="C1195" s="4" t="s">
        <v>1821</v>
      </c>
      <c r="D1195" s="4" t="s">
        <v>377</v>
      </c>
      <c r="E1195" s="4" t="s">
        <v>54</v>
      </c>
      <c r="F1195" s="4" t="s">
        <v>55</v>
      </c>
      <c r="G1195" s="4" t="s">
        <v>35</v>
      </c>
      <c r="H1195" s="4" t="s">
        <v>80</v>
      </c>
      <c r="I1195" s="6">
        <v>7</v>
      </c>
      <c r="J1195" s="6">
        <v>29694</v>
      </c>
      <c r="K1195" s="6">
        <v>22508.83</v>
      </c>
      <c r="L1195" s="6">
        <v>7185.17</v>
      </c>
      <c r="M1195" s="11">
        <f>Table13[[#This Row],[Profit]]/Table13[[#This Row],[Sales]]</f>
        <v>0.24197379942075842</v>
      </c>
      <c r="N1195" s="6" t="str">
        <f>TEXT(Table13[[#This Row],[Order Date]],"mmm")</f>
        <v>Feb</v>
      </c>
      <c r="O1195" s="6">
        <f>YEAR(Table13[[#This Row],[Order Date]])</f>
        <v>2025</v>
      </c>
    </row>
    <row r="1196" spans="1:15" x14ac:dyDescent="0.3">
      <c r="A1196" s="4" t="s">
        <v>1822</v>
      </c>
      <c r="B1196" s="5">
        <v>45796</v>
      </c>
      <c r="C1196" s="4" t="s">
        <v>92</v>
      </c>
      <c r="D1196" s="4" t="s">
        <v>78</v>
      </c>
      <c r="E1196" s="4" t="s">
        <v>29</v>
      </c>
      <c r="F1196" s="4" t="s">
        <v>49</v>
      </c>
      <c r="G1196" s="4" t="s">
        <v>35</v>
      </c>
      <c r="H1196" s="4" t="s">
        <v>36</v>
      </c>
      <c r="I1196" s="6">
        <v>9</v>
      </c>
      <c r="J1196" s="6">
        <v>39348</v>
      </c>
      <c r="K1196" s="6">
        <v>28000.99</v>
      </c>
      <c r="L1196" s="6">
        <v>11347.01</v>
      </c>
      <c r="M1196" s="11">
        <f>Table13[[#This Row],[Profit]]/Table13[[#This Row],[Sales]]</f>
        <v>0.28837577513469553</v>
      </c>
      <c r="N1196" s="6" t="str">
        <f>TEXT(Table13[[#This Row],[Order Date]],"mmm")</f>
        <v>May</v>
      </c>
      <c r="O1196" s="6">
        <f>YEAR(Table13[[#This Row],[Order Date]])</f>
        <v>2025</v>
      </c>
    </row>
    <row r="1197" spans="1:15" x14ac:dyDescent="0.3">
      <c r="A1197" s="4" t="s">
        <v>1823</v>
      </c>
      <c r="B1197" s="5">
        <v>46002</v>
      </c>
      <c r="C1197" s="4" t="s">
        <v>101</v>
      </c>
      <c r="D1197" s="4" t="s">
        <v>14</v>
      </c>
      <c r="E1197" s="4" t="s">
        <v>29</v>
      </c>
      <c r="F1197" s="4" t="s">
        <v>49</v>
      </c>
      <c r="G1197" s="4" t="s">
        <v>24</v>
      </c>
      <c r="H1197" s="4" t="s">
        <v>50</v>
      </c>
      <c r="I1197" s="6">
        <v>10</v>
      </c>
      <c r="J1197" s="6">
        <v>37550</v>
      </c>
      <c r="K1197" s="6">
        <v>26588.55</v>
      </c>
      <c r="L1197" s="6">
        <v>10961.45</v>
      </c>
      <c r="M1197" s="11">
        <f>Table13[[#This Row],[Profit]]/Table13[[#This Row],[Sales]]</f>
        <v>0.29191611185086552</v>
      </c>
      <c r="N1197" s="6" t="str">
        <f>TEXT(Table13[[#This Row],[Order Date]],"mmm")</f>
        <v>Dec</v>
      </c>
      <c r="O1197" s="6">
        <f>YEAR(Table13[[#This Row],[Order Date]])</f>
        <v>2025</v>
      </c>
    </row>
    <row r="1198" spans="1:15" x14ac:dyDescent="0.3">
      <c r="A1198" s="4" t="s">
        <v>1824</v>
      </c>
      <c r="B1198" s="5">
        <v>45777</v>
      </c>
      <c r="C1198" s="4" t="s">
        <v>1069</v>
      </c>
      <c r="D1198" s="4" t="s">
        <v>602</v>
      </c>
      <c r="E1198" s="4" t="s">
        <v>29</v>
      </c>
      <c r="F1198" s="4" t="s">
        <v>49</v>
      </c>
      <c r="G1198" s="4" t="s">
        <v>24</v>
      </c>
      <c r="H1198" s="4" t="s">
        <v>25</v>
      </c>
      <c r="I1198" s="6">
        <v>4</v>
      </c>
      <c r="J1198" s="6">
        <v>1760</v>
      </c>
      <c r="K1198" s="6">
        <v>1159.3499999999999</v>
      </c>
      <c r="L1198" s="6">
        <v>600.65</v>
      </c>
      <c r="M1198" s="11">
        <f>Table13[[#This Row],[Profit]]/Table13[[#This Row],[Sales]]</f>
        <v>0.34127840909090906</v>
      </c>
      <c r="N1198" s="6" t="str">
        <f>TEXT(Table13[[#This Row],[Order Date]],"mmm")</f>
        <v>Apr</v>
      </c>
      <c r="O1198" s="6">
        <f>YEAR(Table13[[#This Row],[Order Date]])</f>
        <v>2025</v>
      </c>
    </row>
    <row r="1199" spans="1:15" x14ac:dyDescent="0.3">
      <c r="A1199" s="4" t="s">
        <v>1825</v>
      </c>
      <c r="B1199" s="5">
        <v>45856</v>
      </c>
      <c r="C1199" s="4" t="s">
        <v>818</v>
      </c>
      <c r="D1199" s="4" t="s">
        <v>703</v>
      </c>
      <c r="E1199" s="4" t="s">
        <v>15</v>
      </c>
      <c r="F1199" s="4" t="s">
        <v>63</v>
      </c>
      <c r="G1199" s="4" t="s">
        <v>40</v>
      </c>
      <c r="H1199" s="4" t="s">
        <v>41</v>
      </c>
      <c r="I1199" s="6">
        <v>3</v>
      </c>
      <c r="J1199" s="6">
        <v>8142</v>
      </c>
      <c r="K1199" s="6">
        <v>5602.64</v>
      </c>
      <c r="L1199" s="6">
        <v>2539.36</v>
      </c>
      <c r="M1199" s="11">
        <f>Table13[[#This Row],[Profit]]/Table13[[#This Row],[Sales]]</f>
        <v>0.31188405797101448</v>
      </c>
      <c r="N1199" s="6" t="str">
        <f>TEXT(Table13[[#This Row],[Order Date]],"mmm")</f>
        <v>Jul</v>
      </c>
      <c r="O1199" s="6">
        <f>YEAR(Table13[[#This Row],[Order Date]])</f>
        <v>2025</v>
      </c>
    </row>
    <row r="1200" spans="1:15" x14ac:dyDescent="0.3">
      <c r="A1200" s="4" t="s">
        <v>1826</v>
      </c>
      <c r="B1200" s="5">
        <v>46012</v>
      </c>
      <c r="C1200" s="4" t="s">
        <v>364</v>
      </c>
      <c r="D1200" s="4" t="s">
        <v>894</v>
      </c>
      <c r="E1200" s="4" t="s">
        <v>29</v>
      </c>
      <c r="F1200" s="4" t="s">
        <v>102</v>
      </c>
      <c r="G1200" s="4" t="s">
        <v>24</v>
      </c>
      <c r="H1200" s="4" t="s">
        <v>25</v>
      </c>
      <c r="I1200" s="6">
        <v>3</v>
      </c>
      <c r="J1200" s="6">
        <v>3780</v>
      </c>
      <c r="K1200" s="6">
        <v>3169.97</v>
      </c>
      <c r="L1200" s="6">
        <v>610.03</v>
      </c>
      <c r="M1200" s="11">
        <f>Table13[[#This Row],[Profit]]/Table13[[#This Row],[Sales]]</f>
        <v>0.16138359788359788</v>
      </c>
      <c r="N1200" s="6" t="str">
        <f>TEXT(Table13[[#This Row],[Order Date]],"mmm")</f>
        <v>Dec</v>
      </c>
      <c r="O1200" s="6">
        <f>YEAR(Table13[[#This Row],[Order Date]])</f>
        <v>2025</v>
      </c>
    </row>
    <row r="1201" spans="1:15" x14ac:dyDescent="0.3">
      <c r="A1201" s="4" t="s">
        <v>1827</v>
      </c>
      <c r="B1201" s="5">
        <v>45970</v>
      </c>
      <c r="C1201" s="4" t="s">
        <v>951</v>
      </c>
      <c r="D1201" s="4" t="s">
        <v>681</v>
      </c>
      <c r="E1201" s="4" t="s">
        <v>15</v>
      </c>
      <c r="F1201" s="4" t="s">
        <v>90</v>
      </c>
      <c r="G1201" s="4" t="s">
        <v>35</v>
      </c>
      <c r="H1201" s="4" t="s">
        <v>36</v>
      </c>
      <c r="I1201" s="6">
        <v>6</v>
      </c>
      <c r="J1201" s="6">
        <v>4458</v>
      </c>
      <c r="K1201" s="6">
        <v>3389.95</v>
      </c>
      <c r="L1201" s="6">
        <v>1068.05</v>
      </c>
      <c r="M1201" s="12">
        <f>Table13[[#This Row],[Profit]]/Table13[[#This Row],[Sales]]</f>
        <v>0.23958052938537461</v>
      </c>
      <c r="N1201" s="8" t="str">
        <f>TEXT(Table13[[#This Row],[Order Date]],"mmm")</f>
        <v>Nov</v>
      </c>
      <c r="O1201" s="8">
        <f>YEAR(Table13[[#This Row],[Order Date]])</f>
        <v>2025</v>
      </c>
    </row>
  </sheetData>
  <conditionalFormatting sqref="L1:L1048576">
    <cfRule type="top10" dxfId="8" priority="1" rank="10"/>
  </conditionalFormatting>
  <dataValidations count="1">
    <dataValidation type="list" allowBlank="1" showInputMessage="1" showErrorMessage="1" sqref="E1:E1048576" xr:uid="{9EA3B4BF-2E21-46B9-A477-5E393E523730}">
      <formula1>"North,South,East,West"</formula1>
    </dataValidation>
  </dataValidations>
  <pageMargins left="0.7" right="0.7" top="0.75" bottom="0.75" header="0.3" footer="0.3"/>
  <ignoredErrors>
    <ignoredError sqref="E1" listDataValidation="1"/>
  </ignoredErrors>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2F7D-D5FF-4104-B3B3-E99860F33BE8}">
  <dimension ref="A1:G2"/>
  <sheetViews>
    <sheetView workbookViewId="0">
      <selection activeCell="E1" sqref="E1:E2"/>
    </sheetView>
  </sheetViews>
  <sheetFormatPr defaultRowHeight="14.4" x14ac:dyDescent="0.3"/>
  <cols>
    <col min="1" max="2" width="9.33203125" bestFit="1" customWidth="1"/>
    <col min="3" max="3" width="10.21875" bestFit="1" customWidth="1"/>
    <col min="4" max="4" width="11.109375" bestFit="1" customWidth="1"/>
    <col min="5" max="5" width="12.109375" bestFit="1" customWidth="1"/>
    <col min="6" max="6" width="13.77734375" bestFit="1" customWidth="1"/>
    <col min="7" max="7" width="13.33203125" bestFit="1" customWidth="1"/>
  </cols>
  <sheetData>
    <row r="1" spans="1:7" x14ac:dyDescent="0.3">
      <c r="A1" t="s">
        <v>1828</v>
      </c>
      <c r="B1" t="s">
        <v>1829</v>
      </c>
      <c r="C1" t="s">
        <v>1830</v>
      </c>
      <c r="D1" t="s">
        <v>1831</v>
      </c>
      <c r="E1" t="s">
        <v>1835</v>
      </c>
      <c r="F1" t="s">
        <v>1836</v>
      </c>
      <c r="G1" t="s">
        <v>1837</v>
      </c>
    </row>
    <row r="2" spans="1:7" x14ac:dyDescent="0.3">
      <c r="A2" s="3">
        <f>SUM(Raw_Data!J:J)</f>
        <v>17047613</v>
      </c>
      <c r="B2" s="3">
        <f>SUM(Table1[Cost])</f>
        <v>11868686.209999999</v>
      </c>
      <c r="C2" s="3">
        <f>SUM(Table1[Profit])</f>
        <v>5178926.7899999982</v>
      </c>
      <c r="D2">
        <f>COUNTA(Table1[Order ID])</f>
        <v>1200</v>
      </c>
      <c r="E2" s="3">
        <f>AVERAGE(Table13[Sales])</f>
        <v>14206.344166666666</v>
      </c>
      <c r="F2">
        <f>MAX(Table13[Sales])</f>
        <v>49930</v>
      </c>
      <c r="G2">
        <f>MIN(Table13[Sales])</f>
        <v>358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76ACF-C9B1-48CF-8B03-8ADBACC97B66}">
  <dimension ref="A1:D6"/>
  <sheetViews>
    <sheetView workbookViewId="0">
      <selection activeCell="D2" sqref="D2:D5"/>
    </sheetView>
  </sheetViews>
  <sheetFormatPr defaultRowHeight="14.4" x14ac:dyDescent="0.3"/>
  <cols>
    <col min="2" max="2" width="11.77734375" customWidth="1"/>
  </cols>
  <sheetData>
    <row r="1" spans="1:4" x14ac:dyDescent="0.3">
      <c r="A1" t="s">
        <v>4</v>
      </c>
      <c r="B1" t="s">
        <v>1838</v>
      </c>
      <c r="C1" t="s">
        <v>1839</v>
      </c>
      <c r="D1" t="s">
        <v>1835</v>
      </c>
    </row>
    <row r="2" spans="1:4" x14ac:dyDescent="0.3">
      <c r="A2" t="s">
        <v>15</v>
      </c>
      <c r="B2">
        <f>SUMIFS(Table13[Sales],Table13[Region],"North")</f>
        <v>3827772</v>
      </c>
      <c r="C2">
        <f>COUNTIFS(Table13[Region],"North")</f>
        <v>277</v>
      </c>
      <c r="D2" s="3">
        <f>AVERAGEIFS(Table13[Sales],Table13[Region],"North")</f>
        <v>13818.671480144405</v>
      </c>
    </row>
    <row r="3" spans="1:4" x14ac:dyDescent="0.3">
      <c r="A3" t="s">
        <v>29</v>
      </c>
      <c r="B3">
        <f>SUMIFS(Table13[Sales],Table13[Region],"South")</f>
        <v>4648848</v>
      </c>
      <c r="C3">
        <f>COUNTIFS(Table13[Region],"South")</f>
        <v>326</v>
      </c>
      <c r="D3" s="3">
        <f>AVERAGEIFS(Table13[Sales],Table13[Region],"South")</f>
        <v>14260.269938650306</v>
      </c>
    </row>
    <row r="4" spans="1:4" x14ac:dyDescent="0.3">
      <c r="A4" t="s">
        <v>54</v>
      </c>
      <c r="B4">
        <f>SUMIFS(Table13[Sales],Table13[Region],"East")</f>
        <v>4774204</v>
      </c>
      <c r="C4">
        <f>COUNTIFS(Table13[Region],"East")</f>
        <v>318</v>
      </c>
      <c r="D4" s="3">
        <f>AVERAGEIFS(Table13[Sales],Table13[Region],"East")</f>
        <v>15013.220125786163</v>
      </c>
    </row>
    <row r="5" spans="1:4" x14ac:dyDescent="0.3">
      <c r="A5" t="s">
        <v>22</v>
      </c>
      <c r="B5">
        <f>SUMIFS(Table13[Sales],Table13[Region],"West")</f>
        <v>3796789</v>
      </c>
      <c r="C5">
        <f>COUNTIFS(Table13[Region],"West")</f>
        <v>279</v>
      </c>
      <c r="D5" s="3">
        <f>AVERAGEIFS(Table13[Sales],Table13[Region],"West")</f>
        <v>13608.562724014337</v>
      </c>
    </row>
    <row r="6" spans="1:4" x14ac:dyDescent="0.3">
      <c r="B6">
        <f>SUBTOTAL(109,Table3[Total Sales])</f>
        <v>17047613</v>
      </c>
      <c r="C6">
        <f>SUBTOTAL(109,Table3[Orders])</f>
        <v>1200</v>
      </c>
    </row>
  </sheetData>
  <conditionalFormatting sqref="B2:B5">
    <cfRule type="top10" dxfId="7" priority="7" bottom="1" rank="1"/>
    <cfRule type="top10" dxfId="6" priority="8" rank="1"/>
  </conditionalFormatting>
  <conditionalFormatting sqref="C2:C5">
    <cfRule type="top10" dxfId="5" priority="3" bottom="1" rank="1"/>
    <cfRule type="top10" dxfId="4" priority="4" rank="1"/>
    <cfRule type="top10" dxfId="3" priority="5" rank="1"/>
    <cfRule type="top10" dxfId="2" priority="6" rank="1"/>
  </conditionalFormatting>
  <conditionalFormatting sqref="D2:D5">
    <cfRule type="top10" dxfId="1" priority="1" bottom="1" rank="1"/>
    <cfRule type="top10" dxfId="0" priority="2" rank="1"/>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ABB7A-1232-4F7F-B318-E1C5737A6A6D}">
  <dimension ref="A3:L294"/>
  <sheetViews>
    <sheetView workbookViewId="0">
      <selection activeCell="D13" sqref="D13"/>
    </sheetView>
  </sheetViews>
  <sheetFormatPr defaultRowHeight="14.4" x14ac:dyDescent="0.3"/>
  <cols>
    <col min="1" max="1" width="12.5546875" bestFit="1" customWidth="1"/>
    <col min="2" max="2" width="11.6640625" bestFit="1" customWidth="1"/>
    <col min="3" max="3" width="12.109375" bestFit="1" customWidth="1"/>
    <col min="4" max="4" width="14.21875" bestFit="1" customWidth="1"/>
    <col min="5" max="5" width="11.6640625" bestFit="1" customWidth="1"/>
    <col min="7" max="7" width="12.88671875" bestFit="1" customWidth="1"/>
    <col min="8" max="8" width="11.6640625" bestFit="1" customWidth="1"/>
    <col min="10" max="10" width="14.21875" bestFit="1" customWidth="1"/>
    <col min="11" max="11" width="12.109375" bestFit="1" customWidth="1"/>
    <col min="12" max="12" width="11.6640625" bestFit="1" customWidth="1"/>
  </cols>
  <sheetData>
    <row r="3" spans="1:12" x14ac:dyDescent="0.3">
      <c r="A3" s="13" t="s">
        <v>1840</v>
      </c>
      <c r="B3" t="s">
        <v>1842</v>
      </c>
      <c r="D3" s="13" t="s">
        <v>1840</v>
      </c>
      <c r="E3" t="s">
        <v>1842</v>
      </c>
      <c r="G3" s="13" t="s">
        <v>1840</v>
      </c>
      <c r="H3" t="s">
        <v>1842</v>
      </c>
      <c r="J3" s="13" t="s">
        <v>1840</v>
      </c>
      <c r="K3" t="s">
        <v>1843</v>
      </c>
      <c r="L3" t="s">
        <v>1842</v>
      </c>
    </row>
    <row r="4" spans="1:12" x14ac:dyDescent="0.3">
      <c r="A4" s="14" t="s">
        <v>54</v>
      </c>
      <c r="B4" s="3">
        <v>4774204</v>
      </c>
      <c r="D4" s="14" t="s">
        <v>35</v>
      </c>
      <c r="E4" s="3">
        <v>4563725</v>
      </c>
      <c r="G4" s="14" t="s">
        <v>439</v>
      </c>
      <c r="H4" s="3">
        <v>207080</v>
      </c>
      <c r="J4" s="14" t="s">
        <v>35</v>
      </c>
      <c r="K4" s="3">
        <v>1389262.0800000003</v>
      </c>
      <c r="L4" s="3">
        <v>4563725</v>
      </c>
    </row>
    <row r="5" spans="1:12" x14ac:dyDescent="0.3">
      <c r="A5" s="14" t="s">
        <v>15</v>
      </c>
      <c r="B5" s="3">
        <v>3827772</v>
      </c>
      <c r="D5" s="14" t="s">
        <v>24</v>
      </c>
      <c r="E5" s="3">
        <v>4116573</v>
      </c>
      <c r="G5" s="14" t="s">
        <v>377</v>
      </c>
      <c r="H5" s="3">
        <v>179351</v>
      </c>
      <c r="J5" s="14" t="s">
        <v>24</v>
      </c>
      <c r="K5" s="3">
        <v>1247776.5299999996</v>
      </c>
      <c r="L5" s="3">
        <v>4116573</v>
      </c>
    </row>
    <row r="6" spans="1:12" x14ac:dyDescent="0.3">
      <c r="A6" s="14" t="s">
        <v>29</v>
      </c>
      <c r="B6" s="3">
        <v>4648848</v>
      </c>
      <c r="D6" s="14" t="s">
        <v>40</v>
      </c>
      <c r="E6" s="3">
        <v>3932445</v>
      </c>
      <c r="G6" s="14" t="s">
        <v>138</v>
      </c>
      <c r="H6" s="3">
        <v>162260</v>
      </c>
      <c r="J6" s="14" t="s">
        <v>40</v>
      </c>
      <c r="K6" s="3">
        <v>1233727.7000000004</v>
      </c>
      <c r="L6" s="3">
        <v>3932445</v>
      </c>
    </row>
    <row r="7" spans="1:12" x14ac:dyDescent="0.3">
      <c r="A7" s="14" t="s">
        <v>22</v>
      </c>
      <c r="B7" s="3">
        <v>3796789</v>
      </c>
      <c r="D7" s="14" t="s">
        <v>17</v>
      </c>
      <c r="E7" s="3">
        <v>4434870</v>
      </c>
      <c r="G7" s="14" t="s">
        <v>946</v>
      </c>
      <c r="H7" s="3">
        <v>152437</v>
      </c>
      <c r="J7" s="14" t="s">
        <v>17</v>
      </c>
      <c r="K7" s="3">
        <v>1308160.4799999997</v>
      </c>
      <c r="L7" s="3">
        <v>4434870</v>
      </c>
    </row>
    <row r="8" spans="1:12" x14ac:dyDescent="0.3">
      <c r="A8" s="14" t="s">
        <v>1841</v>
      </c>
      <c r="B8" s="3">
        <v>17047613</v>
      </c>
      <c r="D8" s="14" t="s">
        <v>1841</v>
      </c>
      <c r="E8" s="3">
        <v>17047613</v>
      </c>
      <c r="G8" s="14" t="s">
        <v>711</v>
      </c>
      <c r="H8" s="3">
        <v>140985</v>
      </c>
      <c r="J8" s="14" t="s">
        <v>1841</v>
      </c>
      <c r="K8" s="3">
        <v>5178926.79</v>
      </c>
      <c r="L8" s="3">
        <v>17047613</v>
      </c>
    </row>
    <row r="9" spans="1:12" x14ac:dyDescent="0.3">
      <c r="G9" s="14" t="s">
        <v>456</v>
      </c>
      <c r="H9" s="3">
        <v>138342</v>
      </c>
    </row>
    <row r="10" spans="1:12" x14ac:dyDescent="0.3">
      <c r="G10" s="14" t="s">
        <v>114</v>
      </c>
      <c r="H10" s="3">
        <v>134780</v>
      </c>
    </row>
    <row r="11" spans="1:12" x14ac:dyDescent="0.3">
      <c r="A11" s="13" t="s">
        <v>1840</v>
      </c>
      <c r="B11" t="s">
        <v>1843</v>
      </c>
      <c r="D11" s="13" t="s">
        <v>1840</v>
      </c>
      <c r="E11" t="s">
        <v>1842</v>
      </c>
      <c r="G11" s="14" t="s">
        <v>431</v>
      </c>
      <c r="H11" s="3">
        <v>133363</v>
      </c>
    </row>
    <row r="12" spans="1:12" x14ac:dyDescent="0.3">
      <c r="A12" s="14" t="s">
        <v>54</v>
      </c>
      <c r="B12" s="3">
        <v>1481282.4699999995</v>
      </c>
      <c r="D12" s="14" t="s">
        <v>1844</v>
      </c>
      <c r="E12" s="3">
        <v>1129945</v>
      </c>
      <c r="G12" s="14" t="s">
        <v>319</v>
      </c>
      <c r="H12" s="3">
        <v>132956</v>
      </c>
    </row>
    <row r="13" spans="1:12" x14ac:dyDescent="0.3">
      <c r="A13" s="14" t="s">
        <v>15</v>
      </c>
      <c r="B13" s="3">
        <v>1111375.2800000003</v>
      </c>
      <c r="D13" s="14" t="s">
        <v>1845</v>
      </c>
      <c r="E13" s="3">
        <v>1271797</v>
      </c>
      <c r="G13" s="14" t="s">
        <v>423</v>
      </c>
      <c r="H13" s="3">
        <v>130576</v>
      </c>
    </row>
    <row r="14" spans="1:12" x14ac:dyDescent="0.3">
      <c r="A14" s="14" t="s">
        <v>29</v>
      </c>
      <c r="B14" s="3">
        <v>1438063.3699999996</v>
      </c>
      <c r="D14" s="14" t="s">
        <v>1846</v>
      </c>
      <c r="E14" s="3">
        <v>1686437</v>
      </c>
      <c r="G14" s="14" t="s">
        <v>308</v>
      </c>
      <c r="H14" s="3">
        <v>129945</v>
      </c>
    </row>
    <row r="15" spans="1:12" x14ac:dyDescent="0.3">
      <c r="A15" s="14" t="s">
        <v>22</v>
      </c>
      <c r="B15" s="3">
        <v>1148205.6699999997</v>
      </c>
      <c r="D15" s="14" t="s">
        <v>1847</v>
      </c>
      <c r="E15" s="3">
        <v>1692648</v>
      </c>
      <c r="G15" s="14" t="s">
        <v>436</v>
      </c>
      <c r="H15" s="3">
        <v>129374</v>
      </c>
    </row>
    <row r="16" spans="1:12" x14ac:dyDescent="0.3">
      <c r="A16" s="14" t="s">
        <v>1841</v>
      </c>
      <c r="B16" s="3">
        <v>5178926.7899999991</v>
      </c>
      <c r="D16" s="14" t="s">
        <v>1848</v>
      </c>
      <c r="E16" s="3">
        <v>1509559</v>
      </c>
      <c r="G16" s="14" t="s">
        <v>1180</v>
      </c>
      <c r="H16" s="3">
        <v>126252</v>
      </c>
    </row>
    <row r="17" spans="1:8" x14ac:dyDescent="0.3">
      <c r="D17" s="14" t="s">
        <v>1849</v>
      </c>
      <c r="E17" s="3">
        <v>1417732</v>
      </c>
      <c r="G17" s="14" t="s">
        <v>127</v>
      </c>
      <c r="H17" s="3">
        <v>125524</v>
      </c>
    </row>
    <row r="18" spans="1:8" x14ac:dyDescent="0.3">
      <c r="D18" s="14" t="s">
        <v>1850</v>
      </c>
      <c r="E18" s="3">
        <v>1280951</v>
      </c>
      <c r="G18" s="14" t="s">
        <v>365</v>
      </c>
      <c r="H18" s="3">
        <v>124967</v>
      </c>
    </row>
    <row r="19" spans="1:8" x14ac:dyDescent="0.3">
      <c r="A19" s="13" t="s">
        <v>1840</v>
      </c>
      <c r="B19" t="s">
        <v>1842</v>
      </c>
      <c r="D19" s="14" t="s">
        <v>1851</v>
      </c>
      <c r="E19" s="3">
        <v>1295965</v>
      </c>
      <c r="G19" s="14" t="s">
        <v>508</v>
      </c>
      <c r="H19" s="3">
        <v>124834</v>
      </c>
    </row>
    <row r="20" spans="1:8" x14ac:dyDescent="0.3">
      <c r="A20" s="14" t="s">
        <v>56</v>
      </c>
      <c r="B20" s="3">
        <v>1136784</v>
      </c>
      <c r="D20" s="14" t="s">
        <v>1852</v>
      </c>
      <c r="E20" s="3">
        <v>1131465</v>
      </c>
      <c r="G20" s="14" t="s">
        <v>1145</v>
      </c>
      <c r="H20" s="3">
        <v>124755</v>
      </c>
    </row>
    <row r="21" spans="1:8" x14ac:dyDescent="0.3">
      <c r="A21" s="14" t="s">
        <v>41</v>
      </c>
      <c r="B21" s="3">
        <v>1307692</v>
      </c>
      <c r="D21" s="14" t="s">
        <v>1853</v>
      </c>
      <c r="E21" s="3">
        <v>1680567</v>
      </c>
      <c r="G21" s="14" t="s">
        <v>749</v>
      </c>
      <c r="H21" s="3">
        <v>124675</v>
      </c>
    </row>
    <row r="22" spans="1:8" x14ac:dyDescent="0.3">
      <c r="A22" s="14" t="s">
        <v>72</v>
      </c>
      <c r="B22" s="3">
        <v>1345426</v>
      </c>
      <c r="D22" s="14" t="s">
        <v>1854</v>
      </c>
      <c r="E22" s="3">
        <v>1381416</v>
      </c>
      <c r="G22" s="14" t="s">
        <v>359</v>
      </c>
      <c r="H22" s="3">
        <v>122746</v>
      </c>
    </row>
    <row r="23" spans="1:8" x14ac:dyDescent="0.3">
      <c r="A23" s="14" t="s">
        <v>25</v>
      </c>
      <c r="B23" s="3">
        <v>1363018</v>
      </c>
      <c r="D23" s="14" t="s">
        <v>1855</v>
      </c>
      <c r="E23" s="3">
        <v>1569131</v>
      </c>
      <c r="G23" s="14" t="s">
        <v>381</v>
      </c>
      <c r="H23" s="3">
        <v>121718</v>
      </c>
    </row>
    <row r="24" spans="1:8" x14ac:dyDescent="0.3">
      <c r="A24" s="14" t="s">
        <v>50</v>
      </c>
      <c r="B24" s="3">
        <v>1366116</v>
      </c>
      <c r="D24" s="14" t="s">
        <v>1841</v>
      </c>
      <c r="E24" s="3">
        <v>17047613</v>
      </c>
      <c r="G24" s="14" t="s">
        <v>327</v>
      </c>
      <c r="H24" s="3">
        <v>121244</v>
      </c>
    </row>
    <row r="25" spans="1:8" x14ac:dyDescent="0.3">
      <c r="A25" s="14" t="s">
        <v>166</v>
      </c>
      <c r="B25" s="3">
        <v>1387439</v>
      </c>
      <c r="G25" s="14" t="s">
        <v>989</v>
      </c>
      <c r="H25" s="3">
        <v>119390</v>
      </c>
    </row>
    <row r="26" spans="1:8" x14ac:dyDescent="0.3">
      <c r="A26" s="14" t="s">
        <v>80</v>
      </c>
      <c r="B26" s="3">
        <v>1396073</v>
      </c>
      <c r="G26" s="14" t="s">
        <v>610</v>
      </c>
      <c r="H26" s="3">
        <v>118997</v>
      </c>
    </row>
    <row r="27" spans="1:8" x14ac:dyDescent="0.3">
      <c r="A27" s="14" t="s">
        <v>18</v>
      </c>
      <c r="B27" s="3">
        <v>1456615</v>
      </c>
      <c r="G27" s="14" t="s">
        <v>1029</v>
      </c>
      <c r="H27" s="3">
        <v>117468</v>
      </c>
    </row>
    <row r="28" spans="1:8" x14ac:dyDescent="0.3">
      <c r="A28" s="14" t="s">
        <v>99</v>
      </c>
      <c r="B28" s="3">
        <v>1487969</v>
      </c>
      <c r="G28" s="14" t="s">
        <v>599</v>
      </c>
      <c r="H28" s="3">
        <v>116722</v>
      </c>
    </row>
    <row r="29" spans="1:8" x14ac:dyDescent="0.3">
      <c r="A29" s="14" t="s">
        <v>45</v>
      </c>
      <c r="B29" s="3">
        <v>1546712</v>
      </c>
      <c r="G29" s="14" t="s">
        <v>190</v>
      </c>
      <c r="H29" s="3">
        <v>115881</v>
      </c>
    </row>
    <row r="30" spans="1:8" x14ac:dyDescent="0.3">
      <c r="A30" s="14" t="s">
        <v>36</v>
      </c>
      <c r="B30" s="3">
        <v>1620940</v>
      </c>
      <c r="G30" s="14" t="s">
        <v>580</v>
      </c>
      <c r="H30" s="3">
        <v>114352</v>
      </c>
    </row>
    <row r="31" spans="1:8" x14ac:dyDescent="0.3">
      <c r="A31" s="14" t="s">
        <v>31</v>
      </c>
      <c r="B31" s="3">
        <v>1632829</v>
      </c>
      <c r="G31" s="14" t="s">
        <v>98</v>
      </c>
      <c r="H31" s="3">
        <v>112965</v>
      </c>
    </row>
    <row r="32" spans="1:8" x14ac:dyDescent="0.3">
      <c r="A32" s="14" t="s">
        <v>1841</v>
      </c>
      <c r="B32" s="3">
        <v>17047613</v>
      </c>
      <c r="G32" s="14" t="s">
        <v>252</v>
      </c>
      <c r="H32" s="3">
        <v>109826</v>
      </c>
    </row>
    <row r="33" spans="7:8" x14ac:dyDescent="0.3">
      <c r="G33" s="14" t="s">
        <v>78</v>
      </c>
      <c r="H33" s="3">
        <v>108151</v>
      </c>
    </row>
    <row r="34" spans="7:8" x14ac:dyDescent="0.3">
      <c r="G34" s="14" t="s">
        <v>813</v>
      </c>
      <c r="H34" s="3">
        <v>105816</v>
      </c>
    </row>
    <row r="35" spans="7:8" x14ac:dyDescent="0.3">
      <c r="G35" s="14" t="s">
        <v>354</v>
      </c>
      <c r="H35" s="3">
        <v>105372</v>
      </c>
    </row>
    <row r="36" spans="7:8" x14ac:dyDescent="0.3">
      <c r="G36" s="14" t="s">
        <v>661</v>
      </c>
      <c r="H36" s="3">
        <v>103791</v>
      </c>
    </row>
    <row r="37" spans="7:8" x14ac:dyDescent="0.3">
      <c r="G37" s="14" t="s">
        <v>258</v>
      </c>
      <c r="H37" s="3">
        <v>102933</v>
      </c>
    </row>
    <row r="38" spans="7:8" x14ac:dyDescent="0.3">
      <c r="G38" s="14" t="s">
        <v>223</v>
      </c>
      <c r="H38" s="3">
        <v>102286</v>
      </c>
    </row>
    <row r="39" spans="7:8" x14ac:dyDescent="0.3">
      <c r="G39" s="14" t="s">
        <v>673</v>
      </c>
      <c r="H39" s="3">
        <v>102171</v>
      </c>
    </row>
    <row r="40" spans="7:8" x14ac:dyDescent="0.3">
      <c r="G40" s="14" t="s">
        <v>130</v>
      </c>
      <c r="H40" s="3">
        <v>101908</v>
      </c>
    </row>
    <row r="41" spans="7:8" x14ac:dyDescent="0.3">
      <c r="G41" s="14" t="s">
        <v>663</v>
      </c>
      <c r="H41" s="3">
        <v>100414</v>
      </c>
    </row>
    <row r="42" spans="7:8" x14ac:dyDescent="0.3">
      <c r="G42" s="14" t="s">
        <v>338</v>
      </c>
      <c r="H42" s="3">
        <v>99602</v>
      </c>
    </row>
    <row r="43" spans="7:8" x14ac:dyDescent="0.3">
      <c r="G43" s="14" t="s">
        <v>340</v>
      </c>
      <c r="H43" s="3">
        <v>99328</v>
      </c>
    </row>
    <row r="44" spans="7:8" x14ac:dyDescent="0.3">
      <c r="G44" s="14" t="s">
        <v>362</v>
      </c>
      <c r="H44" s="3">
        <v>99054</v>
      </c>
    </row>
    <row r="45" spans="7:8" x14ac:dyDescent="0.3">
      <c r="G45" s="14" t="s">
        <v>894</v>
      </c>
      <c r="H45" s="3">
        <v>99034</v>
      </c>
    </row>
    <row r="46" spans="7:8" x14ac:dyDescent="0.3">
      <c r="G46" s="14" t="s">
        <v>691</v>
      </c>
      <c r="H46" s="3">
        <v>98898</v>
      </c>
    </row>
    <row r="47" spans="7:8" x14ac:dyDescent="0.3">
      <c r="G47" s="14" t="s">
        <v>977</v>
      </c>
      <c r="H47" s="3">
        <v>98475</v>
      </c>
    </row>
    <row r="48" spans="7:8" x14ac:dyDescent="0.3">
      <c r="G48" s="14" t="s">
        <v>249</v>
      </c>
      <c r="H48" s="3">
        <v>98407</v>
      </c>
    </row>
    <row r="49" spans="7:8" x14ac:dyDescent="0.3">
      <c r="G49" s="14" t="s">
        <v>488</v>
      </c>
      <c r="H49" s="3">
        <v>95275</v>
      </c>
    </row>
    <row r="50" spans="7:8" x14ac:dyDescent="0.3">
      <c r="G50" s="14" t="s">
        <v>524</v>
      </c>
      <c r="H50" s="3">
        <v>93870</v>
      </c>
    </row>
    <row r="51" spans="7:8" x14ac:dyDescent="0.3">
      <c r="G51" s="14" t="s">
        <v>571</v>
      </c>
      <c r="H51" s="3">
        <v>93546</v>
      </c>
    </row>
    <row r="52" spans="7:8" x14ac:dyDescent="0.3">
      <c r="G52" s="14" t="s">
        <v>335</v>
      </c>
      <c r="H52" s="3">
        <v>92137</v>
      </c>
    </row>
    <row r="53" spans="7:8" x14ac:dyDescent="0.3">
      <c r="G53" s="14" t="s">
        <v>70</v>
      </c>
      <c r="H53" s="3">
        <v>92096</v>
      </c>
    </row>
    <row r="54" spans="7:8" x14ac:dyDescent="0.3">
      <c r="G54" s="14" t="s">
        <v>221</v>
      </c>
      <c r="H54" s="3">
        <v>91916</v>
      </c>
    </row>
    <row r="55" spans="7:8" x14ac:dyDescent="0.3">
      <c r="G55" s="14" t="s">
        <v>39</v>
      </c>
      <c r="H55" s="3">
        <v>91720</v>
      </c>
    </row>
    <row r="56" spans="7:8" x14ac:dyDescent="0.3">
      <c r="G56" s="14" t="s">
        <v>1026</v>
      </c>
      <c r="H56" s="3">
        <v>90603</v>
      </c>
    </row>
    <row r="57" spans="7:8" x14ac:dyDescent="0.3">
      <c r="G57" s="14" t="s">
        <v>484</v>
      </c>
      <c r="H57" s="3">
        <v>90576</v>
      </c>
    </row>
    <row r="58" spans="7:8" x14ac:dyDescent="0.3">
      <c r="G58" s="14" t="s">
        <v>719</v>
      </c>
      <c r="H58" s="3">
        <v>89754</v>
      </c>
    </row>
    <row r="59" spans="7:8" x14ac:dyDescent="0.3">
      <c r="G59" s="14" t="s">
        <v>852</v>
      </c>
      <c r="H59" s="3">
        <v>89653</v>
      </c>
    </row>
    <row r="60" spans="7:8" x14ac:dyDescent="0.3">
      <c r="G60" s="14" t="s">
        <v>59</v>
      </c>
      <c r="H60" s="3">
        <v>89400</v>
      </c>
    </row>
    <row r="61" spans="7:8" x14ac:dyDescent="0.3">
      <c r="G61" s="14" t="s">
        <v>264</v>
      </c>
      <c r="H61" s="3">
        <v>89342</v>
      </c>
    </row>
    <row r="62" spans="7:8" x14ac:dyDescent="0.3">
      <c r="G62" s="14" t="s">
        <v>48</v>
      </c>
      <c r="H62" s="3">
        <v>89159</v>
      </c>
    </row>
    <row r="63" spans="7:8" x14ac:dyDescent="0.3">
      <c r="G63" s="14" t="s">
        <v>656</v>
      </c>
      <c r="H63" s="3">
        <v>88455</v>
      </c>
    </row>
    <row r="64" spans="7:8" x14ac:dyDescent="0.3">
      <c r="G64" s="14" t="s">
        <v>746</v>
      </c>
      <c r="H64" s="3">
        <v>87901</v>
      </c>
    </row>
    <row r="65" spans="7:8" x14ac:dyDescent="0.3">
      <c r="G65" s="14" t="s">
        <v>14</v>
      </c>
      <c r="H65" s="3">
        <v>87562</v>
      </c>
    </row>
    <row r="66" spans="7:8" x14ac:dyDescent="0.3">
      <c r="G66" s="14" t="s">
        <v>459</v>
      </c>
      <c r="H66" s="3">
        <v>85445</v>
      </c>
    </row>
    <row r="67" spans="7:8" x14ac:dyDescent="0.3">
      <c r="G67" s="14" t="s">
        <v>1117</v>
      </c>
      <c r="H67" s="3">
        <v>83159</v>
      </c>
    </row>
    <row r="68" spans="7:8" x14ac:dyDescent="0.3">
      <c r="G68" s="14" t="s">
        <v>160</v>
      </c>
      <c r="H68" s="3">
        <v>82769</v>
      </c>
    </row>
    <row r="69" spans="7:8" x14ac:dyDescent="0.3">
      <c r="G69" s="14" t="s">
        <v>520</v>
      </c>
      <c r="H69" s="3">
        <v>81752</v>
      </c>
    </row>
    <row r="70" spans="7:8" x14ac:dyDescent="0.3">
      <c r="G70" s="14" t="s">
        <v>631</v>
      </c>
      <c r="H70" s="3">
        <v>81739</v>
      </c>
    </row>
    <row r="71" spans="7:8" x14ac:dyDescent="0.3">
      <c r="G71" s="14" t="s">
        <v>369</v>
      </c>
      <c r="H71" s="3">
        <v>80634</v>
      </c>
    </row>
    <row r="72" spans="7:8" x14ac:dyDescent="0.3">
      <c r="G72" s="14" t="s">
        <v>647</v>
      </c>
      <c r="H72" s="3">
        <v>80068</v>
      </c>
    </row>
    <row r="73" spans="7:8" x14ac:dyDescent="0.3">
      <c r="G73" s="14" t="s">
        <v>108</v>
      </c>
      <c r="H73" s="3">
        <v>79494</v>
      </c>
    </row>
    <row r="74" spans="7:8" x14ac:dyDescent="0.3">
      <c r="G74" s="14" t="s">
        <v>650</v>
      </c>
      <c r="H74" s="3">
        <v>79409</v>
      </c>
    </row>
    <row r="75" spans="7:8" x14ac:dyDescent="0.3">
      <c r="G75" s="14" t="s">
        <v>385</v>
      </c>
      <c r="H75" s="3">
        <v>79329</v>
      </c>
    </row>
    <row r="76" spans="7:8" x14ac:dyDescent="0.3">
      <c r="G76" s="14" t="s">
        <v>1011</v>
      </c>
      <c r="H76" s="3">
        <v>79105</v>
      </c>
    </row>
    <row r="77" spans="7:8" x14ac:dyDescent="0.3">
      <c r="G77" s="14" t="s">
        <v>89</v>
      </c>
      <c r="H77" s="3">
        <v>79079</v>
      </c>
    </row>
    <row r="78" spans="7:8" x14ac:dyDescent="0.3">
      <c r="G78" s="14" t="s">
        <v>447</v>
      </c>
      <c r="H78" s="3">
        <v>77284</v>
      </c>
    </row>
    <row r="79" spans="7:8" x14ac:dyDescent="0.3">
      <c r="G79" s="14" t="s">
        <v>696</v>
      </c>
      <c r="H79" s="3">
        <v>77234</v>
      </c>
    </row>
    <row r="80" spans="7:8" x14ac:dyDescent="0.3">
      <c r="G80" s="14" t="s">
        <v>174</v>
      </c>
      <c r="H80" s="3">
        <v>77079</v>
      </c>
    </row>
    <row r="81" spans="7:8" x14ac:dyDescent="0.3">
      <c r="G81" s="14" t="s">
        <v>781</v>
      </c>
      <c r="H81" s="3">
        <v>76971</v>
      </c>
    </row>
    <row r="82" spans="7:8" x14ac:dyDescent="0.3">
      <c r="G82" s="14" t="s">
        <v>302</v>
      </c>
      <c r="H82" s="3">
        <v>76745</v>
      </c>
    </row>
    <row r="83" spans="7:8" x14ac:dyDescent="0.3">
      <c r="G83" s="14" t="s">
        <v>401</v>
      </c>
      <c r="H83" s="3">
        <v>76011</v>
      </c>
    </row>
    <row r="84" spans="7:8" x14ac:dyDescent="0.3">
      <c r="G84" s="14" t="s">
        <v>536</v>
      </c>
      <c r="H84" s="3">
        <v>75947</v>
      </c>
    </row>
    <row r="85" spans="7:8" x14ac:dyDescent="0.3">
      <c r="G85" s="14" t="s">
        <v>442</v>
      </c>
      <c r="H85" s="3">
        <v>75151</v>
      </c>
    </row>
    <row r="86" spans="7:8" x14ac:dyDescent="0.3">
      <c r="G86" s="14" t="s">
        <v>141</v>
      </c>
      <c r="H86" s="3">
        <v>74995</v>
      </c>
    </row>
    <row r="87" spans="7:8" x14ac:dyDescent="0.3">
      <c r="G87" s="14" t="s">
        <v>577</v>
      </c>
      <c r="H87" s="3">
        <v>74982</v>
      </c>
    </row>
    <row r="88" spans="7:8" x14ac:dyDescent="0.3">
      <c r="G88" s="14" t="s">
        <v>1165</v>
      </c>
      <c r="H88" s="3">
        <v>74256</v>
      </c>
    </row>
    <row r="89" spans="7:8" x14ac:dyDescent="0.3">
      <c r="G89" s="14" t="s">
        <v>255</v>
      </c>
      <c r="H89" s="3">
        <v>73549</v>
      </c>
    </row>
    <row r="90" spans="7:8" x14ac:dyDescent="0.3">
      <c r="G90" s="14" t="s">
        <v>1226</v>
      </c>
      <c r="H90" s="3">
        <v>73276</v>
      </c>
    </row>
    <row r="91" spans="7:8" x14ac:dyDescent="0.3">
      <c r="G91" s="14" t="s">
        <v>725</v>
      </c>
      <c r="H91" s="3">
        <v>72065</v>
      </c>
    </row>
    <row r="92" spans="7:8" x14ac:dyDescent="0.3">
      <c r="G92" s="14" t="s">
        <v>466</v>
      </c>
      <c r="H92" s="3">
        <v>71978</v>
      </c>
    </row>
    <row r="93" spans="7:8" x14ac:dyDescent="0.3">
      <c r="G93" s="14" t="s">
        <v>293</v>
      </c>
      <c r="H93" s="3">
        <v>71940</v>
      </c>
    </row>
    <row r="94" spans="7:8" x14ac:dyDescent="0.3">
      <c r="G94" s="14" t="s">
        <v>839</v>
      </c>
      <c r="H94" s="3">
        <v>70859</v>
      </c>
    </row>
    <row r="95" spans="7:8" x14ac:dyDescent="0.3">
      <c r="G95" s="14" t="s">
        <v>1437</v>
      </c>
      <c r="H95" s="3">
        <v>70400</v>
      </c>
    </row>
    <row r="96" spans="7:8" x14ac:dyDescent="0.3">
      <c r="G96" s="14" t="s">
        <v>163</v>
      </c>
      <c r="H96" s="3">
        <v>70308</v>
      </c>
    </row>
    <row r="97" spans="7:8" x14ac:dyDescent="0.3">
      <c r="G97" s="14" t="s">
        <v>478</v>
      </c>
      <c r="H97" s="3">
        <v>70222</v>
      </c>
    </row>
    <row r="98" spans="7:8" x14ac:dyDescent="0.3">
      <c r="G98" s="14" t="s">
        <v>399</v>
      </c>
      <c r="H98" s="3">
        <v>69999</v>
      </c>
    </row>
    <row r="99" spans="7:8" x14ac:dyDescent="0.3">
      <c r="G99" s="14" t="s">
        <v>605</v>
      </c>
      <c r="H99" s="3">
        <v>69870</v>
      </c>
    </row>
    <row r="100" spans="7:8" x14ac:dyDescent="0.3">
      <c r="G100" s="14" t="s">
        <v>177</v>
      </c>
      <c r="H100" s="3">
        <v>69316</v>
      </c>
    </row>
    <row r="101" spans="7:8" x14ac:dyDescent="0.3">
      <c r="G101" s="14" t="s">
        <v>944</v>
      </c>
      <c r="H101" s="3">
        <v>68265</v>
      </c>
    </row>
    <row r="102" spans="7:8" x14ac:dyDescent="0.3">
      <c r="G102" s="14" t="s">
        <v>198</v>
      </c>
      <c r="H102" s="3">
        <v>67731</v>
      </c>
    </row>
    <row r="103" spans="7:8" x14ac:dyDescent="0.3">
      <c r="G103" s="14" t="s">
        <v>232</v>
      </c>
      <c r="H103" s="3">
        <v>67661</v>
      </c>
    </row>
    <row r="104" spans="7:8" x14ac:dyDescent="0.3">
      <c r="G104" s="14" t="s">
        <v>797</v>
      </c>
      <c r="H104" s="3">
        <v>67394</v>
      </c>
    </row>
    <row r="105" spans="7:8" x14ac:dyDescent="0.3">
      <c r="G105" s="14" t="s">
        <v>204</v>
      </c>
      <c r="H105" s="3">
        <v>67357</v>
      </c>
    </row>
    <row r="106" spans="7:8" x14ac:dyDescent="0.3">
      <c r="G106" s="14" t="s">
        <v>496</v>
      </c>
      <c r="H106" s="3">
        <v>67334</v>
      </c>
    </row>
    <row r="107" spans="7:8" x14ac:dyDescent="0.3">
      <c r="G107" s="14" t="s">
        <v>383</v>
      </c>
      <c r="H107" s="3">
        <v>67218</v>
      </c>
    </row>
    <row r="108" spans="7:8" x14ac:dyDescent="0.3">
      <c r="G108" s="14" t="s">
        <v>607</v>
      </c>
      <c r="H108" s="3">
        <v>67192</v>
      </c>
    </row>
    <row r="109" spans="7:8" x14ac:dyDescent="0.3">
      <c r="G109" s="14" t="s">
        <v>215</v>
      </c>
      <c r="H109" s="3">
        <v>66898</v>
      </c>
    </row>
    <row r="110" spans="7:8" x14ac:dyDescent="0.3">
      <c r="G110" s="14" t="s">
        <v>417</v>
      </c>
      <c r="H110" s="3">
        <v>66741</v>
      </c>
    </row>
    <row r="111" spans="7:8" x14ac:dyDescent="0.3">
      <c r="G111" s="14" t="s">
        <v>229</v>
      </c>
      <c r="H111" s="3">
        <v>66674</v>
      </c>
    </row>
    <row r="112" spans="7:8" x14ac:dyDescent="0.3">
      <c r="G112" s="14" t="s">
        <v>1309</v>
      </c>
      <c r="H112" s="3">
        <v>65901</v>
      </c>
    </row>
    <row r="113" spans="7:8" x14ac:dyDescent="0.3">
      <c r="G113" s="14" t="s">
        <v>987</v>
      </c>
      <c r="H113" s="3">
        <v>65497</v>
      </c>
    </row>
    <row r="114" spans="7:8" x14ac:dyDescent="0.3">
      <c r="G114" s="14" t="s">
        <v>612</v>
      </c>
      <c r="H114" s="3">
        <v>65383</v>
      </c>
    </row>
    <row r="115" spans="7:8" x14ac:dyDescent="0.3">
      <c r="G115" s="14" t="s">
        <v>243</v>
      </c>
      <c r="H115" s="3">
        <v>65345</v>
      </c>
    </row>
    <row r="116" spans="7:8" x14ac:dyDescent="0.3">
      <c r="G116" s="14" t="s">
        <v>475</v>
      </c>
      <c r="H116" s="3">
        <v>65049</v>
      </c>
    </row>
    <row r="117" spans="7:8" x14ac:dyDescent="0.3">
      <c r="G117" s="14" t="s">
        <v>654</v>
      </c>
      <c r="H117" s="3">
        <v>64759</v>
      </c>
    </row>
    <row r="118" spans="7:8" x14ac:dyDescent="0.3">
      <c r="G118" s="14" t="s">
        <v>394</v>
      </c>
      <c r="H118" s="3">
        <v>64077</v>
      </c>
    </row>
    <row r="119" spans="7:8" x14ac:dyDescent="0.3">
      <c r="G119" s="14" t="s">
        <v>888</v>
      </c>
      <c r="H119" s="3">
        <v>64034</v>
      </c>
    </row>
    <row r="120" spans="7:8" x14ac:dyDescent="0.3">
      <c r="G120" s="14" t="s">
        <v>554</v>
      </c>
      <c r="H120" s="3">
        <v>63849</v>
      </c>
    </row>
    <row r="121" spans="7:8" x14ac:dyDescent="0.3">
      <c r="G121" s="14" t="s">
        <v>1048</v>
      </c>
      <c r="H121" s="3">
        <v>63645</v>
      </c>
    </row>
    <row r="122" spans="7:8" x14ac:dyDescent="0.3">
      <c r="G122" s="14" t="s">
        <v>322</v>
      </c>
      <c r="H122" s="3">
        <v>63450</v>
      </c>
    </row>
    <row r="123" spans="7:8" x14ac:dyDescent="0.3">
      <c r="G123" s="14" t="s">
        <v>124</v>
      </c>
      <c r="H123" s="3">
        <v>63381</v>
      </c>
    </row>
    <row r="124" spans="7:8" x14ac:dyDescent="0.3">
      <c r="G124" s="14" t="s">
        <v>816</v>
      </c>
      <c r="H124" s="3">
        <v>63369</v>
      </c>
    </row>
    <row r="125" spans="7:8" x14ac:dyDescent="0.3">
      <c r="G125" s="14" t="s">
        <v>62</v>
      </c>
      <c r="H125" s="3">
        <v>63164</v>
      </c>
    </row>
    <row r="126" spans="7:8" x14ac:dyDescent="0.3">
      <c r="G126" s="14" t="s">
        <v>575</v>
      </c>
      <c r="H126" s="3">
        <v>63160</v>
      </c>
    </row>
    <row r="127" spans="7:8" x14ac:dyDescent="0.3">
      <c r="G127" s="14" t="s">
        <v>769</v>
      </c>
      <c r="H127" s="3">
        <v>63016</v>
      </c>
    </row>
    <row r="128" spans="7:8" x14ac:dyDescent="0.3">
      <c r="G128" s="14" t="s">
        <v>86</v>
      </c>
      <c r="H128" s="3">
        <v>61613</v>
      </c>
    </row>
    <row r="129" spans="7:8" x14ac:dyDescent="0.3">
      <c r="G129" s="14" t="s">
        <v>659</v>
      </c>
      <c r="H129" s="3">
        <v>60827</v>
      </c>
    </row>
    <row r="130" spans="7:8" x14ac:dyDescent="0.3">
      <c r="G130" s="14" t="s">
        <v>589</v>
      </c>
      <c r="H130" s="3">
        <v>60551</v>
      </c>
    </row>
    <row r="131" spans="7:8" x14ac:dyDescent="0.3">
      <c r="G131" s="14" t="s">
        <v>121</v>
      </c>
      <c r="H131" s="3">
        <v>60297</v>
      </c>
    </row>
    <row r="132" spans="7:8" x14ac:dyDescent="0.3">
      <c r="G132" s="14" t="s">
        <v>453</v>
      </c>
      <c r="H132" s="3">
        <v>59924</v>
      </c>
    </row>
    <row r="133" spans="7:8" x14ac:dyDescent="0.3">
      <c r="G133" s="14" t="s">
        <v>408</v>
      </c>
      <c r="H133" s="3">
        <v>59352</v>
      </c>
    </row>
    <row r="134" spans="7:8" x14ac:dyDescent="0.3">
      <c r="G134" s="14" t="s">
        <v>531</v>
      </c>
      <c r="H134" s="3">
        <v>58496</v>
      </c>
    </row>
    <row r="135" spans="7:8" x14ac:dyDescent="0.3">
      <c r="G135" s="14" t="s">
        <v>414</v>
      </c>
      <c r="H135" s="3">
        <v>58290</v>
      </c>
    </row>
    <row r="136" spans="7:8" x14ac:dyDescent="0.3">
      <c r="G136" s="14" t="s">
        <v>492</v>
      </c>
      <c r="H136" s="3">
        <v>57334</v>
      </c>
    </row>
    <row r="137" spans="7:8" x14ac:dyDescent="0.3">
      <c r="G137" s="14" t="s">
        <v>561</v>
      </c>
      <c r="H137" s="3">
        <v>56315</v>
      </c>
    </row>
    <row r="138" spans="7:8" x14ac:dyDescent="0.3">
      <c r="G138" s="14" t="s">
        <v>602</v>
      </c>
      <c r="H138" s="3">
        <v>56156</v>
      </c>
    </row>
    <row r="139" spans="7:8" x14ac:dyDescent="0.3">
      <c r="G139" s="14" t="s">
        <v>150</v>
      </c>
      <c r="H139" s="3">
        <v>55732</v>
      </c>
    </row>
    <row r="140" spans="7:8" x14ac:dyDescent="0.3">
      <c r="G140" s="14" t="s">
        <v>869</v>
      </c>
      <c r="H140" s="3">
        <v>55707</v>
      </c>
    </row>
    <row r="141" spans="7:8" x14ac:dyDescent="0.3">
      <c r="G141" s="14" t="s">
        <v>671</v>
      </c>
      <c r="H141" s="3">
        <v>55284</v>
      </c>
    </row>
    <row r="142" spans="7:8" x14ac:dyDescent="0.3">
      <c r="G142" s="14" t="s">
        <v>775</v>
      </c>
      <c r="H142" s="3">
        <v>55264</v>
      </c>
    </row>
    <row r="143" spans="7:8" x14ac:dyDescent="0.3">
      <c r="G143" s="14" t="s">
        <v>83</v>
      </c>
      <c r="H143" s="3">
        <v>55241</v>
      </c>
    </row>
    <row r="144" spans="7:8" x14ac:dyDescent="0.3">
      <c r="G144" s="14" t="s">
        <v>533</v>
      </c>
      <c r="H144" s="3">
        <v>55011</v>
      </c>
    </row>
    <row r="145" spans="7:8" x14ac:dyDescent="0.3">
      <c r="G145" s="14" t="s">
        <v>193</v>
      </c>
      <c r="H145" s="3">
        <v>54572</v>
      </c>
    </row>
    <row r="146" spans="7:8" x14ac:dyDescent="0.3">
      <c r="G146" s="14" t="s">
        <v>1361</v>
      </c>
      <c r="H146" s="3">
        <v>54558</v>
      </c>
    </row>
    <row r="147" spans="7:8" x14ac:dyDescent="0.3">
      <c r="G147" s="14" t="s">
        <v>325</v>
      </c>
      <c r="H147" s="3">
        <v>54439</v>
      </c>
    </row>
    <row r="148" spans="7:8" x14ac:dyDescent="0.3">
      <c r="G148" s="14" t="s">
        <v>1233</v>
      </c>
      <c r="H148" s="3">
        <v>54372</v>
      </c>
    </row>
    <row r="149" spans="7:8" x14ac:dyDescent="0.3">
      <c r="G149" s="14" t="s">
        <v>743</v>
      </c>
      <c r="H149" s="3">
        <v>54214</v>
      </c>
    </row>
    <row r="150" spans="7:8" x14ac:dyDescent="0.3">
      <c r="G150" s="14" t="s">
        <v>563</v>
      </c>
      <c r="H150" s="3">
        <v>54087</v>
      </c>
    </row>
    <row r="151" spans="7:8" x14ac:dyDescent="0.3">
      <c r="G151" s="14" t="s">
        <v>145</v>
      </c>
      <c r="H151" s="3">
        <v>53619</v>
      </c>
    </row>
    <row r="152" spans="7:8" x14ac:dyDescent="0.3">
      <c r="G152" s="14" t="s">
        <v>917</v>
      </c>
      <c r="H152" s="3">
        <v>53604</v>
      </c>
    </row>
    <row r="153" spans="7:8" x14ac:dyDescent="0.3">
      <c r="G153" s="14" t="s">
        <v>184</v>
      </c>
      <c r="H153" s="3">
        <v>53373</v>
      </c>
    </row>
    <row r="154" spans="7:8" x14ac:dyDescent="0.3">
      <c r="G154" s="14" t="s">
        <v>884</v>
      </c>
      <c r="H154" s="3">
        <v>53314</v>
      </c>
    </row>
    <row r="155" spans="7:8" x14ac:dyDescent="0.3">
      <c r="G155" s="14" t="s">
        <v>665</v>
      </c>
      <c r="H155" s="3">
        <v>52985</v>
      </c>
    </row>
    <row r="156" spans="7:8" x14ac:dyDescent="0.3">
      <c r="G156" s="14" t="s">
        <v>722</v>
      </c>
      <c r="H156" s="3">
        <v>52552</v>
      </c>
    </row>
    <row r="157" spans="7:8" x14ac:dyDescent="0.3">
      <c r="G157" s="14" t="s">
        <v>1282</v>
      </c>
      <c r="H157" s="3">
        <v>52124</v>
      </c>
    </row>
    <row r="158" spans="7:8" x14ac:dyDescent="0.3">
      <c r="G158" s="14" t="s">
        <v>1131</v>
      </c>
      <c r="H158" s="3">
        <v>52112</v>
      </c>
    </row>
    <row r="159" spans="7:8" x14ac:dyDescent="0.3">
      <c r="G159" s="14" t="s">
        <v>1334</v>
      </c>
      <c r="H159" s="3">
        <v>52103</v>
      </c>
    </row>
    <row r="160" spans="7:8" x14ac:dyDescent="0.3">
      <c r="G160" s="14" t="s">
        <v>1063</v>
      </c>
      <c r="H160" s="3">
        <v>51383</v>
      </c>
    </row>
    <row r="161" spans="7:8" x14ac:dyDescent="0.3">
      <c r="G161" s="14" t="s">
        <v>629</v>
      </c>
      <c r="H161" s="3">
        <v>51361</v>
      </c>
    </row>
    <row r="162" spans="7:8" x14ac:dyDescent="0.3">
      <c r="G162" s="14" t="s">
        <v>305</v>
      </c>
      <c r="H162" s="3">
        <v>51291</v>
      </c>
    </row>
    <row r="163" spans="7:8" x14ac:dyDescent="0.3">
      <c r="G163" s="14" t="s">
        <v>158</v>
      </c>
      <c r="H163" s="3">
        <v>51190</v>
      </c>
    </row>
    <row r="164" spans="7:8" x14ac:dyDescent="0.3">
      <c r="G164" s="14" t="s">
        <v>187</v>
      </c>
      <c r="H164" s="3">
        <v>50920</v>
      </c>
    </row>
    <row r="165" spans="7:8" x14ac:dyDescent="0.3">
      <c r="G165" s="14" t="s">
        <v>931</v>
      </c>
      <c r="H165" s="3">
        <v>50540</v>
      </c>
    </row>
    <row r="166" spans="7:8" x14ac:dyDescent="0.3">
      <c r="G166" s="14" t="s">
        <v>172</v>
      </c>
      <c r="H166" s="3">
        <v>50482</v>
      </c>
    </row>
    <row r="167" spans="7:8" x14ac:dyDescent="0.3">
      <c r="G167" s="14" t="s">
        <v>387</v>
      </c>
      <c r="H167" s="3">
        <v>49677</v>
      </c>
    </row>
    <row r="168" spans="7:8" x14ac:dyDescent="0.3">
      <c r="G168" s="14" t="s">
        <v>285</v>
      </c>
      <c r="H168" s="3">
        <v>49570</v>
      </c>
    </row>
    <row r="169" spans="7:8" x14ac:dyDescent="0.3">
      <c r="G169" s="14" t="s">
        <v>75</v>
      </c>
      <c r="H169" s="3">
        <v>49433</v>
      </c>
    </row>
    <row r="170" spans="7:8" x14ac:dyDescent="0.3">
      <c r="G170" s="14" t="s">
        <v>410</v>
      </c>
      <c r="H170" s="3">
        <v>49070</v>
      </c>
    </row>
    <row r="171" spans="7:8" x14ac:dyDescent="0.3">
      <c r="G171" s="14" t="s">
        <v>462</v>
      </c>
      <c r="H171" s="3">
        <v>48997</v>
      </c>
    </row>
    <row r="172" spans="7:8" x14ac:dyDescent="0.3">
      <c r="G172" s="14" t="s">
        <v>111</v>
      </c>
      <c r="H172" s="3">
        <v>48656</v>
      </c>
    </row>
    <row r="173" spans="7:8" x14ac:dyDescent="0.3">
      <c r="G173" s="14" t="s">
        <v>246</v>
      </c>
      <c r="H173" s="3">
        <v>48601</v>
      </c>
    </row>
    <row r="174" spans="7:8" x14ac:dyDescent="0.3">
      <c r="G174" s="14" t="s">
        <v>621</v>
      </c>
      <c r="H174" s="3">
        <v>48242</v>
      </c>
    </row>
    <row r="175" spans="7:8" x14ac:dyDescent="0.3">
      <c r="G175" s="14" t="s">
        <v>639</v>
      </c>
      <c r="H175" s="3">
        <v>48205</v>
      </c>
    </row>
    <row r="176" spans="7:8" x14ac:dyDescent="0.3">
      <c r="G176" s="14" t="s">
        <v>155</v>
      </c>
      <c r="H176" s="3">
        <v>48013</v>
      </c>
    </row>
    <row r="177" spans="7:8" x14ac:dyDescent="0.3">
      <c r="G177" s="14" t="s">
        <v>973</v>
      </c>
      <c r="H177" s="3">
        <v>47711</v>
      </c>
    </row>
    <row r="178" spans="7:8" x14ac:dyDescent="0.3">
      <c r="G178" s="14" t="s">
        <v>754</v>
      </c>
      <c r="H178" s="3">
        <v>47640</v>
      </c>
    </row>
    <row r="179" spans="7:8" x14ac:dyDescent="0.3">
      <c r="G179" s="14" t="s">
        <v>277</v>
      </c>
      <c r="H179" s="3">
        <v>47339</v>
      </c>
    </row>
    <row r="180" spans="7:8" x14ac:dyDescent="0.3">
      <c r="G180" s="14" t="s">
        <v>288</v>
      </c>
      <c r="H180" s="3">
        <v>47033</v>
      </c>
    </row>
    <row r="181" spans="7:8" x14ac:dyDescent="0.3">
      <c r="G181" s="14" t="s">
        <v>1256</v>
      </c>
      <c r="H181" s="3">
        <v>46487</v>
      </c>
    </row>
    <row r="182" spans="7:8" x14ac:dyDescent="0.3">
      <c r="G182" s="14" t="s">
        <v>539</v>
      </c>
      <c r="H182" s="3">
        <v>45948</v>
      </c>
    </row>
    <row r="183" spans="7:8" x14ac:dyDescent="0.3">
      <c r="G183" s="14" t="s">
        <v>645</v>
      </c>
      <c r="H183" s="3">
        <v>45574</v>
      </c>
    </row>
    <row r="184" spans="7:8" x14ac:dyDescent="0.3">
      <c r="G184" s="14" t="s">
        <v>372</v>
      </c>
      <c r="H184" s="3">
        <v>45323</v>
      </c>
    </row>
    <row r="185" spans="7:8" x14ac:dyDescent="0.3">
      <c r="G185" s="14" t="s">
        <v>356</v>
      </c>
      <c r="H185" s="3">
        <v>44330</v>
      </c>
    </row>
    <row r="186" spans="7:8" x14ac:dyDescent="0.3">
      <c r="G186" s="14" t="s">
        <v>784</v>
      </c>
      <c r="H186" s="3">
        <v>43888</v>
      </c>
    </row>
    <row r="187" spans="7:8" x14ac:dyDescent="0.3">
      <c r="G187" s="14" t="s">
        <v>311</v>
      </c>
      <c r="H187" s="3">
        <v>42278</v>
      </c>
    </row>
    <row r="188" spans="7:8" x14ac:dyDescent="0.3">
      <c r="G188" s="14" t="s">
        <v>218</v>
      </c>
      <c r="H188" s="3">
        <v>41600</v>
      </c>
    </row>
    <row r="189" spans="7:8" x14ac:dyDescent="0.3">
      <c r="G189" s="14" t="s">
        <v>299</v>
      </c>
      <c r="H189" s="3">
        <v>41490</v>
      </c>
    </row>
    <row r="190" spans="7:8" x14ac:dyDescent="0.3">
      <c r="G190" s="14" t="s">
        <v>28</v>
      </c>
      <c r="H190" s="3">
        <v>41406</v>
      </c>
    </row>
    <row r="191" spans="7:8" x14ac:dyDescent="0.3">
      <c r="G191" s="14" t="s">
        <v>1539</v>
      </c>
      <c r="H191" s="3">
        <v>41008</v>
      </c>
    </row>
    <row r="192" spans="7:8" x14ac:dyDescent="0.3">
      <c r="G192" s="14" t="s">
        <v>1304</v>
      </c>
      <c r="H192" s="3">
        <v>39816</v>
      </c>
    </row>
    <row r="193" spans="7:8" x14ac:dyDescent="0.3">
      <c r="G193" s="14" t="s">
        <v>527</v>
      </c>
      <c r="H193" s="3">
        <v>39460</v>
      </c>
    </row>
    <row r="194" spans="7:8" x14ac:dyDescent="0.3">
      <c r="G194" s="14" t="s">
        <v>706</v>
      </c>
      <c r="H194" s="3">
        <v>38850</v>
      </c>
    </row>
    <row r="195" spans="7:8" x14ac:dyDescent="0.3">
      <c r="G195" s="14" t="s">
        <v>1445</v>
      </c>
      <c r="H195" s="3">
        <v>38601</v>
      </c>
    </row>
    <row r="196" spans="7:8" x14ac:dyDescent="0.3">
      <c r="G196" s="14" t="s">
        <v>793</v>
      </c>
      <c r="H196" s="3">
        <v>38563</v>
      </c>
    </row>
    <row r="197" spans="7:8" x14ac:dyDescent="0.3">
      <c r="G197" s="14" t="s">
        <v>468</v>
      </c>
      <c r="H197" s="3">
        <v>38535</v>
      </c>
    </row>
    <row r="198" spans="7:8" x14ac:dyDescent="0.3">
      <c r="G198" s="14" t="s">
        <v>728</v>
      </c>
      <c r="H198" s="3">
        <v>38527</v>
      </c>
    </row>
    <row r="199" spans="7:8" x14ac:dyDescent="0.3">
      <c r="G199" s="14" t="s">
        <v>147</v>
      </c>
      <c r="H199" s="3">
        <v>38468</v>
      </c>
    </row>
    <row r="200" spans="7:8" x14ac:dyDescent="0.3">
      <c r="G200" s="14" t="s">
        <v>566</v>
      </c>
      <c r="H200" s="3">
        <v>38406</v>
      </c>
    </row>
    <row r="201" spans="7:8" x14ac:dyDescent="0.3">
      <c r="G201" s="14" t="s">
        <v>272</v>
      </c>
      <c r="H201" s="3">
        <v>38241</v>
      </c>
    </row>
    <row r="202" spans="7:8" x14ac:dyDescent="0.3">
      <c r="G202" s="14" t="s">
        <v>404</v>
      </c>
      <c r="H202" s="3">
        <v>37304</v>
      </c>
    </row>
    <row r="203" spans="7:8" x14ac:dyDescent="0.3">
      <c r="G203" s="14" t="s">
        <v>762</v>
      </c>
      <c r="H203" s="3">
        <v>36827</v>
      </c>
    </row>
    <row r="204" spans="7:8" x14ac:dyDescent="0.3">
      <c r="G204" s="14" t="s">
        <v>210</v>
      </c>
      <c r="H204" s="3">
        <v>35921</v>
      </c>
    </row>
    <row r="205" spans="7:8" x14ac:dyDescent="0.3">
      <c r="G205" s="14" t="s">
        <v>921</v>
      </c>
      <c r="H205" s="3">
        <v>35900</v>
      </c>
    </row>
    <row r="206" spans="7:8" x14ac:dyDescent="0.3">
      <c r="G206" s="14" t="s">
        <v>971</v>
      </c>
      <c r="H206" s="3">
        <v>35652</v>
      </c>
    </row>
    <row r="207" spans="7:8" x14ac:dyDescent="0.3">
      <c r="G207" s="14" t="s">
        <v>314</v>
      </c>
      <c r="H207" s="3">
        <v>35298</v>
      </c>
    </row>
    <row r="208" spans="7:8" x14ac:dyDescent="0.3">
      <c r="G208" s="14" t="s">
        <v>730</v>
      </c>
      <c r="H208" s="3">
        <v>35241</v>
      </c>
    </row>
    <row r="209" spans="7:8" x14ac:dyDescent="0.3">
      <c r="G209" s="14" t="s">
        <v>626</v>
      </c>
      <c r="H209" s="3">
        <v>34658</v>
      </c>
    </row>
    <row r="210" spans="7:8" x14ac:dyDescent="0.3">
      <c r="G210" s="14" t="s">
        <v>296</v>
      </c>
      <c r="H210" s="3">
        <v>34446</v>
      </c>
    </row>
    <row r="211" spans="7:8" x14ac:dyDescent="0.3">
      <c r="G211" s="14" t="s">
        <v>53</v>
      </c>
      <c r="H211" s="3">
        <v>34368</v>
      </c>
    </row>
    <row r="212" spans="7:8" x14ac:dyDescent="0.3">
      <c r="G212" s="14" t="s">
        <v>1274</v>
      </c>
      <c r="H212" s="3">
        <v>33918</v>
      </c>
    </row>
    <row r="213" spans="7:8" x14ac:dyDescent="0.3">
      <c r="G213" s="14" t="s">
        <v>512</v>
      </c>
      <c r="H213" s="3">
        <v>33918</v>
      </c>
    </row>
    <row r="214" spans="7:8" x14ac:dyDescent="0.3">
      <c r="G214" s="14" t="s">
        <v>93</v>
      </c>
      <c r="H214" s="3">
        <v>33367</v>
      </c>
    </row>
    <row r="215" spans="7:8" x14ac:dyDescent="0.3">
      <c r="G215" s="14" t="s">
        <v>510</v>
      </c>
      <c r="H215" s="3">
        <v>31712</v>
      </c>
    </row>
    <row r="216" spans="7:8" x14ac:dyDescent="0.3">
      <c r="G216" s="14" t="s">
        <v>597</v>
      </c>
      <c r="H216" s="3">
        <v>30893</v>
      </c>
    </row>
    <row r="217" spans="7:8" x14ac:dyDescent="0.3">
      <c r="G217" s="14" t="s">
        <v>829</v>
      </c>
      <c r="H217" s="3">
        <v>30786</v>
      </c>
    </row>
    <row r="218" spans="7:8" x14ac:dyDescent="0.3">
      <c r="G218" s="14" t="s">
        <v>701</v>
      </c>
      <c r="H218" s="3">
        <v>30730</v>
      </c>
    </row>
    <row r="219" spans="7:8" x14ac:dyDescent="0.3">
      <c r="G219" s="14" t="s">
        <v>681</v>
      </c>
      <c r="H219" s="3">
        <v>30374</v>
      </c>
    </row>
    <row r="220" spans="7:8" x14ac:dyDescent="0.3">
      <c r="G220" s="14" t="s">
        <v>66</v>
      </c>
      <c r="H220" s="3">
        <v>30329</v>
      </c>
    </row>
    <row r="221" spans="7:8" x14ac:dyDescent="0.3">
      <c r="G221" s="14" t="s">
        <v>1153</v>
      </c>
      <c r="H221" s="3">
        <v>30127</v>
      </c>
    </row>
    <row r="222" spans="7:8" x14ac:dyDescent="0.3">
      <c r="G222" s="14" t="s">
        <v>226</v>
      </c>
      <c r="H222" s="3">
        <v>30076</v>
      </c>
    </row>
    <row r="223" spans="7:8" x14ac:dyDescent="0.3">
      <c r="G223" s="14" t="s">
        <v>689</v>
      </c>
      <c r="H223" s="3">
        <v>29968</v>
      </c>
    </row>
    <row r="224" spans="7:8" x14ac:dyDescent="0.3">
      <c r="G224" s="14" t="s">
        <v>389</v>
      </c>
      <c r="H224" s="3">
        <v>29939</v>
      </c>
    </row>
    <row r="225" spans="7:8" x14ac:dyDescent="0.3">
      <c r="G225" s="14" t="s">
        <v>1016</v>
      </c>
      <c r="H225" s="3">
        <v>29683</v>
      </c>
    </row>
    <row r="226" spans="7:8" x14ac:dyDescent="0.3">
      <c r="G226" s="14" t="s">
        <v>34</v>
      </c>
      <c r="H226" s="3">
        <v>29391</v>
      </c>
    </row>
    <row r="227" spans="7:8" x14ac:dyDescent="0.3">
      <c r="G227" s="14" t="s">
        <v>886</v>
      </c>
      <c r="H227" s="3">
        <v>29275</v>
      </c>
    </row>
    <row r="228" spans="7:8" x14ac:dyDescent="0.3">
      <c r="G228" s="14" t="s">
        <v>282</v>
      </c>
      <c r="H228" s="3">
        <v>29193</v>
      </c>
    </row>
    <row r="229" spans="7:8" x14ac:dyDescent="0.3">
      <c r="G229" s="14" t="s">
        <v>1105</v>
      </c>
      <c r="H229" s="3">
        <v>28901</v>
      </c>
    </row>
    <row r="230" spans="7:8" x14ac:dyDescent="0.3">
      <c r="G230" s="14" t="s">
        <v>846</v>
      </c>
      <c r="H230" s="3">
        <v>28430</v>
      </c>
    </row>
    <row r="231" spans="7:8" x14ac:dyDescent="0.3">
      <c r="G231" s="14" t="s">
        <v>1375</v>
      </c>
      <c r="H231" s="3">
        <v>27894</v>
      </c>
    </row>
    <row r="232" spans="7:8" x14ac:dyDescent="0.3">
      <c r="G232" s="14" t="s">
        <v>733</v>
      </c>
      <c r="H232" s="3">
        <v>27661</v>
      </c>
    </row>
    <row r="233" spans="7:8" x14ac:dyDescent="0.3">
      <c r="G233" s="14" t="s">
        <v>715</v>
      </c>
      <c r="H233" s="3">
        <v>27153</v>
      </c>
    </row>
    <row r="234" spans="7:8" x14ac:dyDescent="0.3">
      <c r="G234" s="14" t="s">
        <v>1471</v>
      </c>
      <c r="H234" s="3">
        <v>27070</v>
      </c>
    </row>
    <row r="235" spans="7:8" x14ac:dyDescent="0.3">
      <c r="G235" s="14" t="s">
        <v>1556</v>
      </c>
      <c r="H235" s="3">
        <v>26768</v>
      </c>
    </row>
    <row r="236" spans="7:8" x14ac:dyDescent="0.3">
      <c r="G236" s="14" t="s">
        <v>637</v>
      </c>
      <c r="H236" s="3">
        <v>26621</v>
      </c>
    </row>
    <row r="237" spans="7:8" x14ac:dyDescent="0.3">
      <c r="G237" s="14" t="s">
        <v>1031</v>
      </c>
      <c r="H237" s="3">
        <v>25800</v>
      </c>
    </row>
    <row r="238" spans="7:8" x14ac:dyDescent="0.3">
      <c r="G238" s="14" t="s">
        <v>44</v>
      </c>
      <c r="H238" s="3">
        <v>25783</v>
      </c>
    </row>
    <row r="239" spans="7:8" x14ac:dyDescent="0.3">
      <c r="G239" s="14" t="s">
        <v>1186</v>
      </c>
      <c r="H239" s="3">
        <v>25704</v>
      </c>
    </row>
    <row r="240" spans="7:8" x14ac:dyDescent="0.3">
      <c r="G240" s="14" t="s">
        <v>982</v>
      </c>
      <c r="H240" s="3">
        <v>25591</v>
      </c>
    </row>
    <row r="241" spans="7:8" x14ac:dyDescent="0.3">
      <c r="G241" s="14" t="s">
        <v>135</v>
      </c>
      <c r="H241" s="3">
        <v>25062</v>
      </c>
    </row>
    <row r="242" spans="7:8" x14ac:dyDescent="0.3">
      <c r="G242" s="14" t="s">
        <v>420</v>
      </c>
      <c r="H242" s="3">
        <v>24595</v>
      </c>
    </row>
    <row r="243" spans="7:8" x14ac:dyDescent="0.3">
      <c r="G243" s="14" t="s">
        <v>867</v>
      </c>
      <c r="H243" s="3">
        <v>24262</v>
      </c>
    </row>
    <row r="244" spans="7:8" x14ac:dyDescent="0.3">
      <c r="G244" s="14" t="s">
        <v>1218</v>
      </c>
      <c r="H244" s="3">
        <v>24197</v>
      </c>
    </row>
    <row r="245" spans="7:8" x14ac:dyDescent="0.3">
      <c r="G245" s="14" t="s">
        <v>332</v>
      </c>
      <c r="H245" s="3">
        <v>24000</v>
      </c>
    </row>
    <row r="246" spans="7:8" x14ac:dyDescent="0.3">
      <c r="G246" s="14" t="s">
        <v>1163</v>
      </c>
      <c r="H246" s="3">
        <v>22638</v>
      </c>
    </row>
    <row r="247" spans="7:8" x14ac:dyDescent="0.3">
      <c r="G247" s="14" t="s">
        <v>643</v>
      </c>
      <c r="H247" s="3">
        <v>22504</v>
      </c>
    </row>
    <row r="248" spans="7:8" x14ac:dyDescent="0.3">
      <c r="G248" s="14" t="s">
        <v>1497</v>
      </c>
      <c r="H248" s="3">
        <v>22146</v>
      </c>
    </row>
    <row r="249" spans="7:8" x14ac:dyDescent="0.3">
      <c r="G249" s="14" t="s">
        <v>942</v>
      </c>
      <c r="H249" s="3">
        <v>21951</v>
      </c>
    </row>
    <row r="250" spans="7:8" x14ac:dyDescent="0.3">
      <c r="G250" s="14" t="s">
        <v>267</v>
      </c>
      <c r="H250" s="3">
        <v>21696</v>
      </c>
    </row>
    <row r="251" spans="7:8" x14ac:dyDescent="0.3">
      <c r="G251" s="14" t="s">
        <v>804</v>
      </c>
      <c r="H251" s="3">
        <v>21685</v>
      </c>
    </row>
    <row r="252" spans="7:8" x14ac:dyDescent="0.3">
      <c r="G252" s="14" t="s">
        <v>862</v>
      </c>
      <c r="H252" s="3">
        <v>20612</v>
      </c>
    </row>
    <row r="253" spans="7:8" x14ac:dyDescent="0.3">
      <c r="G253" s="14" t="s">
        <v>481</v>
      </c>
      <c r="H253" s="3">
        <v>20442</v>
      </c>
    </row>
    <row r="254" spans="7:8" x14ac:dyDescent="0.3">
      <c r="G254" s="14" t="s">
        <v>169</v>
      </c>
      <c r="H254" s="3">
        <v>20342</v>
      </c>
    </row>
    <row r="255" spans="7:8" x14ac:dyDescent="0.3">
      <c r="G255" s="14" t="s">
        <v>350</v>
      </c>
      <c r="H255" s="3">
        <v>20024</v>
      </c>
    </row>
    <row r="256" spans="7:8" x14ac:dyDescent="0.3">
      <c r="G256" s="14" t="s">
        <v>375</v>
      </c>
      <c r="H256" s="3">
        <v>19871</v>
      </c>
    </row>
    <row r="257" spans="7:8" x14ac:dyDescent="0.3">
      <c r="G257" s="14" t="s">
        <v>879</v>
      </c>
      <c r="H257" s="3">
        <v>19003</v>
      </c>
    </row>
    <row r="258" spans="7:8" x14ac:dyDescent="0.3">
      <c r="G258" s="14" t="s">
        <v>201</v>
      </c>
      <c r="H258" s="3">
        <v>18920</v>
      </c>
    </row>
    <row r="259" spans="7:8" x14ac:dyDescent="0.3">
      <c r="G259" s="14" t="s">
        <v>237</v>
      </c>
      <c r="H259" s="3">
        <v>18303</v>
      </c>
    </row>
    <row r="260" spans="7:8" x14ac:dyDescent="0.3">
      <c r="G260" s="14" t="s">
        <v>347</v>
      </c>
      <c r="H260" s="3">
        <v>18237</v>
      </c>
    </row>
    <row r="261" spans="7:8" x14ac:dyDescent="0.3">
      <c r="G261" s="14" t="s">
        <v>1121</v>
      </c>
      <c r="H261" s="3">
        <v>18145</v>
      </c>
    </row>
    <row r="262" spans="7:8" x14ac:dyDescent="0.3">
      <c r="G262" s="14" t="s">
        <v>1110</v>
      </c>
      <c r="H262" s="3">
        <v>17618</v>
      </c>
    </row>
    <row r="263" spans="7:8" x14ac:dyDescent="0.3">
      <c r="G263" s="14" t="s">
        <v>470</v>
      </c>
      <c r="H263" s="3">
        <v>17543</v>
      </c>
    </row>
    <row r="264" spans="7:8" x14ac:dyDescent="0.3">
      <c r="G264" s="14" t="s">
        <v>207</v>
      </c>
      <c r="H264" s="3">
        <v>17106</v>
      </c>
    </row>
    <row r="265" spans="7:8" x14ac:dyDescent="0.3">
      <c r="G265" s="14" t="s">
        <v>703</v>
      </c>
      <c r="H265" s="3">
        <v>14854</v>
      </c>
    </row>
    <row r="266" spans="7:8" x14ac:dyDescent="0.3">
      <c r="G266" s="14" t="s">
        <v>180</v>
      </c>
      <c r="H266" s="3">
        <v>14841</v>
      </c>
    </row>
    <row r="267" spans="7:8" x14ac:dyDescent="0.3">
      <c r="G267" s="14" t="s">
        <v>1462</v>
      </c>
      <c r="H267" s="3">
        <v>14712</v>
      </c>
    </row>
    <row r="268" spans="7:8" x14ac:dyDescent="0.3">
      <c r="G268" s="14" t="s">
        <v>1415</v>
      </c>
      <c r="H268" s="3">
        <v>14262</v>
      </c>
    </row>
    <row r="269" spans="7:8" x14ac:dyDescent="0.3">
      <c r="G269" s="14" t="s">
        <v>909</v>
      </c>
      <c r="H269" s="3">
        <v>14041</v>
      </c>
    </row>
    <row r="270" spans="7:8" x14ac:dyDescent="0.3">
      <c r="G270" s="14" t="s">
        <v>1123</v>
      </c>
      <c r="H270" s="3">
        <v>13878</v>
      </c>
    </row>
    <row r="271" spans="7:8" x14ac:dyDescent="0.3">
      <c r="G271" s="14" t="s">
        <v>428</v>
      </c>
      <c r="H271" s="3">
        <v>12991</v>
      </c>
    </row>
    <row r="272" spans="7:8" x14ac:dyDescent="0.3">
      <c r="G272" s="14" t="s">
        <v>1372</v>
      </c>
      <c r="H272" s="3">
        <v>11869</v>
      </c>
    </row>
    <row r="273" spans="7:8" x14ac:dyDescent="0.3">
      <c r="G273" s="14" t="s">
        <v>857</v>
      </c>
      <c r="H273" s="3">
        <v>10970</v>
      </c>
    </row>
    <row r="274" spans="7:8" x14ac:dyDescent="0.3">
      <c r="G274" s="14" t="s">
        <v>261</v>
      </c>
      <c r="H274" s="3">
        <v>10734</v>
      </c>
    </row>
    <row r="275" spans="7:8" x14ac:dyDescent="0.3">
      <c r="G275" s="14" t="s">
        <v>713</v>
      </c>
      <c r="H275" s="3">
        <v>10686</v>
      </c>
    </row>
    <row r="276" spans="7:8" x14ac:dyDescent="0.3">
      <c r="G276" s="14" t="s">
        <v>425</v>
      </c>
      <c r="H276" s="3">
        <v>9432</v>
      </c>
    </row>
    <row r="277" spans="7:8" x14ac:dyDescent="0.3">
      <c r="G277" s="14" t="s">
        <v>1129</v>
      </c>
      <c r="H277" s="3">
        <v>9342</v>
      </c>
    </row>
    <row r="278" spans="7:8" x14ac:dyDescent="0.3">
      <c r="G278" s="14" t="s">
        <v>21</v>
      </c>
      <c r="H278" s="3">
        <v>9167</v>
      </c>
    </row>
    <row r="279" spans="7:8" x14ac:dyDescent="0.3">
      <c r="G279" s="14" t="s">
        <v>1279</v>
      </c>
      <c r="H279" s="3">
        <v>8272</v>
      </c>
    </row>
    <row r="280" spans="7:8" x14ac:dyDescent="0.3">
      <c r="G280" s="14" t="s">
        <v>105</v>
      </c>
      <c r="H280" s="3">
        <v>8087</v>
      </c>
    </row>
    <row r="281" spans="7:8" x14ac:dyDescent="0.3">
      <c r="G281" s="14" t="s">
        <v>1525</v>
      </c>
      <c r="H281" s="3">
        <v>7796</v>
      </c>
    </row>
    <row r="282" spans="7:8" x14ac:dyDescent="0.3">
      <c r="G282" s="14" t="s">
        <v>1151</v>
      </c>
      <c r="H282" s="3">
        <v>7244</v>
      </c>
    </row>
    <row r="283" spans="7:8" x14ac:dyDescent="0.3">
      <c r="G283" s="14" t="s">
        <v>517</v>
      </c>
      <c r="H283" s="3">
        <v>6490</v>
      </c>
    </row>
    <row r="284" spans="7:8" x14ac:dyDescent="0.3">
      <c r="G284" s="14" t="s">
        <v>1350</v>
      </c>
      <c r="H284" s="3">
        <v>5806</v>
      </c>
    </row>
    <row r="285" spans="7:8" x14ac:dyDescent="0.3">
      <c r="G285" s="14" t="s">
        <v>1267</v>
      </c>
      <c r="H285" s="3">
        <v>5574</v>
      </c>
    </row>
    <row r="286" spans="7:8" x14ac:dyDescent="0.3">
      <c r="G286" s="14" t="s">
        <v>827</v>
      </c>
      <c r="H286" s="3">
        <v>5320</v>
      </c>
    </row>
    <row r="287" spans="7:8" x14ac:dyDescent="0.3">
      <c r="G287" s="14" t="s">
        <v>1796</v>
      </c>
      <c r="H287" s="3">
        <v>4500</v>
      </c>
    </row>
    <row r="288" spans="7:8" x14ac:dyDescent="0.3">
      <c r="G288" s="14" t="s">
        <v>1672</v>
      </c>
      <c r="H288" s="3">
        <v>3360</v>
      </c>
    </row>
    <row r="289" spans="7:8" x14ac:dyDescent="0.3">
      <c r="G289" s="14" t="s">
        <v>1800</v>
      </c>
      <c r="H289" s="3">
        <v>3146</v>
      </c>
    </row>
    <row r="290" spans="7:8" x14ac:dyDescent="0.3">
      <c r="G290" s="14" t="s">
        <v>406</v>
      </c>
      <c r="H290" s="3">
        <v>2574</v>
      </c>
    </row>
    <row r="291" spans="7:8" x14ac:dyDescent="0.3">
      <c r="G291" s="14" t="s">
        <v>1719</v>
      </c>
      <c r="H291" s="3">
        <v>2424</v>
      </c>
    </row>
    <row r="292" spans="7:8" x14ac:dyDescent="0.3">
      <c r="G292" s="14" t="s">
        <v>800</v>
      </c>
      <c r="H292" s="3">
        <v>2172</v>
      </c>
    </row>
    <row r="293" spans="7:8" x14ac:dyDescent="0.3">
      <c r="G293" s="14" t="s">
        <v>1093</v>
      </c>
      <c r="H293" s="3">
        <v>1589</v>
      </c>
    </row>
    <row r="294" spans="7:8" x14ac:dyDescent="0.3">
      <c r="G294" s="14" t="s">
        <v>1841</v>
      </c>
      <c r="H294" s="3">
        <v>17047613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D60044-7345-4E7E-B3A1-944F4B69A3DD}">
  <dimension ref="B1:P8"/>
  <sheetViews>
    <sheetView showGridLines="0" showRowColHeaders="0" tabSelected="1" zoomScale="63" zoomScaleNormal="81" workbookViewId="0">
      <selection activeCell="T22" sqref="T22"/>
    </sheetView>
  </sheetViews>
  <sheetFormatPr defaultRowHeight="14.4" x14ac:dyDescent="0.3"/>
  <cols>
    <col min="1" max="16384" width="8.88671875" style="15"/>
  </cols>
  <sheetData>
    <row r="1" spans="2:16" ht="14.4" customHeight="1" x14ac:dyDescent="0.3">
      <c r="B1" s="17" t="s">
        <v>1856</v>
      </c>
      <c r="C1" s="17"/>
      <c r="D1" s="17"/>
      <c r="E1" s="17"/>
      <c r="F1" s="17"/>
      <c r="G1" s="17"/>
      <c r="H1" s="17"/>
      <c r="I1" s="17"/>
      <c r="J1" s="17"/>
      <c r="K1" s="17"/>
      <c r="L1" s="17"/>
      <c r="M1" s="17"/>
      <c r="N1" s="17"/>
      <c r="O1" s="17"/>
      <c r="P1" s="17"/>
    </row>
    <row r="2" spans="2:16" ht="14.4" customHeight="1" x14ac:dyDescent="0.3">
      <c r="B2" s="17"/>
      <c r="C2" s="17"/>
      <c r="D2" s="17"/>
      <c r="E2" s="17"/>
      <c r="F2" s="17"/>
      <c r="G2" s="17"/>
      <c r="H2" s="17"/>
      <c r="I2" s="17"/>
      <c r="J2" s="17"/>
      <c r="K2" s="17"/>
      <c r="L2" s="17"/>
      <c r="M2" s="17"/>
      <c r="N2" s="17"/>
      <c r="O2" s="17"/>
      <c r="P2" s="17"/>
    </row>
    <row r="3" spans="2:16" ht="14.4" customHeight="1" x14ac:dyDescent="0.3">
      <c r="B3" s="17"/>
      <c r="C3" s="17"/>
      <c r="D3" s="17"/>
      <c r="E3" s="17"/>
      <c r="F3" s="17"/>
      <c r="G3" s="17"/>
      <c r="H3" s="17"/>
      <c r="I3" s="17"/>
      <c r="J3" s="17"/>
      <c r="K3" s="17"/>
      <c r="L3" s="17"/>
      <c r="M3" s="17"/>
      <c r="N3" s="17"/>
      <c r="O3" s="17"/>
      <c r="P3" s="17"/>
    </row>
    <row r="5" spans="2:16" x14ac:dyDescent="0.3">
      <c r="B5" s="18"/>
      <c r="C5" s="18"/>
      <c r="D5" s="18"/>
      <c r="F5" s="18"/>
      <c r="G5" s="18"/>
      <c r="H5" s="18"/>
      <c r="J5" s="18"/>
      <c r="K5" s="18"/>
      <c r="L5" s="18"/>
      <c r="N5" s="18"/>
      <c r="O5" s="18"/>
      <c r="P5" s="18"/>
    </row>
    <row r="6" spans="2:16" x14ac:dyDescent="0.3">
      <c r="B6" s="18"/>
      <c r="C6" s="18"/>
      <c r="D6" s="18"/>
      <c r="F6" s="18"/>
      <c r="G6" s="18"/>
      <c r="H6" s="18"/>
      <c r="J6" s="18"/>
      <c r="K6" s="18"/>
      <c r="L6" s="18"/>
      <c r="N6" s="18"/>
      <c r="O6" s="18"/>
      <c r="P6" s="18"/>
    </row>
    <row r="7" spans="2:16" x14ac:dyDescent="0.3">
      <c r="B7" s="18"/>
      <c r="C7" s="18"/>
      <c r="D7" s="18"/>
      <c r="F7" s="18"/>
      <c r="G7" s="18"/>
      <c r="H7" s="18"/>
      <c r="J7" s="18"/>
      <c r="K7" s="18"/>
      <c r="L7" s="18"/>
      <c r="N7" s="18"/>
      <c r="O7" s="18"/>
      <c r="P7" s="18"/>
    </row>
    <row r="8" spans="2:16" x14ac:dyDescent="0.3">
      <c r="B8" s="18"/>
      <c r="C8" s="18"/>
      <c r="D8" s="18"/>
      <c r="E8" s="16"/>
      <c r="F8" s="18"/>
      <c r="G8" s="18"/>
      <c r="H8" s="18"/>
      <c r="J8" s="18"/>
      <c r="K8" s="18"/>
      <c r="L8" s="18"/>
      <c r="N8" s="18"/>
      <c r="O8" s="18"/>
      <c r="P8" s="18"/>
    </row>
  </sheetData>
  <mergeCells count="5">
    <mergeCell ref="B5:D8"/>
    <mergeCell ref="F5:H8"/>
    <mergeCell ref="J5:L8"/>
    <mergeCell ref="N5:P8"/>
    <mergeCell ref="B1:P3"/>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Raw_Data</vt:lpstr>
      <vt:lpstr>Cleaned_Data</vt:lpstr>
      <vt:lpstr>Analysis</vt:lpstr>
      <vt:lpstr>Business_Analysis</vt:lpstr>
      <vt:lpstr>Pivot_analysis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Devansh</dc:creator>
  <cp:lastModifiedBy>Devansh Gautam</cp:lastModifiedBy>
  <dcterms:created xsi:type="dcterms:W3CDTF">2026-06-01T18:35:17Z</dcterms:created>
  <dcterms:modified xsi:type="dcterms:W3CDTF">2026-06-01T19:00:02Z</dcterms:modified>
</cp:coreProperties>
</file>